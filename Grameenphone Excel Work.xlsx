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92ACEFB3-FAE8-4BE4-BE93-D9EAE9EC5F08}" xr6:coauthVersionLast="47" xr6:coauthVersionMax="47" xr10:uidLastSave="{00000000-0000-0000-0000-000000000000}"/>
  <bookViews>
    <workbookView xWindow="-110" yWindow="-110" windowWidth="19420" windowHeight="10300" firstSheet="13" activeTab="13" xr2:uid="{00000000-000D-0000-FFFF-FFFF00000000}"/>
  </bookViews>
  <sheets>
    <sheet name="Historical Stock Data" sheetId="25" r:id="rId1"/>
    <sheet name="Return Calculations" sheetId="26" r:id="rId2"/>
    <sheet name="CAPM" sheetId="27" r:id="rId3"/>
    <sheet name="Cost of Equity" sheetId="28" r:id="rId4"/>
    <sheet name="Cost of Debt" sheetId="29" r:id="rId5"/>
    <sheet name="WACC" sheetId="30" r:id="rId6"/>
    <sheet name="Income Statement" sheetId="3" r:id="rId7"/>
    <sheet name="Balance Sheet" sheetId="11" r:id="rId8"/>
    <sheet name="CAGR Based Sales forecast" sheetId="14" r:id="rId9"/>
    <sheet name="Top-Down Based Sales forecast" sheetId="15" r:id="rId10"/>
    <sheet name="Bottom-Up Based Sales forecast" sheetId="16" r:id="rId11"/>
    <sheet name="Assumptions" sheetId="12" r:id="rId12"/>
    <sheet name="Pro Forma Balance Sheets" sheetId="13" r:id="rId13"/>
    <sheet name="FCFF" sheetId="32" r:id="rId14"/>
    <sheet name="DDM" sheetId="24" r:id="rId15"/>
    <sheet name="Relative Valuation" sheetId="22" r:id="rId16"/>
    <sheet name="Ratio Comparison" sheetId="23" r:id="rId17"/>
    <sheet name="Weighted Intrinsic Value" sheetId="31" r:id="rId18"/>
    <sheet name="Visualization" sheetId="20" r:id="rId19"/>
  </sheets>
  <externalReferences>
    <externalReference r:id="rId20"/>
    <externalReference r:id="rId21"/>
  </externalReferences>
  <definedNames>
    <definedName name="ExternalData_1" localSheetId="7" hidden="1">'Balance Sheet'!$A$2:$B$41</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08  Page 86_3125ab27-f56e-40bf-ad65-9da2a8f444fe" name="Table108  Page 86" connection="Query - Table108 (Page 86)"/>
          <x15:modelTable id="Table109  Page 86_5a7dc65d-0f0f-49ae-a687-c109a79255f4" name="Table109  Page 86" connection="Query - Table109 (Page 8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31" l="1"/>
  <c r="D6" i="31"/>
  <c r="H15" i="22"/>
  <c r="C31" i="22"/>
  <c r="C29" i="22"/>
  <c r="C24" i="22"/>
  <c r="C23" i="22"/>
  <c r="F2" i="22" l="1"/>
  <c r="F4" i="22"/>
  <c r="F75" i="24"/>
  <c r="B7" i="31"/>
  <c r="D5" i="31"/>
  <c r="D4" i="31"/>
  <c r="B16" i="30"/>
  <c r="H13" i="30"/>
  <c r="G13" i="30"/>
  <c r="F13" i="30"/>
  <c r="E13" i="30"/>
  <c r="D13" i="30"/>
  <c r="C13" i="30"/>
  <c r="B13" i="30"/>
  <c r="B15" i="30" s="1"/>
  <c r="B17" i="30" s="1"/>
  <c r="B3" i="30"/>
  <c r="B1" i="30"/>
  <c r="B52" i="29"/>
  <c r="F45" i="29" s="1"/>
  <c r="D36" i="29"/>
  <c r="C35" i="29"/>
  <c r="E35" i="29" s="1"/>
  <c r="C34" i="29"/>
  <c r="E34" i="29" s="1"/>
  <c r="E33" i="29"/>
  <c r="C33" i="29"/>
  <c r="E32" i="29"/>
  <c r="C32" i="29"/>
  <c r="C31" i="29"/>
  <c r="E31" i="29" s="1"/>
  <c r="C30" i="29"/>
  <c r="E30" i="29" s="1"/>
  <c r="H20" i="29"/>
  <c r="G20" i="29"/>
  <c r="F20" i="29"/>
  <c r="E20" i="29"/>
  <c r="D20" i="29"/>
  <c r="C20" i="29"/>
  <c r="B20" i="29"/>
  <c r="H14" i="29"/>
  <c r="G14" i="29"/>
  <c r="F14" i="29"/>
  <c r="E14" i="29"/>
  <c r="D14" i="29"/>
  <c r="C14" i="29"/>
  <c r="B14" i="29"/>
  <c r="H7" i="29"/>
  <c r="G7" i="29"/>
  <c r="F7" i="29"/>
  <c r="E7" i="29"/>
  <c r="H5" i="29"/>
  <c r="G5" i="29"/>
  <c r="F5" i="29"/>
  <c r="E5" i="29"/>
  <c r="D5" i="29"/>
  <c r="D7" i="29" s="1"/>
  <c r="C5" i="29"/>
  <c r="C7" i="29" s="1"/>
  <c r="B5" i="29"/>
  <c r="B7" i="29" s="1"/>
  <c r="B11" i="28"/>
  <c r="B14" i="28" s="1"/>
  <c r="B15" i="28" s="1"/>
  <c r="C9" i="28"/>
  <c r="C8" i="28"/>
  <c r="C7" i="28"/>
  <c r="C6" i="28"/>
  <c r="C5" i="28"/>
  <c r="C4" i="28"/>
  <c r="H23" i="27"/>
  <c r="I23" i="27" s="1"/>
  <c r="C23" i="27"/>
  <c r="D23" i="27" s="1"/>
  <c r="H22" i="27"/>
  <c r="I22" i="27" s="1"/>
  <c r="C22" i="27"/>
  <c r="D22" i="27" s="1"/>
  <c r="I21" i="27"/>
  <c r="H21" i="27"/>
  <c r="C21" i="27"/>
  <c r="D21" i="27" s="1"/>
  <c r="H20" i="27"/>
  <c r="I20" i="27" s="1"/>
  <c r="C20" i="27"/>
  <c r="D20" i="27" s="1"/>
  <c r="H19" i="27"/>
  <c r="I19" i="27" s="1"/>
  <c r="C19" i="27"/>
  <c r="D19" i="27" s="1"/>
  <c r="I18" i="27"/>
  <c r="H18" i="27"/>
  <c r="C18" i="27"/>
  <c r="D18" i="27" s="1"/>
  <c r="H17" i="27"/>
  <c r="I17" i="27" s="1"/>
  <c r="C17" i="27"/>
  <c r="D17" i="27" s="1"/>
  <c r="H16" i="27"/>
  <c r="I16" i="27" s="1"/>
  <c r="C16" i="27"/>
  <c r="D16" i="27" s="1"/>
  <c r="I15" i="27"/>
  <c r="H15" i="27"/>
  <c r="C15" i="27"/>
  <c r="D15" i="27" s="1"/>
  <c r="H14" i="27"/>
  <c r="I14" i="27" s="1"/>
  <c r="M13" i="27" s="1"/>
  <c r="C14" i="27"/>
  <c r="D14" i="27" s="1"/>
  <c r="H13" i="27"/>
  <c r="I13" i="27" s="1"/>
  <c r="D13" i="27"/>
  <c r="C13" i="27"/>
  <c r="I12" i="27"/>
  <c r="H12" i="27"/>
  <c r="C12" i="27"/>
  <c r="D12" i="27" s="1"/>
  <c r="H11" i="27"/>
  <c r="I11" i="27" s="1"/>
  <c r="C11" i="27"/>
  <c r="D11" i="27" s="1"/>
  <c r="H10" i="27"/>
  <c r="I10" i="27" s="1"/>
  <c r="C10" i="27"/>
  <c r="D10" i="27" s="1"/>
  <c r="H9" i="27"/>
  <c r="I9" i="27" s="1"/>
  <c r="C9" i="27"/>
  <c r="D9" i="27" s="1"/>
  <c r="N8" i="27"/>
  <c r="H8" i="27"/>
  <c r="I8" i="27" s="1"/>
  <c r="C8" i="27"/>
  <c r="D8" i="27" s="1"/>
  <c r="N7" i="27"/>
  <c r="H7" i="27"/>
  <c r="I7" i="27" s="1"/>
  <c r="C7" i="27"/>
  <c r="D7" i="27" s="1"/>
  <c r="H6" i="27"/>
  <c r="I6" i="27" s="1"/>
  <c r="C6" i="27"/>
  <c r="D6" i="27" s="1"/>
  <c r="H5" i="27"/>
  <c r="I5" i="27" s="1"/>
  <c r="C5" i="27"/>
  <c r="D5" i="27" s="1"/>
  <c r="I4" i="27"/>
  <c r="H4" i="27"/>
  <c r="C4" i="27"/>
  <c r="D4" i="27" s="1"/>
  <c r="G1189" i="26"/>
  <c r="C1189" i="26"/>
  <c r="K1188" i="26"/>
  <c r="J1188" i="26"/>
  <c r="G1188" i="26"/>
  <c r="C1188" i="26"/>
  <c r="K1187" i="26"/>
  <c r="J1187" i="26"/>
  <c r="G1187" i="26"/>
  <c r="C1187" i="26"/>
  <c r="K1186" i="26"/>
  <c r="J1186" i="26"/>
  <c r="G1186" i="26"/>
  <c r="C1186" i="26"/>
  <c r="K1185" i="26"/>
  <c r="J1185" i="26"/>
  <c r="G1185" i="26"/>
  <c r="C1185" i="26"/>
  <c r="K1184" i="26"/>
  <c r="J1184" i="26"/>
  <c r="G1184" i="26"/>
  <c r="C1184" i="26"/>
  <c r="K1183" i="26"/>
  <c r="J1183" i="26"/>
  <c r="G1183" i="26"/>
  <c r="C1183" i="26"/>
  <c r="K1182" i="26"/>
  <c r="J1182" i="26"/>
  <c r="G1182" i="26"/>
  <c r="C1182" i="26"/>
  <c r="K1181" i="26"/>
  <c r="J1181" i="26"/>
  <c r="G1181" i="26"/>
  <c r="C1181" i="26"/>
  <c r="K1180" i="26"/>
  <c r="J1180" i="26"/>
  <c r="G1180" i="26"/>
  <c r="C1180" i="26"/>
  <c r="K1179" i="26"/>
  <c r="J1179" i="26"/>
  <c r="G1179" i="26"/>
  <c r="C1179" i="26"/>
  <c r="K1178" i="26"/>
  <c r="J1178" i="26"/>
  <c r="G1178" i="26"/>
  <c r="C1178" i="26"/>
  <c r="K1177" i="26"/>
  <c r="J1177" i="26"/>
  <c r="G1177" i="26"/>
  <c r="C1177" i="26"/>
  <c r="K1176" i="26"/>
  <c r="J1176" i="26"/>
  <c r="G1176" i="26"/>
  <c r="C1176" i="26"/>
  <c r="K1175" i="26"/>
  <c r="J1175" i="26"/>
  <c r="G1175" i="26"/>
  <c r="C1175" i="26"/>
  <c r="K1174" i="26"/>
  <c r="J1174" i="26"/>
  <c r="G1174" i="26"/>
  <c r="C1174" i="26"/>
  <c r="K1173" i="26"/>
  <c r="J1173" i="26"/>
  <c r="G1173" i="26"/>
  <c r="C1173" i="26"/>
  <c r="K1172" i="26"/>
  <c r="J1172" i="26"/>
  <c r="G1172" i="26"/>
  <c r="C1172" i="26"/>
  <c r="K1171" i="26"/>
  <c r="J1171" i="26"/>
  <c r="G1171" i="26"/>
  <c r="C1171" i="26"/>
  <c r="K1170" i="26"/>
  <c r="J1170" i="26"/>
  <c r="G1170" i="26"/>
  <c r="C1170" i="26"/>
  <c r="K1169" i="26"/>
  <c r="J1169" i="26"/>
  <c r="G1169" i="26"/>
  <c r="C1169" i="26"/>
  <c r="K1168" i="26"/>
  <c r="J1168" i="26"/>
  <c r="G1168" i="26"/>
  <c r="C1168" i="26"/>
  <c r="K1167" i="26"/>
  <c r="J1167" i="26"/>
  <c r="G1167" i="26"/>
  <c r="C1167" i="26"/>
  <c r="K1166" i="26"/>
  <c r="J1166" i="26"/>
  <c r="G1166" i="26"/>
  <c r="C1166" i="26"/>
  <c r="K1165" i="26"/>
  <c r="J1165" i="26"/>
  <c r="G1165" i="26"/>
  <c r="C1165" i="26"/>
  <c r="K1164" i="26"/>
  <c r="J1164" i="26"/>
  <c r="G1164" i="26"/>
  <c r="C1164" i="26"/>
  <c r="K1163" i="26"/>
  <c r="J1163" i="26"/>
  <c r="G1163" i="26"/>
  <c r="C1163" i="26"/>
  <c r="K1162" i="26"/>
  <c r="J1162" i="26"/>
  <c r="G1162" i="26"/>
  <c r="C1162" i="26"/>
  <c r="K1161" i="26"/>
  <c r="J1161" i="26"/>
  <c r="G1161" i="26"/>
  <c r="C1161" i="26"/>
  <c r="K1160" i="26"/>
  <c r="J1160" i="26"/>
  <c r="G1160" i="26"/>
  <c r="C1160" i="26"/>
  <c r="K1159" i="26"/>
  <c r="J1159" i="26"/>
  <c r="G1159" i="26"/>
  <c r="C1159" i="26"/>
  <c r="K1158" i="26"/>
  <c r="J1158" i="26"/>
  <c r="G1158" i="26"/>
  <c r="C1158" i="26"/>
  <c r="K1157" i="26"/>
  <c r="J1157" i="26"/>
  <c r="G1157" i="26"/>
  <c r="C1157" i="26"/>
  <c r="K1156" i="26"/>
  <c r="J1156" i="26"/>
  <c r="G1156" i="26"/>
  <c r="C1156" i="26"/>
  <c r="K1155" i="26"/>
  <c r="J1155" i="26"/>
  <c r="G1155" i="26"/>
  <c r="C1155" i="26"/>
  <c r="K1154" i="26"/>
  <c r="J1154" i="26"/>
  <c r="G1154" i="26"/>
  <c r="C1154" i="26"/>
  <c r="K1153" i="26"/>
  <c r="J1153" i="26"/>
  <c r="G1153" i="26"/>
  <c r="C1153" i="26"/>
  <c r="K1152" i="26"/>
  <c r="J1152" i="26"/>
  <c r="G1152" i="26"/>
  <c r="C1152" i="26"/>
  <c r="K1151" i="26"/>
  <c r="J1151" i="26"/>
  <c r="G1151" i="26"/>
  <c r="C1151" i="26"/>
  <c r="K1150" i="26"/>
  <c r="J1150" i="26"/>
  <c r="G1150" i="26"/>
  <c r="C1150" i="26"/>
  <c r="K1149" i="26"/>
  <c r="J1149" i="26"/>
  <c r="G1149" i="26"/>
  <c r="C1149" i="26"/>
  <c r="K1148" i="26"/>
  <c r="J1148" i="26"/>
  <c r="G1148" i="26"/>
  <c r="C1148" i="26"/>
  <c r="K1147" i="26"/>
  <c r="J1147" i="26"/>
  <c r="G1147" i="26"/>
  <c r="C1147" i="26"/>
  <c r="K1146" i="26"/>
  <c r="J1146" i="26"/>
  <c r="G1146" i="26"/>
  <c r="C1146" i="26"/>
  <c r="K1145" i="26"/>
  <c r="J1145" i="26"/>
  <c r="G1145" i="26"/>
  <c r="C1145" i="26"/>
  <c r="K1144" i="26"/>
  <c r="J1144" i="26"/>
  <c r="G1144" i="26"/>
  <c r="C1144" i="26"/>
  <c r="K1143" i="26"/>
  <c r="J1143" i="26"/>
  <c r="G1143" i="26"/>
  <c r="C1143" i="26"/>
  <c r="K1142" i="26"/>
  <c r="J1142" i="26"/>
  <c r="G1142" i="26"/>
  <c r="C1142" i="26"/>
  <c r="K1141" i="26"/>
  <c r="J1141" i="26"/>
  <c r="G1141" i="26"/>
  <c r="C1141" i="26"/>
  <c r="K1140" i="26"/>
  <c r="J1140" i="26"/>
  <c r="G1140" i="26"/>
  <c r="C1140" i="26"/>
  <c r="K1139" i="26"/>
  <c r="J1139" i="26"/>
  <c r="G1139" i="26"/>
  <c r="C1139" i="26"/>
  <c r="K1138" i="26"/>
  <c r="J1138" i="26"/>
  <c r="G1138" i="26"/>
  <c r="C1138" i="26"/>
  <c r="K1137" i="26"/>
  <c r="J1137" i="26"/>
  <c r="G1137" i="26"/>
  <c r="C1137" i="26"/>
  <c r="K1136" i="26"/>
  <c r="J1136" i="26"/>
  <c r="G1136" i="26"/>
  <c r="C1136" i="26"/>
  <c r="K1135" i="26"/>
  <c r="J1135" i="26"/>
  <c r="G1135" i="26"/>
  <c r="C1135" i="26"/>
  <c r="K1134" i="26"/>
  <c r="J1134" i="26"/>
  <c r="G1134" i="26"/>
  <c r="C1134" i="26"/>
  <c r="K1133" i="26"/>
  <c r="J1133" i="26"/>
  <c r="G1133" i="26"/>
  <c r="C1133" i="26"/>
  <c r="K1132" i="26"/>
  <c r="J1132" i="26"/>
  <c r="G1132" i="26"/>
  <c r="C1132" i="26"/>
  <c r="K1131" i="26"/>
  <c r="J1131" i="26"/>
  <c r="G1131" i="26"/>
  <c r="C1131" i="26"/>
  <c r="K1130" i="26"/>
  <c r="J1130" i="26"/>
  <c r="G1130" i="26"/>
  <c r="C1130" i="26"/>
  <c r="K1129" i="26"/>
  <c r="J1129" i="26"/>
  <c r="G1129" i="26"/>
  <c r="C1129" i="26"/>
  <c r="K1128" i="26"/>
  <c r="J1128" i="26"/>
  <c r="G1128" i="26"/>
  <c r="C1128" i="26"/>
  <c r="K1127" i="26"/>
  <c r="J1127" i="26"/>
  <c r="G1127" i="26"/>
  <c r="C1127" i="26"/>
  <c r="K1126" i="26"/>
  <c r="J1126" i="26"/>
  <c r="G1126" i="26"/>
  <c r="C1126" i="26"/>
  <c r="K1125" i="26"/>
  <c r="J1125" i="26"/>
  <c r="G1125" i="26"/>
  <c r="C1125" i="26"/>
  <c r="K1124" i="26"/>
  <c r="J1124" i="26"/>
  <c r="G1124" i="26"/>
  <c r="C1124" i="26"/>
  <c r="K1123" i="26"/>
  <c r="J1123" i="26"/>
  <c r="G1123" i="26"/>
  <c r="C1123" i="26"/>
  <c r="K1122" i="26"/>
  <c r="J1122" i="26"/>
  <c r="G1122" i="26"/>
  <c r="C1122" i="26"/>
  <c r="K1121" i="26"/>
  <c r="J1121" i="26"/>
  <c r="G1121" i="26"/>
  <c r="C1121" i="26"/>
  <c r="K1120" i="26"/>
  <c r="J1120" i="26"/>
  <c r="G1120" i="26"/>
  <c r="C1120" i="26"/>
  <c r="K1119" i="26"/>
  <c r="J1119" i="26"/>
  <c r="G1119" i="26"/>
  <c r="C1119" i="26"/>
  <c r="K1118" i="26"/>
  <c r="J1118" i="26"/>
  <c r="G1118" i="26"/>
  <c r="C1118" i="26"/>
  <c r="K1117" i="26"/>
  <c r="J1117" i="26"/>
  <c r="G1117" i="26"/>
  <c r="C1117" i="26"/>
  <c r="K1116" i="26"/>
  <c r="J1116" i="26"/>
  <c r="G1116" i="26"/>
  <c r="C1116" i="26"/>
  <c r="K1115" i="26"/>
  <c r="J1115" i="26"/>
  <c r="G1115" i="26"/>
  <c r="C1115" i="26"/>
  <c r="K1114" i="26"/>
  <c r="J1114" i="26"/>
  <c r="G1114" i="26"/>
  <c r="C1114" i="26"/>
  <c r="K1113" i="26"/>
  <c r="J1113" i="26"/>
  <c r="G1113" i="26"/>
  <c r="C1113" i="26"/>
  <c r="K1112" i="26"/>
  <c r="J1112" i="26"/>
  <c r="G1112" i="26"/>
  <c r="C1112" i="26"/>
  <c r="K1111" i="26"/>
  <c r="J1111" i="26"/>
  <c r="G1111" i="26"/>
  <c r="C1111" i="26"/>
  <c r="K1110" i="26"/>
  <c r="J1110" i="26"/>
  <c r="G1110" i="26"/>
  <c r="C1110" i="26"/>
  <c r="K1109" i="26"/>
  <c r="J1109" i="26"/>
  <c r="G1109" i="26"/>
  <c r="C1109" i="26"/>
  <c r="K1108" i="26"/>
  <c r="J1108" i="26"/>
  <c r="G1108" i="26"/>
  <c r="C1108" i="26"/>
  <c r="K1107" i="26"/>
  <c r="J1107" i="26"/>
  <c r="G1107" i="26"/>
  <c r="C1107" i="26"/>
  <c r="K1106" i="26"/>
  <c r="J1106" i="26"/>
  <c r="G1106" i="26"/>
  <c r="C1106" i="26"/>
  <c r="K1105" i="26"/>
  <c r="J1105" i="26"/>
  <c r="G1105" i="26"/>
  <c r="C1105" i="26"/>
  <c r="K1104" i="26"/>
  <c r="J1104" i="26"/>
  <c r="G1104" i="26"/>
  <c r="C1104" i="26"/>
  <c r="K1103" i="26"/>
  <c r="J1103" i="26"/>
  <c r="G1103" i="26"/>
  <c r="C1103" i="26"/>
  <c r="K1102" i="26"/>
  <c r="J1102" i="26"/>
  <c r="G1102" i="26"/>
  <c r="C1102" i="26"/>
  <c r="K1101" i="26"/>
  <c r="J1101" i="26"/>
  <c r="G1101" i="26"/>
  <c r="C1101" i="26"/>
  <c r="K1100" i="26"/>
  <c r="J1100" i="26"/>
  <c r="G1100" i="26"/>
  <c r="C1100" i="26"/>
  <c r="K1099" i="26"/>
  <c r="J1099" i="26"/>
  <c r="G1099" i="26"/>
  <c r="C1099" i="26"/>
  <c r="K1098" i="26"/>
  <c r="J1098" i="26"/>
  <c r="G1098" i="26"/>
  <c r="C1098" i="26"/>
  <c r="K1097" i="26"/>
  <c r="J1097" i="26"/>
  <c r="G1097" i="26"/>
  <c r="C1097" i="26"/>
  <c r="K1096" i="26"/>
  <c r="J1096" i="26"/>
  <c r="G1096" i="26"/>
  <c r="C1096" i="26"/>
  <c r="K1095" i="26"/>
  <c r="J1095" i="26"/>
  <c r="G1095" i="26"/>
  <c r="C1095" i="26"/>
  <c r="K1094" i="26"/>
  <c r="J1094" i="26"/>
  <c r="G1094" i="26"/>
  <c r="C1094" i="26"/>
  <c r="K1093" i="26"/>
  <c r="J1093" i="26"/>
  <c r="G1093" i="26"/>
  <c r="C1093" i="26"/>
  <c r="K1092" i="26"/>
  <c r="J1092" i="26"/>
  <c r="G1092" i="26"/>
  <c r="C1092" i="26"/>
  <c r="K1091" i="26"/>
  <c r="J1091" i="26"/>
  <c r="G1091" i="26"/>
  <c r="C1091" i="26"/>
  <c r="K1090" i="26"/>
  <c r="J1090" i="26"/>
  <c r="G1090" i="26"/>
  <c r="C1090" i="26"/>
  <c r="K1089" i="26"/>
  <c r="J1089" i="26"/>
  <c r="G1089" i="26"/>
  <c r="C1089" i="26"/>
  <c r="K1088" i="26"/>
  <c r="J1088" i="26"/>
  <c r="G1088" i="26"/>
  <c r="C1088" i="26"/>
  <c r="K1087" i="26"/>
  <c r="J1087" i="26"/>
  <c r="G1087" i="26"/>
  <c r="C1087" i="26"/>
  <c r="K1086" i="26"/>
  <c r="J1086" i="26"/>
  <c r="G1086" i="26"/>
  <c r="C1086" i="26"/>
  <c r="K1085" i="26"/>
  <c r="J1085" i="26"/>
  <c r="G1085" i="26"/>
  <c r="C1085" i="26"/>
  <c r="K1084" i="26"/>
  <c r="J1084" i="26"/>
  <c r="G1084" i="26"/>
  <c r="C1084" i="26"/>
  <c r="K1083" i="26"/>
  <c r="J1083" i="26"/>
  <c r="G1083" i="26"/>
  <c r="C1083" i="26"/>
  <c r="K1082" i="26"/>
  <c r="J1082" i="26"/>
  <c r="G1082" i="26"/>
  <c r="C1082" i="26"/>
  <c r="K1081" i="26"/>
  <c r="J1081" i="26"/>
  <c r="G1081" i="26"/>
  <c r="C1081" i="26"/>
  <c r="K1080" i="26"/>
  <c r="J1080" i="26"/>
  <c r="G1080" i="26"/>
  <c r="C1080" i="26"/>
  <c r="K1079" i="26"/>
  <c r="J1079" i="26"/>
  <c r="G1079" i="26"/>
  <c r="C1079" i="26"/>
  <c r="K1078" i="26"/>
  <c r="J1078" i="26"/>
  <c r="G1078" i="26"/>
  <c r="C1078" i="26"/>
  <c r="K1077" i="26"/>
  <c r="J1077" i="26"/>
  <c r="G1077" i="26"/>
  <c r="C1077" i="26"/>
  <c r="K1076" i="26"/>
  <c r="J1076" i="26"/>
  <c r="G1076" i="26"/>
  <c r="C1076" i="26"/>
  <c r="K1075" i="26"/>
  <c r="J1075" i="26"/>
  <c r="G1075" i="26"/>
  <c r="C1075" i="26"/>
  <c r="K1074" i="26"/>
  <c r="J1074" i="26"/>
  <c r="G1074" i="26"/>
  <c r="C1074" i="26"/>
  <c r="K1073" i="26"/>
  <c r="J1073" i="26"/>
  <c r="G1073" i="26"/>
  <c r="C1073" i="26"/>
  <c r="K1072" i="26"/>
  <c r="J1072" i="26"/>
  <c r="G1072" i="26"/>
  <c r="C1072" i="26"/>
  <c r="K1071" i="26"/>
  <c r="J1071" i="26"/>
  <c r="G1071" i="26"/>
  <c r="C1071" i="26"/>
  <c r="K1070" i="26"/>
  <c r="J1070" i="26"/>
  <c r="G1070" i="26"/>
  <c r="C1070" i="26"/>
  <c r="K1069" i="26"/>
  <c r="J1069" i="26"/>
  <c r="G1069" i="26"/>
  <c r="C1069" i="26"/>
  <c r="K1068" i="26"/>
  <c r="J1068" i="26"/>
  <c r="G1068" i="26"/>
  <c r="C1068" i="26"/>
  <c r="K1067" i="26"/>
  <c r="J1067" i="26"/>
  <c r="G1067" i="26"/>
  <c r="C1067" i="26"/>
  <c r="K1066" i="26"/>
  <c r="J1066" i="26"/>
  <c r="G1066" i="26"/>
  <c r="C1066" i="26"/>
  <c r="K1065" i="26"/>
  <c r="J1065" i="26"/>
  <c r="G1065" i="26"/>
  <c r="C1065" i="26"/>
  <c r="K1064" i="26"/>
  <c r="J1064" i="26"/>
  <c r="G1064" i="26"/>
  <c r="C1064" i="26"/>
  <c r="K1063" i="26"/>
  <c r="J1063" i="26"/>
  <c r="G1063" i="26"/>
  <c r="C1063" i="26"/>
  <c r="K1062" i="26"/>
  <c r="J1062" i="26"/>
  <c r="G1062" i="26"/>
  <c r="C1062" i="26"/>
  <c r="K1061" i="26"/>
  <c r="J1061" i="26"/>
  <c r="G1061" i="26"/>
  <c r="C1061" i="26"/>
  <c r="K1060" i="26"/>
  <c r="J1060" i="26"/>
  <c r="G1060" i="26"/>
  <c r="C1060" i="26"/>
  <c r="K1059" i="26"/>
  <c r="J1059" i="26"/>
  <c r="G1059" i="26"/>
  <c r="C1059" i="26"/>
  <c r="K1058" i="26"/>
  <c r="J1058" i="26"/>
  <c r="G1058" i="26"/>
  <c r="C1058" i="26"/>
  <c r="K1057" i="26"/>
  <c r="J1057" i="26"/>
  <c r="G1057" i="26"/>
  <c r="C1057" i="26"/>
  <c r="K1056" i="26"/>
  <c r="J1056" i="26"/>
  <c r="G1056" i="26"/>
  <c r="C1056" i="26"/>
  <c r="K1055" i="26"/>
  <c r="J1055" i="26"/>
  <c r="G1055" i="26"/>
  <c r="C1055" i="26"/>
  <c r="K1054" i="26"/>
  <c r="J1054" i="26"/>
  <c r="G1054" i="26"/>
  <c r="C1054" i="26"/>
  <c r="K1053" i="26"/>
  <c r="J1053" i="26"/>
  <c r="G1053" i="26"/>
  <c r="C1053" i="26"/>
  <c r="K1052" i="26"/>
  <c r="J1052" i="26"/>
  <c r="G1052" i="26"/>
  <c r="C1052" i="26"/>
  <c r="K1051" i="26"/>
  <c r="J1051" i="26"/>
  <c r="G1051" i="26"/>
  <c r="C1051" i="26"/>
  <c r="K1050" i="26"/>
  <c r="J1050" i="26"/>
  <c r="G1050" i="26"/>
  <c r="C1050" i="26"/>
  <c r="K1049" i="26"/>
  <c r="J1049" i="26"/>
  <c r="G1049" i="26"/>
  <c r="C1049" i="26"/>
  <c r="K1048" i="26"/>
  <c r="J1048" i="26"/>
  <c r="G1048" i="26"/>
  <c r="C1048" i="26"/>
  <c r="K1047" i="26"/>
  <c r="J1047" i="26"/>
  <c r="G1047" i="26"/>
  <c r="C1047" i="26"/>
  <c r="K1046" i="26"/>
  <c r="J1046" i="26"/>
  <c r="G1046" i="26"/>
  <c r="C1046" i="26"/>
  <c r="K1045" i="26"/>
  <c r="J1045" i="26"/>
  <c r="G1045" i="26"/>
  <c r="C1045" i="26"/>
  <c r="K1044" i="26"/>
  <c r="J1044" i="26"/>
  <c r="G1044" i="26"/>
  <c r="C1044" i="26"/>
  <c r="K1043" i="26"/>
  <c r="J1043" i="26"/>
  <c r="G1043" i="26"/>
  <c r="C1043" i="26"/>
  <c r="K1042" i="26"/>
  <c r="J1042" i="26"/>
  <c r="G1042" i="26"/>
  <c r="C1042" i="26"/>
  <c r="K1041" i="26"/>
  <c r="J1041" i="26"/>
  <c r="G1041" i="26"/>
  <c r="C1041" i="26"/>
  <c r="K1040" i="26"/>
  <c r="J1040" i="26"/>
  <c r="G1040" i="26"/>
  <c r="C1040" i="26"/>
  <c r="K1039" i="26"/>
  <c r="J1039" i="26"/>
  <c r="G1039" i="26"/>
  <c r="C1039" i="26"/>
  <c r="K1038" i="26"/>
  <c r="J1038" i="26"/>
  <c r="G1038" i="26"/>
  <c r="C1038" i="26"/>
  <c r="K1037" i="26"/>
  <c r="J1037" i="26"/>
  <c r="G1037" i="26"/>
  <c r="C1037" i="26"/>
  <c r="K1036" i="26"/>
  <c r="J1036" i="26"/>
  <c r="G1036" i="26"/>
  <c r="C1036" i="26"/>
  <c r="K1035" i="26"/>
  <c r="J1035" i="26"/>
  <c r="G1035" i="26"/>
  <c r="C1035" i="26"/>
  <c r="K1034" i="26"/>
  <c r="J1034" i="26"/>
  <c r="G1034" i="26"/>
  <c r="C1034" i="26"/>
  <c r="K1033" i="26"/>
  <c r="J1033" i="26"/>
  <c r="G1033" i="26"/>
  <c r="C1033" i="26"/>
  <c r="K1032" i="26"/>
  <c r="J1032" i="26"/>
  <c r="G1032" i="26"/>
  <c r="C1032" i="26"/>
  <c r="K1031" i="26"/>
  <c r="J1031" i="26"/>
  <c r="G1031" i="26"/>
  <c r="C1031" i="26"/>
  <c r="K1030" i="26"/>
  <c r="J1030" i="26"/>
  <c r="G1030" i="26"/>
  <c r="C1030" i="26"/>
  <c r="K1029" i="26"/>
  <c r="J1029" i="26"/>
  <c r="G1029" i="26"/>
  <c r="C1029" i="26"/>
  <c r="K1028" i="26"/>
  <c r="J1028" i="26"/>
  <c r="G1028" i="26"/>
  <c r="C1028" i="26"/>
  <c r="K1027" i="26"/>
  <c r="J1027" i="26"/>
  <c r="G1027" i="26"/>
  <c r="C1027" i="26"/>
  <c r="K1026" i="26"/>
  <c r="J1026" i="26"/>
  <c r="G1026" i="26"/>
  <c r="C1026" i="26"/>
  <c r="K1025" i="26"/>
  <c r="J1025" i="26"/>
  <c r="G1025" i="26"/>
  <c r="C1025" i="26"/>
  <c r="K1024" i="26"/>
  <c r="J1024" i="26"/>
  <c r="G1024" i="26"/>
  <c r="C1024" i="26"/>
  <c r="K1023" i="26"/>
  <c r="J1023" i="26"/>
  <c r="G1023" i="26"/>
  <c r="C1023" i="26"/>
  <c r="K1022" i="26"/>
  <c r="J1022" i="26"/>
  <c r="G1022" i="26"/>
  <c r="C1022" i="26"/>
  <c r="K1021" i="26"/>
  <c r="J1021" i="26"/>
  <c r="G1021" i="26"/>
  <c r="C1021" i="26"/>
  <c r="K1020" i="26"/>
  <c r="J1020" i="26"/>
  <c r="G1020" i="26"/>
  <c r="C1020" i="26"/>
  <c r="K1019" i="26"/>
  <c r="J1019" i="26"/>
  <c r="G1019" i="26"/>
  <c r="C1019" i="26"/>
  <c r="K1018" i="26"/>
  <c r="J1018" i="26"/>
  <c r="G1018" i="26"/>
  <c r="C1018" i="26"/>
  <c r="K1017" i="26"/>
  <c r="J1017" i="26"/>
  <c r="G1017" i="26"/>
  <c r="C1017" i="26"/>
  <c r="K1016" i="26"/>
  <c r="J1016" i="26"/>
  <c r="G1016" i="26"/>
  <c r="C1016" i="26"/>
  <c r="K1015" i="26"/>
  <c r="J1015" i="26"/>
  <c r="G1015" i="26"/>
  <c r="C1015" i="26"/>
  <c r="K1014" i="26"/>
  <c r="J1014" i="26"/>
  <c r="G1014" i="26"/>
  <c r="C1014" i="26"/>
  <c r="K1013" i="26"/>
  <c r="J1013" i="26"/>
  <c r="G1013" i="26"/>
  <c r="C1013" i="26"/>
  <c r="K1012" i="26"/>
  <c r="J1012" i="26"/>
  <c r="G1012" i="26"/>
  <c r="C1012" i="26"/>
  <c r="K1011" i="26"/>
  <c r="J1011" i="26"/>
  <c r="G1011" i="26"/>
  <c r="C1011" i="26"/>
  <c r="K1010" i="26"/>
  <c r="J1010" i="26"/>
  <c r="G1010" i="26"/>
  <c r="C1010" i="26"/>
  <c r="K1009" i="26"/>
  <c r="J1009" i="26"/>
  <c r="G1009" i="26"/>
  <c r="C1009" i="26"/>
  <c r="K1008" i="26"/>
  <c r="J1008" i="26"/>
  <c r="G1008" i="26"/>
  <c r="C1008" i="26"/>
  <c r="K1007" i="26"/>
  <c r="J1007" i="26"/>
  <c r="G1007" i="26"/>
  <c r="C1007" i="26"/>
  <c r="K1006" i="26"/>
  <c r="J1006" i="26"/>
  <c r="G1006" i="26"/>
  <c r="C1006" i="26"/>
  <c r="K1005" i="26"/>
  <c r="J1005" i="26"/>
  <c r="G1005" i="26"/>
  <c r="C1005" i="26"/>
  <c r="K1004" i="26"/>
  <c r="J1004" i="26"/>
  <c r="G1004" i="26"/>
  <c r="C1004" i="26"/>
  <c r="K1003" i="26"/>
  <c r="J1003" i="26"/>
  <c r="G1003" i="26"/>
  <c r="C1003" i="26"/>
  <c r="K1002" i="26"/>
  <c r="J1002" i="26"/>
  <c r="G1002" i="26"/>
  <c r="C1002" i="26"/>
  <c r="K1001" i="26"/>
  <c r="J1001" i="26"/>
  <c r="G1001" i="26"/>
  <c r="C1001" i="26"/>
  <c r="K1000" i="26"/>
  <c r="J1000" i="26"/>
  <c r="G1000" i="26"/>
  <c r="C1000" i="26"/>
  <c r="K999" i="26"/>
  <c r="J999" i="26"/>
  <c r="G999" i="26"/>
  <c r="C999" i="26"/>
  <c r="K998" i="26"/>
  <c r="J998" i="26"/>
  <c r="G998" i="26"/>
  <c r="C998" i="26"/>
  <c r="K997" i="26"/>
  <c r="J997" i="26"/>
  <c r="G997" i="26"/>
  <c r="C997" i="26"/>
  <c r="K996" i="26"/>
  <c r="J996" i="26"/>
  <c r="G996" i="26"/>
  <c r="C996" i="26"/>
  <c r="K995" i="26"/>
  <c r="J995" i="26"/>
  <c r="G995" i="26"/>
  <c r="C995" i="26"/>
  <c r="K994" i="26"/>
  <c r="J994" i="26"/>
  <c r="G994" i="26"/>
  <c r="C994" i="26"/>
  <c r="K993" i="26"/>
  <c r="J993" i="26"/>
  <c r="G993" i="26"/>
  <c r="C993" i="26"/>
  <c r="K992" i="26"/>
  <c r="J992" i="26"/>
  <c r="G992" i="26"/>
  <c r="C992" i="26"/>
  <c r="K991" i="26"/>
  <c r="J991" i="26"/>
  <c r="G991" i="26"/>
  <c r="C991" i="26"/>
  <c r="K990" i="26"/>
  <c r="J990" i="26"/>
  <c r="G990" i="26"/>
  <c r="C990" i="26"/>
  <c r="K989" i="26"/>
  <c r="J989" i="26"/>
  <c r="G989" i="26"/>
  <c r="C989" i="26"/>
  <c r="K988" i="26"/>
  <c r="J988" i="26"/>
  <c r="G988" i="26"/>
  <c r="C988" i="26"/>
  <c r="K987" i="26"/>
  <c r="J987" i="26"/>
  <c r="G987" i="26"/>
  <c r="C987" i="26"/>
  <c r="K986" i="26"/>
  <c r="J986" i="26"/>
  <c r="G986" i="26"/>
  <c r="C986" i="26"/>
  <c r="K985" i="26"/>
  <c r="J985" i="26"/>
  <c r="G985" i="26"/>
  <c r="C985" i="26"/>
  <c r="K984" i="26"/>
  <c r="J984" i="26"/>
  <c r="G984" i="26"/>
  <c r="C984" i="26"/>
  <c r="K983" i="26"/>
  <c r="J983" i="26"/>
  <c r="G983" i="26"/>
  <c r="C983" i="26"/>
  <c r="K982" i="26"/>
  <c r="J982" i="26"/>
  <c r="G982" i="26"/>
  <c r="C982" i="26"/>
  <c r="K981" i="26"/>
  <c r="J981" i="26"/>
  <c r="G981" i="26"/>
  <c r="C981" i="26"/>
  <c r="K980" i="26"/>
  <c r="J980" i="26"/>
  <c r="G980" i="26"/>
  <c r="C980" i="26"/>
  <c r="K979" i="26"/>
  <c r="J979" i="26"/>
  <c r="G979" i="26"/>
  <c r="C979" i="26"/>
  <c r="K978" i="26"/>
  <c r="J978" i="26"/>
  <c r="G978" i="26"/>
  <c r="C978" i="26"/>
  <c r="K977" i="26"/>
  <c r="J977" i="26"/>
  <c r="G977" i="26"/>
  <c r="C977" i="26"/>
  <c r="K976" i="26"/>
  <c r="J976" i="26"/>
  <c r="G976" i="26"/>
  <c r="C976" i="26"/>
  <c r="K975" i="26"/>
  <c r="J975" i="26"/>
  <c r="G975" i="26"/>
  <c r="C975" i="26"/>
  <c r="K974" i="26"/>
  <c r="J974" i="26"/>
  <c r="G974" i="26"/>
  <c r="C974" i="26"/>
  <c r="K973" i="26"/>
  <c r="J973" i="26"/>
  <c r="G973" i="26"/>
  <c r="C973" i="26"/>
  <c r="K972" i="26"/>
  <c r="J972" i="26"/>
  <c r="G972" i="26"/>
  <c r="C972" i="26"/>
  <c r="K971" i="26"/>
  <c r="J971" i="26"/>
  <c r="G971" i="26"/>
  <c r="C971" i="26"/>
  <c r="K970" i="26"/>
  <c r="J970" i="26"/>
  <c r="G970" i="26"/>
  <c r="C970" i="26"/>
  <c r="K969" i="26"/>
  <c r="J969" i="26"/>
  <c r="G969" i="26"/>
  <c r="C969" i="26"/>
  <c r="K968" i="26"/>
  <c r="J968" i="26"/>
  <c r="G968" i="26"/>
  <c r="C968" i="26"/>
  <c r="K967" i="26"/>
  <c r="J967" i="26"/>
  <c r="G967" i="26"/>
  <c r="C967" i="26"/>
  <c r="K966" i="26"/>
  <c r="J966" i="26"/>
  <c r="G966" i="26"/>
  <c r="C966" i="26"/>
  <c r="K965" i="26"/>
  <c r="J965" i="26"/>
  <c r="G965" i="26"/>
  <c r="C965" i="26"/>
  <c r="K964" i="26"/>
  <c r="J964" i="26"/>
  <c r="G964" i="26"/>
  <c r="C964" i="26"/>
  <c r="K963" i="26"/>
  <c r="J963" i="26"/>
  <c r="G963" i="26"/>
  <c r="C963" i="26"/>
  <c r="K962" i="26"/>
  <c r="J962" i="26"/>
  <c r="G962" i="26"/>
  <c r="C962" i="26"/>
  <c r="K961" i="26"/>
  <c r="J961" i="26"/>
  <c r="G961" i="26"/>
  <c r="C961" i="26"/>
  <c r="K960" i="26"/>
  <c r="J960" i="26"/>
  <c r="G960" i="26"/>
  <c r="C960" i="26"/>
  <c r="K959" i="26"/>
  <c r="J959" i="26"/>
  <c r="G959" i="26"/>
  <c r="C959" i="26"/>
  <c r="K958" i="26"/>
  <c r="J958" i="26"/>
  <c r="G958" i="26"/>
  <c r="C958" i="26"/>
  <c r="K957" i="26"/>
  <c r="J957" i="26"/>
  <c r="G957" i="26"/>
  <c r="C957" i="26"/>
  <c r="K956" i="26"/>
  <c r="J956" i="26"/>
  <c r="G956" i="26"/>
  <c r="C956" i="26"/>
  <c r="K955" i="26"/>
  <c r="J955" i="26"/>
  <c r="G955" i="26"/>
  <c r="C955" i="26"/>
  <c r="K954" i="26"/>
  <c r="J954" i="26"/>
  <c r="G954" i="26"/>
  <c r="C954" i="26"/>
  <c r="K953" i="26"/>
  <c r="J953" i="26"/>
  <c r="G953" i="26"/>
  <c r="C953" i="26"/>
  <c r="K952" i="26"/>
  <c r="J952" i="26"/>
  <c r="G952" i="26"/>
  <c r="C952" i="26"/>
  <c r="K951" i="26"/>
  <c r="J951" i="26"/>
  <c r="G951" i="26"/>
  <c r="C951" i="26"/>
  <c r="K950" i="26"/>
  <c r="J950" i="26"/>
  <c r="G950" i="26"/>
  <c r="C950" i="26"/>
  <c r="K949" i="26"/>
  <c r="J949" i="26"/>
  <c r="G949" i="26"/>
  <c r="C949" i="26"/>
  <c r="K948" i="26"/>
  <c r="J948" i="26"/>
  <c r="G948" i="26"/>
  <c r="C948" i="26"/>
  <c r="K947" i="26"/>
  <c r="J947" i="26"/>
  <c r="G947" i="26"/>
  <c r="C947" i="26"/>
  <c r="K946" i="26"/>
  <c r="J946" i="26"/>
  <c r="G946" i="26"/>
  <c r="C946" i="26"/>
  <c r="K945" i="26"/>
  <c r="J945" i="26"/>
  <c r="G945" i="26"/>
  <c r="C945" i="26"/>
  <c r="K944" i="26"/>
  <c r="J944" i="26"/>
  <c r="G944" i="26"/>
  <c r="C944" i="26"/>
  <c r="K943" i="26"/>
  <c r="J943" i="26"/>
  <c r="G943" i="26"/>
  <c r="C943" i="26"/>
  <c r="K942" i="26"/>
  <c r="J942" i="26"/>
  <c r="G942" i="26"/>
  <c r="C942" i="26"/>
  <c r="K941" i="26"/>
  <c r="J941" i="26"/>
  <c r="G941" i="26"/>
  <c r="C941" i="26"/>
  <c r="K940" i="26"/>
  <c r="J940" i="26"/>
  <c r="G940" i="26"/>
  <c r="C940" i="26"/>
  <c r="K939" i="26"/>
  <c r="J939" i="26"/>
  <c r="G939" i="26"/>
  <c r="C939" i="26"/>
  <c r="K938" i="26"/>
  <c r="J938" i="26"/>
  <c r="G938" i="26"/>
  <c r="C938" i="26"/>
  <c r="K937" i="26"/>
  <c r="J937" i="26"/>
  <c r="G937" i="26"/>
  <c r="C937" i="26"/>
  <c r="K936" i="26"/>
  <c r="J936" i="26"/>
  <c r="G936" i="26"/>
  <c r="C936" i="26"/>
  <c r="K935" i="26"/>
  <c r="J935" i="26"/>
  <c r="G935" i="26"/>
  <c r="C935" i="26"/>
  <c r="K934" i="26"/>
  <c r="J934" i="26"/>
  <c r="G934" i="26"/>
  <c r="C934" i="26"/>
  <c r="K933" i="26"/>
  <c r="J933" i="26"/>
  <c r="G933" i="26"/>
  <c r="C933" i="26"/>
  <c r="K932" i="26"/>
  <c r="J932" i="26"/>
  <c r="G932" i="26"/>
  <c r="C932" i="26"/>
  <c r="K931" i="26"/>
  <c r="J931" i="26"/>
  <c r="G931" i="26"/>
  <c r="C931" i="26"/>
  <c r="K930" i="26"/>
  <c r="J930" i="26"/>
  <c r="G930" i="26"/>
  <c r="C930" i="26"/>
  <c r="K929" i="26"/>
  <c r="J929" i="26"/>
  <c r="G929" i="26"/>
  <c r="C929" i="26"/>
  <c r="K928" i="26"/>
  <c r="J928" i="26"/>
  <c r="G928" i="26"/>
  <c r="C928" i="26"/>
  <c r="K927" i="26"/>
  <c r="J927" i="26"/>
  <c r="G927" i="26"/>
  <c r="C927" i="26"/>
  <c r="K926" i="26"/>
  <c r="J926" i="26"/>
  <c r="G926" i="26"/>
  <c r="C926" i="26"/>
  <c r="K925" i="26"/>
  <c r="J925" i="26"/>
  <c r="G925" i="26"/>
  <c r="C925" i="26"/>
  <c r="K924" i="26"/>
  <c r="J924" i="26"/>
  <c r="G924" i="26"/>
  <c r="C924" i="26"/>
  <c r="K923" i="26"/>
  <c r="J923" i="26"/>
  <c r="G923" i="26"/>
  <c r="C923" i="26"/>
  <c r="K922" i="26"/>
  <c r="J922" i="26"/>
  <c r="G922" i="26"/>
  <c r="C922" i="26"/>
  <c r="K921" i="26"/>
  <c r="J921" i="26"/>
  <c r="G921" i="26"/>
  <c r="C921" i="26"/>
  <c r="K920" i="26"/>
  <c r="J920" i="26"/>
  <c r="G920" i="26"/>
  <c r="C920" i="26"/>
  <c r="K919" i="26"/>
  <c r="J919" i="26"/>
  <c r="G919" i="26"/>
  <c r="C919" i="26"/>
  <c r="K918" i="26"/>
  <c r="J918" i="26"/>
  <c r="G918" i="26"/>
  <c r="C918" i="26"/>
  <c r="K917" i="26"/>
  <c r="J917" i="26"/>
  <c r="G917" i="26"/>
  <c r="C917" i="26"/>
  <c r="K916" i="26"/>
  <c r="J916" i="26"/>
  <c r="G916" i="26"/>
  <c r="C916" i="26"/>
  <c r="K915" i="26"/>
  <c r="J915" i="26"/>
  <c r="G915" i="26"/>
  <c r="C915" i="26"/>
  <c r="K914" i="26"/>
  <c r="J914" i="26"/>
  <c r="G914" i="26"/>
  <c r="C914" i="26"/>
  <c r="K913" i="26"/>
  <c r="J913" i="26"/>
  <c r="G913" i="26"/>
  <c r="C913" i="26"/>
  <c r="K912" i="26"/>
  <c r="J912" i="26"/>
  <c r="G912" i="26"/>
  <c r="C912" i="26"/>
  <c r="K911" i="26"/>
  <c r="J911" i="26"/>
  <c r="G911" i="26"/>
  <c r="C911" i="26"/>
  <c r="K910" i="26"/>
  <c r="J910" i="26"/>
  <c r="G910" i="26"/>
  <c r="C910" i="26"/>
  <c r="K909" i="26"/>
  <c r="J909" i="26"/>
  <c r="G909" i="26"/>
  <c r="C909" i="26"/>
  <c r="K908" i="26"/>
  <c r="J908" i="26"/>
  <c r="G908" i="26"/>
  <c r="C908" i="26"/>
  <c r="K907" i="26"/>
  <c r="J907" i="26"/>
  <c r="G907" i="26"/>
  <c r="C907" i="26"/>
  <c r="K906" i="26"/>
  <c r="J906" i="26"/>
  <c r="G906" i="26"/>
  <c r="C906" i="26"/>
  <c r="K905" i="26"/>
  <c r="J905" i="26"/>
  <c r="G905" i="26"/>
  <c r="C905" i="26"/>
  <c r="K904" i="26"/>
  <c r="J904" i="26"/>
  <c r="G904" i="26"/>
  <c r="C904" i="26"/>
  <c r="K903" i="26"/>
  <c r="J903" i="26"/>
  <c r="G903" i="26"/>
  <c r="C903" i="26"/>
  <c r="K902" i="26"/>
  <c r="J902" i="26"/>
  <c r="G902" i="26"/>
  <c r="C902" i="26"/>
  <c r="K901" i="26"/>
  <c r="J901" i="26"/>
  <c r="G901" i="26"/>
  <c r="C901" i="26"/>
  <c r="K900" i="26"/>
  <c r="J900" i="26"/>
  <c r="G900" i="26"/>
  <c r="C900" i="26"/>
  <c r="K899" i="26"/>
  <c r="J899" i="26"/>
  <c r="G899" i="26"/>
  <c r="C899" i="26"/>
  <c r="K898" i="26"/>
  <c r="J898" i="26"/>
  <c r="G898" i="26"/>
  <c r="C898" i="26"/>
  <c r="K897" i="26"/>
  <c r="J897" i="26"/>
  <c r="G897" i="26"/>
  <c r="C897" i="26"/>
  <c r="K896" i="26"/>
  <c r="J896" i="26"/>
  <c r="G896" i="26"/>
  <c r="C896" i="26"/>
  <c r="K895" i="26"/>
  <c r="J895" i="26"/>
  <c r="G895" i="26"/>
  <c r="C895" i="26"/>
  <c r="K894" i="26"/>
  <c r="J894" i="26"/>
  <c r="G894" i="26"/>
  <c r="C894" i="26"/>
  <c r="K893" i="26"/>
  <c r="J893" i="26"/>
  <c r="G893" i="26"/>
  <c r="C893" i="26"/>
  <c r="K892" i="26"/>
  <c r="J892" i="26"/>
  <c r="G892" i="26"/>
  <c r="C892" i="26"/>
  <c r="K891" i="26"/>
  <c r="J891" i="26"/>
  <c r="G891" i="26"/>
  <c r="C891" i="26"/>
  <c r="K890" i="26"/>
  <c r="J890" i="26"/>
  <c r="G890" i="26"/>
  <c r="C890" i="26"/>
  <c r="K889" i="26"/>
  <c r="J889" i="26"/>
  <c r="G889" i="26"/>
  <c r="C889" i="26"/>
  <c r="K888" i="26"/>
  <c r="J888" i="26"/>
  <c r="G888" i="26"/>
  <c r="C888" i="26"/>
  <c r="K887" i="26"/>
  <c r="J887" i="26"/>
  <c r="G887" i="26"/>
  <c r="C887" i="26"/>
  <c r="K886" i="26"/>
  <c r="J886" i="26"/>
  <c r="G886" i="26"/>
  <c r="C886" i="26"/>
  <c r="K885" i="26"/>
  <c r="J885" i="26"/>
  <c r="G885" i="26"/>
  <c r="C885" i="26"/>
  <c r="K884" i="26"/>
  <c r="J884" i="26"/>
  <c r="G884" i="26"/>
  <c r="C884" i="26"/>
  <c r="K883" i="26"/>
  <c r="J883" i="26"/>
  <c r="G883" i="26"/>
  <c r="C883" i="26"/>
  <c r="K882" i="26"/>
  <c r="J882" i="26"/>
  <c r="G882" i="26"/>
  <c r="C882" i="26"/>
  <c r="K881" i="26"/>
  <c r="J881" i="26"/>
  <c r="G881" i="26"/>
  <c r="C881" i="26"/>
  <c r="K880" i="26"/>
  <c r="J880" i="26"/>
  <c r="G880" i="26"/>
  <c r="C880" i="26"/>
  <c r="K879" i="26"/>
  <c r="J879" i="26"/>
  <c r="G879" i="26"/>
  <c r="C879" i="26"/>
  <c r="K878" i="26"/>
  <c r="J878" i="26"/>
  <c r="G878" i="26"/>
  <c r="C878" i="26"/>
  <c r="K877" i="26"/>
  <c r="J877" i="26"/>
  <c r="G877" i="26"/>
  <c r="C877" i="26"/>
  <c r="K876" i="26"/>
  <c r="J876" i="26"/>
  <c r="G876" i="26"/>
  <c r="C876" i="26"/>
  <c r="K875" i="26"/>
  <c r="J875" i="26"/>
  <c r="G875" i="26"/>
  <c r="C875" i="26"/>
  <c r="K874" i="26"/>
  <c r="J874" i="26"/>
  <c r="G874" i="26"/>
  <c r="C874" i="26"/>
  <c r="K873" i="26"/>
  <c r="J873" i="26"/>
  <c r="G873" i="26"/>
  <c r="C873" i="26"/>
  <c r="K872" i="26"/>
  <c r="J872" i="26"/>
  <c r="G872" i="26"/>
  <c r="C872" i="26"/>
  <c r="K871" i="26"/>
  <c r="J871" i="26"/>
  <c r="G871" i="26"/>
  <c r="C871" i="26"/>
  <c r="K870" i="26"/>
  <c r="J870" i="26"/>
  <c r="G870" i="26"/>
  <c r="C870" i="26"/>
  <c r="K869" i="26"/>
  <c r="J869" i="26"/>
  <c r="G869" i="26"/>
  <c r="C869" i="26"/>
  <c r="K868" i="26"/>
  <c r="J868" i="26"/>
  <c r="G868" i="26"/>
  <c r="C868" i="26"/>
  <c r="K867" i="26"/>
  <c r="J867" i="26"/>
  <c r="G867" i="26"/>
  <c r="C867" i="26"/>
  <c r="K866" i="26"/>
  <c r="J866" i="26"/>
  <c r="G866" i="26"/>
  <c r="C866" i="26"/>
  <c r="K865" i="26"/>
  <c r="J865" i="26"/>
  <c r="G865" i="26"/>
  <c r="C865" i="26"/>
  <c r="K864" i="26"/>
  <c r="J864" i="26"/>
  <c r="G864" i="26"/>
  <c r="C864" i="26"/>
  <c r="K863" i="26"/>
  <c r="J863" i="26"/>
  <c r="G863" i="26"/>
  <c r="C863" i="26"/>
  <c r="K862" i="26"/>
  <c r="J862" i="26"/>
  <c r="G862" i="26"/>
  <c r="C862" i="26"/>
  <c r="K861" i="26"/>
  <c r="J861" i="26"/>
  <c r="G861" i="26"/>
  <c r="C861" i="26"/>
  <c r="K860" i="26"/>
  <c r="J860" i="26"/>
  <c r="G860" i="26"/>
  <c r="C860" i="26"/>
  <c r="K859" i="26"/>
  <c r="J859" i="26"/>
  <c r="G859" i="26"/>
  <c r="C859" i="26"/>
  <c r="K858" i="26"/>
  <c r="J858" i="26"/>
  <c r="G858" i="26"/>
  <c r="C858" i="26"/>
  <c r="K857" i="26"/>
  <c r="J857" i="26"/>
  <c r="G857" i="26"/>
  <c r="C857" i="26"/>
  <c r="K856" i="26"/>
  <c r="J856" i="26"/>
  <c r="G856" i="26"/>
  <c r="C856" i="26"/>
  <c r="K855" i="26"/>
  <c r="J855" i="26"/>
  <c r="G855" i="26"/>
  <c r="C855" i="26"/>
  <c r="K854" i="26"/>
  <c r="J854" i="26"/>
  <c r="G854" i="26"/>
  <c r="C854" i="26"/>
  <c r="K853" i="26"/>
  <c r="J853" i="26"/>
  <c r="G853" i="26"/>
  <c r="C853" i="26"/>
  <c r="K852" i="26"/>
  <c r="J852" i="26"/>
  <c r="G852" i="26"/>
  <c r="C852" i="26"/>
  <c r="K851" i="26"/>
  <c r="J851" i="26"/>
  <c r="G851" i="26"/>
  <c r="C851" i="26"/>
  <c r="K850" i="26"/>
  <c r="J850" i="26"/>
  <c r="G850" i="26"/>
  <c r="C850" i="26"/>
  <c r="K849" i="26"/>
  <c r="J849" i="26"/>
  <c r="G849" i="26"/>
  <c r="C849" i="26"/>
  <c r="K848" i="26"/>
  <c r="J848" i="26"/>
  <c r="G848" i="26"/>
  <c r="C848" i="26"/>
  <c r="K847" i="26"/>
  <c r="J847" i="26"/>
  <c r="G847" i="26"/>
  <c r="C847" i="26"/>
  <c r="K846" i="26"/>
  <c r="J846" i="26"/>
  <c r="G846" i="26"/>
  <c r="C846" i="26"/>
  <c r="K845" i="26"/>
  <c r="J845" i="26"/>
  <c r="G845" i="26"/>
  <c r="C845" i="26"/>
  <c r="K844" i="26"/>
  <c r="J844" i="26"/>
  <c r="G844" i="26"/>
  <c r="C844" i="26"/>
  <c r="K843" i="26"/>
  <c r="J843" i="26"/>
  <c r="G843" i="26"/>
  <c r="C843" i="26"/>
  <c r="K842" i="26"/>
  <c r="J842" i="26"/>
  <c r="G842" i="26"/>
  <c r="C842" i="26"/>
  <c r="K841" i="26"/>
  <c r="J841" i="26"/>
  <c r="G841" i="26"/>
  <c r="C841" i="26"/>
  <c r="K840" i="26"/>
  <c r="J840" i="26"/>
  <c r="G840" i="26"/>
  <c r="C840" i="26"/>
  <c r="K839" i="26"/>
  <c r="J839" i="26"/>
  <c r="G839" i="26"/>
  <c r="C839" i="26"/>
  <c r="K838" i="26"/>
  <c r="J838" i="26"/>
  <c r="G838" i="26"/>
  <c r="C838" i="26"/>
  <c r="K837" i="26"/>
  <c r="J837" i="26"/>
  <c r="G837" i="26"/>
  <c r="C837" i="26"/>
  <c r="K836" i="26"/>
  <c r="J836" i="26"/>
  <c r="G836" i="26"/>
  <c r="C836" i="26"/>
  <c r="K835" i="26"/>
  <c r="J835" i="26"/>
  <c r="G835" i="26"/>
  <c r="C835" i="26"/>
  <c r="K834" i="26"/>
  <c r="J834" i="26"/>
  <c r="G834" i="26"/>
  <c r="C834" i="26"/>
  <c r="K833" i="26"/>
  <c r="J833" i="26"/>
  <c r="G833" i="26"/>
  <c r="C833" i="26"/>
  <c r="K832" i="26"/>
  <c r="J832" i="26"/>
  <c r="G832" i="26"/>
  <c r="C832" i="26"/>
  <c r="K831" i="26"/>
  <c r="J831" i="26"/>
  <c r="G831" i="26"/>
  <c r="C831" i="26"/>
  <c r="K830" i="26"/>
  <c r="J830" i="26"/>
  <c r="G830" i="26"/>
  <c r="C830" i="26"/>
  <c r="K829" i="26"/>
  <c r="J829" i="26"/>
  <c r="G829" i="26"/>
  <c r="C829" i="26"/>
  <c r="K828" i="26"/>
  <c r="J828" i="26"/>
  <c r="G828" i="26"/>
  <c r="C828" i="26"/>
  <c r="K827" i="26"/>
  <c r="J827" i="26"/>
  <c r="G827" i="26"/>
  <c r="C827" i="26"/>
  <c r="K826" i="26"/>
  <c r="J826" i="26"/>
  <c r="G826" i="26"/>
  <c r="C826" i="26"/>
  <c r="K825" i="26"/>
  <c r="J825" i="26"/>
  <c r="G825" i="26"/>
  <c r="C825" i="26"/>
  <c r="K824" i="26"/>
  <c r="J824" i="26"/>
  <c r="G824" i="26"/>
  <c r="C824" i="26"/>
  <c r="K823" i="26"/>
  <c r="J823" i="26"/>
  <c r="G823" i="26"/>
  <c r="C823" i="26"/>
  <c r="K822" i="26"/>
  <c r="J822" i="26"/>
  <c r="G822" i="26"/>
  <c r="C822" i="26"/>
  <c r="K821" i="26"/>
  <c r="J821" i="26"/>
  <c r="G821" i="26"/>
  <c r="C821" i="26"/>
  <c r="K820" i="26"/>
  <c r="J820" i="26"/>
  <c r="G820" i="26"/>
  <c r="C820" i="26"/>
  <c r="K819" i="26"/>
  <c r="J819" i="26"/>
  <c r="G819" i="26"/>
  <c r="C819" i="26"/>
  <c r="K818" i="26"/>
  <c r="J818" i="26"/>
  <c r="G818" i="26"/>
  <c r="C818" i="26"/>
  <c r="K817" i="26"/>
  <c r="J817" i="26"/>
  <c r="G817" i="26"/>
  <c r="C817" i="26"/>
  <c r="K816" i="26"/>
  <c r="J816" i="26"/>
  <c r="G816" i="26"/>
  <c r="C816" i="26"/>
  <c r="K815" i="26"/>
  <c r="J815" i="26"/>
  <c r="G815" i="26"/>
  <c r="C815" i="26"/>
  <c r="K814" i="26"/>
  <c r="J814" i="26"/>
  <c r="G814" i="26"/>
  <c r="C814" i="26"/>
  <c r="K813" i="26"/>
  <c r="J813" i="26"/>
  <c r="G813" i="26"/>
  <c r="C813" i="26"/>
  <c r="K812" i="26"/>
  <c r="J812" i="26"/>
  <c r="G812" i="26"/>
  <c r="C812" i="26"/>
  <c r="K811" i="26"/>
  <c r="J811" i="26"/>
  <c r="G811" i="26"/>
  <c r="C811" i="26"/>
  <c r="K810" i="26"/>
  <c r="J810" i="26"/>
  <c r="G810" i="26"/>
  <c r="C810" i="26"/>
  <c r="K809" i="26"/>
  <c r="J809" i="26"/>
  <c r="G809" i="26"/>
  <c r="C809" i="26"/>
  <c r="K808" i="26"/>
  <c r="J808" i="26"/>
  <c r="G808" i="26"/>
  <c r="C808" i="26"/>
  <c r="K807" i="26"/>
  <c r="J807" i="26"/>
  <c r="G807" i="26"/>
  <c r="C807" i="26"/>
  <c r="K806" i="26"/>
  <c r="J806" i="26"/>
  <c r="G806" i="26"/>
  <c r="C806" i="26"/>
  <c r="K805" i="26"/>
  <c r="J805" i="26"/>
  <c r="G805" i="26"/>
  <c r="C805" i="26"/>
  <c r="K804" i="26"/>
  <c r="J804" i="26"/>
  <c r="G804" i="26"/>
  <c r="C804" i="26"/>
  <c r="K803" i="26"/>
  <c r="J803" i="26"/>
  <c r="G803" i="26"/>
  <c r="C803" i="26"/>
  <c r="K802" i="26"/>
  <c r="J802" i="26"/>
  <c r="G802" i="26"/>
  <c r="C802" i="26"/>
  <c r="K801" i="26"/>
  <c r="J801" i="26"/>
  <c r="G801" i="26"/>
  <c r="C801" i="26"/>
  <c r="K800" i="26"/>
  <c r="J800" i="26"/>
  <c r="G800" i="26"/>
  <c r="C800" i="26"/>
  <c r="K799" i="26"/>
  <c r="J799" i="26"/>
  <c r="G799" i="26"/>
  <c r="C799" i="26"/>
  <c r="K798" i="26"/>
  <c r="J798" i="26"/>
  <c r="G798" i="26"/>
  <c r="C798" i="26"/>
  <c r="K797" i="26"/>
  <c r="J797" i="26"/>
  <c r="G797" i="26"/>
  <c r="C797" i="26"/>
  <c r="K796" i="26"/>
  <c r="J796" i="26"/>
  <c r="G796" i="26"/>
  <c r="C796" i="26"/>
  <c r="K795" i="26"/>
  <c r="J795" i="26"/>
  <c r="G795" i="26"/>
  <c r="C795" i="26"/>
  <c r="K794" i="26"/>
  <c r="J794" i="26"/>
  <c r="G794" i="26"/>
  <c r="C794" i="26"/>
  <c r="K793" i="26"/>
  <c r="J793" i="26"/>
  <c r="G793" i="26"/>
  <c r="C793" i="26"/>
  <c r="K792" i="26"/>
  <c r="J792" i="26"/>
  <c r="G792" i="26"/>
  <c r="C792" i="26"/>
  <c r="K791" i="26"/>
  <c r="J791" i="26"/>
  <c r="G791" i="26"/>
  <c r="C791" i="26"/>
  <c r="K790" i="26"/>
  <c r="J790" i="26"/>
  <c r="G790" i="26"/>
  <c r="C790" i="26"/>
  <c r="K789" i="26"/>
  <c r="J789" i="26"/>
  <c r="G789" i="26"/>
  <c r="C789" i="26"/>
  <c r="K788" i="26"/>
  <c r="J788" i="26"/>
  <c r="G788" i="26"/>
  <c r="C788" i="26"/>
  <c r="K787" i="26"/>
  <c r="J787" i="26"/>
  <c r="G787" i="26"/>
  <c r="C787" i="26"/>
  <c r="K786" i="26"/>
  <c r="J786" i="26"/>
  <c r="G786" i="26"/>
  <c r="C786" i="26"/>
  <c r="K785" i="26"/>
  <c r="J785" i="26"/>
  <c r="G785" i="26"/>
  <c r="C785" i="26"/>
  <c r="K784" i="26"/>
  <c r="J784" i="26"/>
  <c r="G784" i="26"/>
  <c r="C784" i="26"/>
  <c r="K783" i="26"/>
  <c r="J783" i="26"/>
  <c r="G783" i="26"/>
  <c r="C783" i="26"/>
  <c r="K782" i="26"/>
  <c r="J782" i="26"/>
  <c r="G782" i="26"/>
  <c r="C782" i="26"/>
  <c r="K781" i="26"/>
  <c r="J781" i="26"/>
  <c r="G781" i="26"/>
  <c r="C781" i="26"/>
  <c r="K780" i="26"/>
  <c r="J780" i="26"/>
  <c r="G780" i="26"/>
  <c r="C780" i="26"/>
  <c r="K779" i="26"/>
  <c r="J779" i="26"/>
  <c r="G779" i="26"/>
  <c r="C779" i="26"/>
  <c r="K778" i="26"/>
  <c r="J778" i="26"/>
  <c r="G778" i="26"/>
  <c r="C778" i="26"/>
  <c r="K777" i="26"/>
  <c r="J777" i="26"/>
  <c r="G777" i="26"/>
  <c r="C777" i="26"/>
  <c r="K776" i="26"/>
  <c r="J776" i="26"/>
  <c r="G776" i="26"/>
  <c r="C776" i="26"/>
  <c r="K775" i="26"/>
  <c r="J775" i="26"/>
  <c r="G775" i="26"/>
  <c r="C775" i="26"/>
  <c r="K774" i="26"/>
  <c r="J774" i="26"/>
  <c r="G774" i="26"/>
  <c r="C774" i="26"/>
  <c r="K773" i="26"/>
  <c r="J773" i="26"/>
  <c r="G773" i="26"/>
  <c r="C773" i="26"/>
  <c r="K772" i="26"/>
  <c r="J772" i="26"/>
  <c r="G772" i="26"/>
  <c r="C772" i="26"/>
  <c r="K771" i="26"/>
  <c r="J771" i="26"/>
  <c r="G771" i="26"/>
  <c r="C771" i="26"/>
  <c r="K770" i="26"/>
  <c r="J770" i="26"/>
  <c r="G770" i="26"/>
  <c r="C770" i="26"/>
  <c r="K769" i="26"/>
  <c r="J769" i="26"/>
  <c r="G769" i="26"/>
  <c r="C769" i="26"/>
  <c r="K768" i="26"/>
  <c r="J768" i="26"/>
  <c r="G768" i="26"/>
  <c r="C768" i="26"/>
  <c r="K767" i="26"/>
  <c r="J767" i="26"/>
  <c r="G767" i="26"/>
  <c r="C767" i="26"/>
  <c r="K766" i="26"/>
  <c r="J766" i="26"/>
  <c r="G766" i="26"/>
  <c r="C766" i="26"/>
  <c r="K765" i="26"/>
  <c r="J765" i="26"/>
  <c r="G765" i="26"/>
  <c r="C765" i="26"/>
  <c r="K764" i="26"/>
  <c r="J764" i="26"/>
  <c r="G764" i="26"/>
  <c r="C764" i="26"/>
  <c r="K763" i="26"/>
  <c r="J763" i="26"/>
  <c r="G763" i="26"/>
  <c r="C763" i="26"/>
  <c r="K762" i="26"/>
  <c r="J762" i="26"/>
  <c r="G762" i="26"/>
  <c r="C762" i="26"/>
  <c r="K761" i="26"/>
  <c r="J761" i="26"/>
  <c r="G761" i="26"/>
  <c r="C761" i="26"/>
  <c r="K760" i="26"/>
  <c r="J760" i="26"/>
  <c r="G760" i="26"/>
  <c r="C760" i="26"/>
  <c r="K759" i="26"/>
  <c r="J759" i="26"/>
  <c r="G759" i="26"/>
  <c r="C759" i="26"/>
  <c r="K758" i="26"/>
  <c r="J758" i="26"/>
  <c r="G758" i="26"/>
  <c r="C758" i="26"/>
  <c r="K757" i="26"/>
  <c r="J757" i="26"/>
  <c r="G757" i="26"/>
  <c r="C757" i="26"/>
  <c r="K756" i="26"/>
  <c r="J756" i="26"/>
  <c r="G756" i="26"/>
  <c r="C756" i="26"/>
  <c r="K755" i="26"/>
  <c r="J755" i="26"/>
  <c r="G755" i="26"/>
  <c r="C755" i="26"/>
  <c r="K754" i="26"/>
  <c r="J754" i="26"/>
  <c r="G754" i="26"/>
  <c r="C754" i="26"/>
  <c r="K753" i="26"/>
  <c r="J753" i="26"/>
  <c r="G753" i="26"/>
  <c r="C753" i="26"/>
  <c r="K752" i="26"/>
  <c r="J752" i="26"/>
  <c r="G752" i="26"/>
  <c r="C752" i="26"/>
  <c r="K751" i="26"/>
  <c r="J751" i="26"/>
  <c r="G751" i="26"/>
  <c r="C751" i="26"/>
  <c r="K750" i="26"/>
  <c r="J750" i="26"/>
  <c r="G750" i="26"/>
  <c r="C750" i="26"/>
  <c r="K749" i="26"/>
  <c r="J749" i="26"/>
  <c r="G749" i="26"/>
  <c r="C749" i="26"/>
  <c r="K748" i="26"/>
  <c r="J748" i="26"/>
  <c r="G748" i="26"/>
  <c r="C748" i="26"/>
  <c r="K747" i="26"/>
  <c r="J747" i="26"/>
  <c r="G747" i="26"/>
  <c r="C747" i="26"/>
  <c r="K746" i="26"/>
  <c r="J746" i="26"/>
  <c r="G746" i="26"/>
  <c r="C746" i="26"/>
  <c r="K745" i="26"/>
  <c r="J745" i="26"/>
  <c r="G745" i="26"/>
  <c r="C745" i="26"/>
  <c r="K744" i="26"/>
  <c r="J744" i="26"/>
  <c r="G744" i="26"/>
  <c r="C744" i="26"/>
  <c r="K743" i="26"/>
  <c r="J743" i="26"/>
  <c r="G743" i="26"/>
  <c r="C743" i="26"/>
  <c r="K742" i="26"/>
  <c r="J742" i="26"/>
  <c r="G742" i="26"/>
  <c r="C742" i="26"/>
  <c r="K741" i="26"/>
  <c r="J741" i="26"/>
  <c r="G741" i="26"/>
  <c r="C741" i="26"/>
  <c r="K740" i="26"/>
  <c r="J740" i="26"/>
  <c r="G740" i="26"/>
  <c r="C740" i="26"/>
  <c r="K739" i="26"/>
  <c r="J739" i="26"/>
  <c r="G739" i="26"/>
  <c r="C739" i="26"/>
  <c r="K738" i="26"/>
  <c r="J738" i="26"/>
  <c r="G738" i="26"/>
  <c r="C738" i="26"/>
  <c r="K737" i="26"/>
  <c r="J737" i="26"/>
  <c r="G737" i="26"/>
  <c r="C737" i="26"/>
  <c r="K736" i="26"/>
  <c r="J736" i="26"/>
  <c r="G736" i="26"/>
  <c r="C736" i="26"/>
  <c r="K735" i="26"/>
  <c r="J735" i="26"/>
  <c r="G735" i="26"/>
  <c r="C735" i="26"/>
  <c r="K734" i="26"/>
  <c r="J734" i="26"/>
  <c r="G734" i="26"/>
  <c r="C734" i="26"/>
  <c r="K733" i="26"/>
  <c r="J733" i="26"/>
  <c r="G733" i="26"/>
  <c r="C733" i="26"/>
  <c r="K732" i="26"/>
  <c r="J732" i="26"/>
  <c r="G732" i="26"/>
  <c r="C732" i="26"/>
  <c r="K731" i="26"/>
  <c r="J731" i="26"/>
  <c r="G731" i="26"/>
  <c r="C731" i="26"/>
  <c r="K730" i="26"/>
  <c r="J730" i="26"/>
  <c r="G730" i="26"/>
  <c r="C730" i="26"/>
  <c r="K729" i="26"/>
  <c r="J729" i="26"/>
  <c r="G729" i="26"/>
  <c r="C729" i="26"/>
  <c r="K728" i="26"/>
  <c r="J728" i="26"/>
  <c r="G728" i="26"/>
  <c r="C728" i="26"/>
  <c r="K727" i="26"/>
  <c r="J727" i="26"/>
  <c r="G727" i="26"/>
  <c r="C727" i="26"/>
  <c r="K726" i="26"/>
  <c r="J726" i="26"/>
  <c r="G726" i="26"/>
  <c r="C726" i="26"/>
  <c r="K725" i="26"/>
  <c r="J725" i="26"/>
  <c r="G725" i="26"/>
  <c r="C725" i="26"/>
  <c r="K724" i="26"/>
  <c r="J724" i="26"/>
  <c r="G724" i="26"/>
  <c r="C724" i="26"/>
  <c r="K723" i="26"/>
  <c r="J723" i="26"/>
  <c r="G723" i="26"/>
  <c r="C723" i="26"/>
  <c r="K722" i="26"/>
  <c r="J722" i="26"/>
  <c r="G722" i="26"/>
  <c r="C722" i="26"/>
  <c r="K721" i="26"/>
  <c r="J721" i="26"/>
  <c r="G721" i="26"/>
  <c r="C721" i="26"/>
  <c r="K720" i="26"/>
  <c r="J720" i="26"/>
  <c r="G720" i="26"/>
  <c r="C720" i="26"/>
  <c r="K719" i="26"/>
  <c r="J719" i="26"/>
  <c r="G719" i="26"/>
  <c r="C719" i="26"/>
  <c r="K718" i="26"/>
  <c r="J718" i="26"/>
  <c r="G718" i="26"/>
  <c r="C718" i="26"/>
  <c r="K717" i="26"/>
  <c r="J717" i="26"/>
  <c r="G717" i="26"/>
  <c r="C717" i="26"/>
  <c r="K716" i="26"/>
  <c r="J716" i="26"/>
  <c r="G716" i="26"/>
  <c r="C716" i="26"/>
  <c r="K715" i="26"/>
  <c r="J715" i="26"/>
  <c r="G715" i="26"/>
  <c r="C715" i="26"/>
  <c r="K714" i="26"/>
  <c r="J714" i="26"/>
  <c r="G714" i="26"/>
  <c r="C714" i="26"/>
  <c r="K713" i="26"/>
  <c r="J713" i="26"/>
  <c r="G713" i="26"/>
  <c r="C713" i="26"/>
  <c r="K712" i="26"/>
  <c r="J712" i="26"/>
  <c r="G712" i="26"/>
  <c r="C712" i="26"/>
  <c r="K711" i="26"/>
  <c r="J711" i="26"/>
  <c r="G711" i="26"/>
  <c r="C711" i="26"/>
  <c r="K710" i="26"/>
  <c r="J710" i="26"/>
  <c r="G710" i="26"/>
  <c r="C710" i="26"/>
  <c r="K709" i="26"/>
  <c r="J709" i="26"/>
  <c r="G709" i="26"/>
  <c r="C709" i="26"/>
  <c r="K708" i="26"/>
  <c r="J708" i="26"/>
  <c r="G708" i="26"/>
  <c r="C708" i="26"/>
  <c r="K707" i="26"/>
  <c r="J707" i="26"/>
  <c r="G707" i="26"/>
  <c r="C707" i="26"/>
  <c r="K706" i="26"/>
  <c r="J706" i="26"/>
  <c r="G706" i="26"/>
  <c r="C706" i="26"/>
  <c r="K705" i="26"/>
  <c r="J705" i="26"/>
  <c r="G705" i="26"/>
  <c r="C705" i="26"/>
  <c r="K704" i="26"/>
  <c r="J704" i="26"/>
  <c r="G704" i="26"/>
  <c r="C704" i="26"/>
  <c r="K703" i="26"/>
  <c r="J703" i="26"/>
  <c r="G703" i="26"/>
  <c r="C703" i="26"/>
  <c r="K702" i="26"/>
  <c r="J702" i="26"/>
  <c r="G702" i="26"/>
  <c r="C702" i="26"/>
  <c r="K701" i="26"/>
  <c r="J701" i="26"/>
  <c r="G701" i="26"/>
  <c r="C701" i="26"/>
  <c r="K700" i="26"/>
  <c r="J700" i="26"/>
  <c r="G700" i="26"/>
  <c r="C700" i="26"/>
  <c r="K699" i="26"/>
  <c r="J699" i="26"/>
  <c r="G699" i="26"/>
  <c r="C699" i="26"/>
  <c r="K698" i="26"/>
  <c r="J698" i="26"/>
  <c r="G698" i="26"/>
  <c r="C698" i="26"/>
  <c r="K697" i="26"/>
  <c r="J697" i="26"/>
  <c r="G697" i="26"/>
  <c r="C697" i="26"/>
  <c r="K696" i="26"/>
  <c r="J696" i="26"/>
  <c r="G696" i="26"/>
  <c r="C696" i="26"/>
  <c r="K695" i="26"/>
  <c r="J695" i="26"/>
  <c r="G695" i="26"/>
  <c r="C695" i="26"/>
  <c r="K694" i="26"/>
  <c r="J694" i="26"/>
  <c r="G694" i="26"/>
  <c r="C694" i="26"/>
  <c r="K693" i="26"/>
  <c r="J693" i="26"/>
  <c r="G693" i="26"/>
  <c r="C693" i="26"/>
  <c r="K692" i="26"/>
  <c r="J692" i="26"/>
  <c r="G692" i="26"/>
  <c r="C692" i="26"/>
  <c r="K691" i="26"/>
  <c r="J691" i="26"/>
  <c r="G691" i="26"/>
  <c r="C691" i="26"/>
  <c r="K690" i="26"/>
  <c r="J690" i="26"/>
  <c r="G690" i="26"/>
  <c r="C690" i="26"/>
  <c r="K689" i="26"/>
  <c r="J689" i="26"/>
  <c r="G689" i="26"/>
  <c r="C689" i="26"/>
  <c r="K688" i="26"/>
  <c r="J688" i="26"/>
  <c r="G688" i="26"/>
  <c r="C688" i="26"/>
  <c r="K687" i="26"/>
  <c r="J687" i="26"/>
  <c r="G687" i="26"/>
  <c r="C687" i="26"/>
  <c r="K686" i="26"/>
  <c r="J686" i="26"/>
  <c r="G686" i="26"/>
  <c r="C686" i="26"/>
  <c r="K685" i="26"/>
  <c r="J685" i="26"/>
  <c r="G685" i="26"/>
  <c r="C685" i="26"/>
  <c r="K684" i="26"/>
  <c r="J684" i="26"/>
  <c r="G684" i="26"/>
  <c r="C684" i="26"/>
  <c r="K683" i="26"/>
  <c r="J683" i="26"/>
  <c r="G683" i="26"/>
  <c r="C683" i="26"/>
  <c r="K682" i="26"/>
  <c r="J682" i="26"/>
  <c r="G682" i="26"/>
  <c r="C682" i="26"/>
  <c r="K681" i="26"/>
  <c r="J681" i="26"/>
  <c r="G681" i="26"/>
  <c r="C681" i="26"/>
  <c r="K680" i="26"/>
  <c r="J680" i="26"/>
  <c r="G680" i="26"/>
  <c r="C680" i="26"/>
  <c r="K679" i="26"/>
  <c r="J679" i="26"/>
  <c r="G679" i="26"/>
  <c r="C679" i="26"/>
  <c r="K678" i="26"/>
  <c r="J678" i="26"/>
  <c r="G678" i="26"/>
  <c r="C678" i="26"/>
  <c r="K677" i="26"/>
  <c r="J677" i="26"/>
  <c r="G677" i="26"/>
  <c r="C677" i="26"/>
  <c r="K676" i="26"/>
  <c r="J676" i="26"/>
  <c r="G676" i="26"/>
  <c r="C676" i="26"/>
  <c r="K675" i="26"/>
  <c r="J675" i="26"/>
  <c r="G675" i="26"/>
  <c r="C675" i="26"/>
  <c r="K674" i="26"/>
  <c r="J674" i="26"/>
  <c r="G674" i="26"/>
  <c r="C674" i="26"/>
  <c r="K673" i="26"/>
  <c r="J673" i="26"/>
  <c r="G673" i="26"/>
  <c r="C673" i="26"/>
  <c r="K672" i="26"/>
  <c r="J672" i="26"/>
  <c r="G672" i="26"/>
  <c r="C672" i="26"/>
  <c r="K671" i="26"/>
  <c r="J671" i="26"/>
  <c r="G671" i="26"/>
  <c r="C671" i="26"/>
  <c r="K670" i="26"/>
  <c r="J670" i="26"/>
  <c r="G670" i="26"/>
  <c r="C670" i="26"/>
  <c r="K669" i="26"/>
  <c r="J669" i="26"/>
  <c r="G669" i="26"/>
  <c r="C669" i="26"/>
  <c r="K668" i="26"/>
  <c r="J668" i="26"/>
  <c r="G668" i="26"/>
  <c r="C668" i="26"/>
  <c r="K667" i="26"/>
  <c r="J667" i="26"/>
  <c r="G667" i="26"/>
  <c r="C667" i="26"/>
  <c r="K666" i="26"/>
  <c r="J666" i="26"/>
  <c r="G666" i="26"/>
  <c r="C666" i="26"/>
  <c r="K665" i="26"/>
  <c r="J665" i="26"/>
  <c r="G665" i="26"/>
  <c r="C665" i="26"/>
  <c r="K664" i="26"/>
  <c r="J664" i="26"/>
  <c r="G664" i="26"/>
  <c r="C664" i="26"/>
  <c r="K663" i="26"/>
  <c r="J663" i="26"/>
  <c r="G663" i="26"/>
  <c r="C663" i="26"/>
  <c r="K662" i="26"/>
  <c r="J662" i="26"/>
  <c r="G662" i="26"/>
  <c r="C662" i="26"/>
  <c r="K661" i="26"/>
  <c r="J661" i="26"/>
  <c r="G661" i="26"/>
  <c r="C661" i="26"/>
  <c r="K660" i="26"/>
  <c r="J660" i="26"/>
  <c r="G660" i="26"/>
  <c r="C660" i="26"/>
  <c r="K659" i="26"/>
  <c r="J659" i="26"/>
  <c r="G659" i="26"/>
  <c r="C659" i="26"/>
  <c r="K658" i="26"/>
  <c r="J658" i="26"/>
  <c r="G658" i="26"/>
  <c r="C658" i="26"/>
  <c r="K657" i="26"/>
  <c r="J657" i="26"/>
  <c r="G657" i="26"/>
  <c r="C657" i="26"/>
  <c r="K656" i="26"/>
  <c r="J656" i="26"/>
  <c r="G656" i="26"/>
  <c r="C656" i="26"/>
  <c r="K655" i="26"/>
  <c r="J655" i="26"/>
  <c r="G655" i="26"/>
  <c r="C655" i="26"/>
  <c r="K654" i="26"/>
  <c r="J654" i="26"/>
  <c r="G654" i="26"/>
  <c r="C654" i="26"/>
  <c r="K653" i="26"/>
  <c r="J653" i="26"/>
  <c r="G653" i="26"/>
  <c r="C653" i="26"/>
  <c r="K652" i="26"/>
  <c r="J652" i="26"/>
  <c r="G652" i="26"/>
  <c r="C652" i="26"/>
  <c r="K651" i="26"/>
  <c r="J651" i="26"/>
  <c r="G651" i="26"/>
  <c r="C651" i="26"/>
  <c r="K650" i="26"/>
  <c r="J650" i="26"/>
  <c r="G650" i="26"/>
  <c r="C650" i="26"/>
  <c r="K649" i="26"/>
  <c r="J649" i="26"/>
  <c r="G649" i="26"/>
  <c r="C649" i="26"/>
  <c r="K648" i="26"/>
  <c r="J648" i="26"/>
  <c r="G648" i="26"/>
  <c r="C648" i="26"/>
  <c r="K647" i="26"/>
  <c r="J647" i="26"/>
  <c r="G647" i="26"/>
  <c r="C647" i="26"/>
  <c r="K646" i="26"/>
  <c r="J646" i="26"/>
  <c r="G646" i="26"/>
  <c r="C646" i="26"/>
  <c r="K645" i="26"/>
  <c r="J645" i="26"/>
  <c r="G645" i="26"/>
  <c r="C645" i="26"/>
  <c r="K644" i="26"/>
  <c r="J644" i="26"/>
  <c r="G644" i="26"/>
  <c r="C644" i="26"/>
  <c r="K643" i="26"/>
  <c r="J643" i="26"/>
  <c r="G643" i="26"/>
  <c r="C643" i="26"/>
  <c r="K642" i="26"/>
  <c r="J642" i="26"/>
  <c r="G642" i="26"/>
  <c r="C642" i="26"/>
  <c r="K641" i="26"/>
  <c r="J641" i="26"/>
  <c r="G641" i="26"/>
  <c r="C641" i="26"/>
  <c r="K640" i="26"/>
  <c r="J640" i="26"/>
  <c r="G640" i="26"/>
  <c r="C640" i="26"/>
  <c r="K639" i="26"/>
  <c r="J639" i="26"/>
  <c r="G639" i="26"/>
  <c r="C639" i="26"/>
  <c r="K638" i="26"/>
  <c r="J638" i="26"/>
  <c r="G638" i="26"/>
  <c r="C638" i="26"/>
  <c r="K637" i="26"/>
  <c r="J637" i="26"/>
  <c r="G637" i="26"/>
  <c r="C637" i="26"/>
  <c r="K636" i="26"/>
  <c r="J636" i="26"/>
  <c r="G636" i="26"/>
  <c r="C636" i="26"/>
  <c r="K635" i="26"/>
  <c r="J635" i="26"/>
  <c r="G635" i="26"/>
  <c r="C635" i="26"/>
  <c r="K634" i="26"/>
  <c r="J634" i="26"/>
  <c r="G634" i="26"/>
  <c r="C634" i="26"/>
  <c r="K633" i="26"/>
  <c r="J633" i="26"/>
  <c r="G633" i="26"/>
  <c r="C633" i="26"/>
  <c r="K632" i="26"/>
  <c r="J632" i="26"/>
  <c r="G632" i="26"/>
  <c r="C632" i="26"/>
  <c r="K631" i="26"/>
  <c r="J631" i="26"/>
  <c r="G631" i="26"/>
  <c r="C631" i="26"/>
  <c r="K630" i="26"/>
  <c r="J630" i="26"/>
  <c r="G630" i="26"/>
  <c r="C630" i="26"/>
  <c r="K629" i="26"/>
  <c r="J629" i="26"/>
  <c r="G629" i="26"/>
  <c r="C629" i="26"/>
  <c r="K628" i="26"/>
  <c r="J628" i="26"/>
  <c r="G628" i="26"/>
  <c r="C628" i="26"/>
  <c r="K627" i="26"/>
  <c r="J627" i="26"/>
  <c r="G627" i="26"/>
  <c r="C627" i="26"/>
  <c r="K626" i="26"/>
  <c r="J626" i="26"/>
  <c r="G626" i="26"/>
  <c r="C626" i="26"/>
  <c r="K625" i="26"/>
  <c r="J625" i="26"/>
  <c r="G625" i="26"/>
  <c r="C625" i="26"/>
  <c r="K624" i="26"/>
  <c r="J624" i="26"/>
  <c r="G624" i="26"/>
  <c r="C624" i="26"/>
  <c r="K623" i="26"/>
  <c r="J623" i="26"/>
  <c r="G623" i="26"/>
  <c r="C623" i="26"/>
  <c r="K622" i="26"/>
  <c r="J622" i="26"/>
  <c r="G622" i="26"/>
  <c r="C622" i="26"/>
  <c r="K621" i="26"/>
  <c r="J621" i="26"/>
  <c r="G621" i="26"/>
  <c r="C621" i="26"/>
  <c r="K620" i="26"/>
  <c r="J620" i="26"/>
  <c r="G620" i="26"/>
  <c r="C620" i="26"/>
  <c r="K619" i="26"/>
  <c r="J619" i="26"/>
  <c r="G619" i="26"/>
  <c r="C619" i="26"/>
  <c r="K618" i="26"/>
  <c r="J618" i="26"/>
  <c r="G618" i="26"/>
  <c r="C618" i="26"/>
  <c r="K617" i="26"/>
  <c r="J617" i="26"/>
  <c r="G617" i="26"/>
  <c r="C617" i="26"/>
  <c r="K616" i="26"/>
  <c r="J616" i="26"/>
  <c r="G616" i="26"/>
  <c r="C616" i="26"/>
  <c r="K615" i="26"/>
  <c r="J615" i="26"/>
  <c r="G615" i="26"/>
  <c r="C615" i="26"/>
  <c r="K614" i="26"/>
  <c r="J614" i="26"/>
  <c r="G614" i="26"/>
  <c r="C614" i="26"/>
  <c r="K613" i="26"/>
  <c r="J613" i="26"/>
  <c r="G613" i="26"/>
  <c r="C613" i="26"/>
  <c r="K612" i="26"/>
  <c r="J612" i="26"/>
  <c r="G612" i="26"/>
  <c r="C612" i="26"/>
  <c r="K611" i="26"/>
  <c r="J611" i="26"/>
  <c r="G611" i="26"/>
  <c r="C611" i="26"/>
  <c r="K610" i="26"/>
  <c r="J610" i="26"/>
  <c r="G610" i="26"/>
  <c r="C610" i="26"/>
  <c r="K609" i="26"/>
  <c r="J609" i="26"/>
  <c r="G609" i="26"/>
  <c r="C609" i="26"/>
  <c r="K608" i="26"/>
  <c r="J608" i="26"/>
  <c r="G608" i="26"/>
  <c r="C608" i="26"/>
  <c r="K607" i="26"/>
  <c r="J607" i="26"/>
  <c r="G607" i="26"/>
  <c r="C607" i="26"/>
  <c r="K606" i="26"/>
  <c r="J606" i="26"/>
  <c r="G606" i="26"/>
  <c r="C606" i="26"/>
  <c r="K605" i="26"/>
  <c r="J605" i="26"/>
  <c r="G605" i="26"/>
  <c r="C605" i="26"/>
  <c r="K604" i="26"/>
  <c r="J604" i="26"/>
  <c r="G604" i="26"/>
  <c r="C604" i="26"/>
  <c r="K603" i="26"/>
  <c r="J603" i="26"/>
  <c r="G603" i="26"/>
  <c r="C603" i="26"/>
  <c r="K602" i="26"/>
  <c r="J602" i="26"/>
  <c r="G602" i="26"/>
  <c r="C602" i="26"/>
  <c r="K601" i="26"/>
  <c r="J601" i="26"/>
  <c r="G601" i="26"/>
  <c r="C601" i="26"/>
  <c r="K600" i="26"/>
  <c r="J600" i="26"/>
  <c r="G600" i="26"/>
  <c r="C600" i="26"/>
  <c r="K599" i="26"/>
  <c r="J599" i="26"/>
  <c r="G599" i="26"/>
  <c r="C599" i="26"/>
  <c r="K598" i="26"/>
  <c r="J598" i="26"/>
  <c r="G598" i="26"/>
  <c r="C598" i="26"/>
  <c r="K597" i="26"/>
  <c r="J597" i="26"/>
  <c r="G597" i="26"/>
  <c r="C597" i="26"/>
  <c r="K596" i="26"/>
  <c r="J596" i="26"/>
  <c r="G596" i="26"/>
  <c r="C596" i="26"/>
  <c r="K595" i="26"/>
  <c r="J595" i="26"/>
  <c r="G595" i="26"/>
  <c r="C595" i="26"/>
  <c r="K594" i="26"/>
  <c r="J594" i="26"/>
  <c r="G594" i="26"/>
  <c r="C594" i="26"/>
  <c r="K593" i="26"/>
  <c r="J593" i="26"/>
  <c r="G593" i="26"/>
  <c r="C593" i="26"/>
  <c r="K592" i="26"/>
  <c r="J592" i="26"/>
  <c r="G592" i="26"/>
  <c r="C592" i="26"/>
  <c r="K591" i="26"/>
  <c r="J591" i="26"/>
  <c r="G591" i="26"/>
  <c r="C591" i="26"/>
  <c r="K590" i="26"/>
  <c r="J590" i="26"/>
  <c r="G590" i="26"/>
  <c r="C590" i="26"/>
  <c r="K589" i="26"/>
  <c r="J589" i="26"/>
  <c r="G589" i="26"/>
  <c r="C589" i="26"/>
  <c r="K588" i="26"/>
  <c r="J588" i="26"/>
  <c r="G588" i="26"/>
  <c r="C588" i="26"/>
  <c r="K587" i="26"/>
  <c r="J587" i="26"/>
  <c r="G587" i="26"/>
  <c r="C587" i="26"/>
  <c r="K586" i="26"/>
  <c r="J586" i="26"/>
  <c r="G586" i="26"/>
  <c r="C586" i="26"/>
  <c r="K585" i="26"/>
  <c r="J585" i="26"/>
  <c r="G585" i="26"/>
  <c r="C585" i="26"/>
  <c r="K584" i="26"/>
  <c r="J584" i="26"/>
  <c r="G584" i="26"/>
  <c r="C584" i="26"/>
  <c r="K583" i="26"/>
  <c r="J583" i="26"/>
  <c r="G583" i="26"/>
  <c r="C583" i="26"/>
  <c r="K582" i="26"/>
  <c r="J582" i="26"/>
  <c r="G582" i="26"/>
  <c r="C582" i="26"/>
  <c r="K581" i="26"/>
  <c r="J581" i="26"/>
  <c r="G581" i="26"/>
  <c r="C581" i="26"/>
  <c r="K580" i="26"/>
  <c r="J580" i="26"/>
  <c r="G580" i="26"/>
  <c r="C580" i="26"/>
  <c r="K579" i="26"/>
  <c r="J579" i="26"/>
  <c r="G579" i="26"/>
  <c r="C579" i="26"/>
  <c r="K578" i="26"/>
  <c r="J578" i="26"/>
  <c r="G578" i="26"/>
  <c r="C578" i="26"/>
  <c r="K577" i="26"/>
  <c r="J577" i="26"/>
  <c r="G577" i="26"/>
  <c r="C577" i="26"/>
  <c r="K576" i="26"/>
  <c r="J576" i="26"/>
  <c r="G576" i="26"/>
  <c r="C576" i="26"/>
  <c r="K575" i="26"/>
  <c r="J575" i="26"/>
  <c r="G575" i="26"/>
  <c r="C575" i="26"/>
  <c r="K574" i="26"/>
  <c r="J574" i="26"/>
  <c r="G574" i="26"/>
  <c r="C574" i="26"/>
  <c r="K573" i="26"/>
  <c r="J573" i="26"/>
  <c r="G573" i="26"/>
  <c r="C573" i="26"/>
  <c r="K572" i="26"/>
  <c r="J572" i="26"/>
  <c r="G572" i="26"/>
  <c r="C572" i="26"/>
  <c r="K571" i="26"/>
  <c r="J571" i="26"/>
  <c r="G571" i="26"/>
  <c r="C571" i="26"/>
  <c r="K570" i="26"/>
  <c r="J570" i="26"/>
  <c r="G570" i="26"/>
  <c r="C570" i="26"/>
  <c r="K569" i="26"/>
  <c r="J569" i="26"/>
  <c r="G569" i="26"/>
  <c r="C569" i="26"/>
  <c r="K568" i="26"/>
  <c r="J568" i="26"/>
  <c r="G568" i="26"/>
  <c r="C568" i="26"/>
  <c r="K567" i="26"/>
  <c r="J567" i="26"/>
  <c r="G567" i="26"/>
  <c r="C567" i="26"/>
  <c r="K566" i="26"/>
  <c r="J566" i="26"/>
  <c r="G566" i="26"/>
  <c r="C566" i="26"/>
  <c r="K565" i="26"/>
  <c r="J565" i="26"/>
  <c r="G565" i="26"/>
  <c r="C565" i="26"/>
  <c r="K564" i="26"/>
  <c r="J564" i="26"/>
  <c r="G564" i="26"/>
  <c r="C564" i="26"/>
  <c r="K563" i="26"/>
  <c r="J563" i="26"/>
  <c r="G563" i="26"/>
  <c r="C563" i="26"/>
  <c r="K562" i="26"/>
  <c r="J562" i="26"/>
  <c r="G562" i="26"/>
  <c r="C562" i="26"/>
  <c r="K561" i="26"/>
  <c r="J561" i="26"/>
  <c r="G561" i="26"/>
  <c r="C561" i="26"/>
  <c r="K560" i="26"/>
  <c r="J560" i="26"/>
  <c r="G560" i="26"/>
  <c r="C560" i="26"/>
  <c r="K559" i="26"/>
  <c r="J559" i="26"/>
  <c r="G559" i="26"/>
  <c r="C559" i="26"/>
  <c r="K558" i="26"/>
  <c r="J558" i="26"/>
  <c r="G558" i="26"/>
  <c r="C558" i="26"/>
  <c r="K557" i="26"/>
  <c r="J557" i="26"/>
  <c r="G557" i="26"/>
  <c r="C557" i="26"/>
  <c r="K556" i="26"/>
  <c r="J556" i="26"/>
  <c r="G556" i="26"/>
  <c r="C556" i="26"/>
  <c r="K555" i="26"/>
  <c r="J555" i="26"/>
  <c r="G555" i="26"/>
  <c r="C555" i="26"/>
  <c r="K554" i="26"/>
  <c r="J554" i="26"/>
  <c r="G554" i="26"/>
  <c r="C554" i="26"/>
  <c r="K553" i="26"/>
  <c r="J553" i="26"/>
  <c r="G553" i="26"/>
  <c r="C553" i="26"/>
  <c r="K552" i="26"/>
  <c r="J552" i="26"/>
  <c r="G552" i="26"/>
  <c r="C552" i="26"/>
  <c r="K551" i="26"/>
  <c r="J551" i="26"/>
  <c r="G551" i="26"/>
  <c r="C551" i="26"/>
  <c r="K550" i="26"/>
  <c r="J550" i="26"/>
  <c r="G550" i="26"/>
  <c r="C550" i="26"/>
  <c r="K549" i="26"/>
  <c r="J549" i="26"/>
  <c r="G549" i="26"/>
  <c r="C549" i="26"/>
  <c r="K548" i="26"/>
  <c r="J548" i="26"/>
  <c r="G548" i="26"/>
  <c r="C548" i="26"/>
  <c r="K547" i="26"/>
  <c r="J547" i="26"/>
  <c r="G547" i="26"/>
  <c r="C547" i="26"/>
  <c r="K546" i="26"/>
  <c r="J546" i="26"/>
  <c r="G546" i="26"/>
  <c r="C546" i="26"/>
  <c r="K545" i="26"/>
  <c r="J545" i="26"/>
  <c r="G545" i="26"/>
  <c r="C545" i="26"/>
  <c r="K544" i="26"/>
  <c r="J544" i="26"/>
  <c r="G544" i="26"/>
  <c r="C544" i="26"/>
  <c r="K543" i="26"/>
  <c r="J543" i="26"/>
  <c r="G543" i="26"/>
  <c r="C543" i="26"/>
  <c r="K542" i="26"/>
  <c r="J542" i="26"/>
  <c r="G542" i="26"/>
  <c r="C542" i="26"/>
  <c r="K541" i="26"/>
  <c r="J541" i="26"/>
  <c r="G541" i="26"/>
  <c r="C541" i="26"/>
  <c r="K540" i="26"/>
  <c r="J540" i="26"/>
  <c r="G540" i="26"/>
  <c r="C540" i="26"/>
  <c r="K539" i="26"/>
  <c r="J539" i="26"/>
  <c r="G539" i="26"/>
  <c r="C539" i="26"/>
  <c r="K538" i="26"/>
  <c r="J538" i="26"/>
  <c r="G538" i="26"/>
  <c r="C538" i="26"/>
  <c r="K537" i="26"/>
  <c r="J537" i="26"/>
  <c r="G537" i="26"/>
  <c r="C537" i="26"/>
  <c r="K536" i="26"/>
  <c r="J536" i="26"/>
  <c r="G536" i="26"/>
  <c r="C536" i="26"/>
  <c r="K535" i="26"/>
  <c r="J535" i="26"/>
  <c r="G535" i="26"/>
  <c r="C535" i="26"/>
  <c r="K534" i="26"/>
  <c r="J534" i="26"/>
  <c r="G534" i="26"/>
  <c r="C534" i="26"/>
  <c r="K533" i="26"/>
  <c r="J533" i="26"/>
  <c r="G533" i="26"/>
  <c r="C533" i="26"/>
  <c r="K532" i="26"/>
  <c r="J532" i="26"/>
  <c r="G532" i="26"/>
  <c r="C532" i="26"/>
  <c r="K531" i="26"/>
  <c r="J531" i="26"/>
  <c r="G531" i="26"/>
  <c r="C531" i="26"/>
  <c r="K530" i="26"/>
  <c r="J530" i="26"/>
  <c r="G530" i="26"/>
  <c r="C530" i="26"/>
  <c r="K529" i="26"/>
  <c r="J529" i="26"/>
  <c r="G529" i="26"/>
  <c r="C529" i="26"/>
  <c r="K528" i="26"/>
  <c r="J528" i="26"/>
  <c r="G528" i="26"/>
  <c r="C528" i="26"/>
  <c r="K527" i="26"/>
  <c r="J527" i="26"/>
  <c r="G527" i="26"/>
  <c r="C527" i="26"/>
  <c r="K526" i="26"/>
  <c r="J526" i="26"/>
  <c r="G526" i="26"/>
  <c r="C526" i="26"/>
  <c r="K525" i="26"/>
  <c r="J525" i="26"/>
  <c r="G525" i="26"/>
  <c r="C525" i="26"/>
  <c r="K524" i="26"/>
  <c r="J524" i="26"/>
  <c r="G524" i="26"/>
  <c r="C524" i="26"/>
  <c r="K523" i="26"/>
  <c r="J523" i="26"/>
  <c r="G523" i="26"/>
  <c r="C523" i="26"/>
  <c r="K522" i="26"/>
  <c r="J522" i="26"/>
  <c r="G522" i="26"/>
  <c r="C522" i="26"/>
  <c r="K521" i="26"/>
  <c r="J521" i="26"/>
  <c r="G521" i="26"/>
  <c r="C521" i="26"/>
  <c r="K520" i="26"/>
  <c r="J520" i="26"/>
  <c r="G520" i="26"/>
  <c r="C520" i="26"/>
  <c r="K519" i="26"/>
  <c r="J519" i="26"/>
  <c r="G519" i="26"/>
  <c r="C519" i="26"/>
  <c r="K518" i="26"/>
  <c r="J518" i="26"/>
  <c r="G518" i="26"/>
  <c r="C518" i="26"/>
  <c r="K517" i="26"/>
  <c r="J517" i="26"/>
  <c r="G517" i="26"/>
  <c r="C517" i="26"/>
  <c r="K516" i="26"/>
  <c r="J516" i="26"/>
  <c r="G516" i="26"/>
  <c r="C516" i="26"/>
  <c r="K515" i="26"/>
  <c r="J515" i="26"/>
  <c r="G515" i="26"/>
  <c r="C515" i="26"/>
  <c r="K514" i="26"/>
  <c r="J514" i="26"/>
  <c r="G514" i="26"/>
  <c r="C514" i="26"/>
  <c r="K513" i="26"/>
  <c r="J513" i="26"/>
  <c r="G513" i="26"/>
  <c r="C513" i="26"/>
  <c r="K512" i="26"/>
  <c r="J512" i="26"/>
  <c r="G512" i="26"/>
  <c r="C512" i="26"/>
  <c r="K511" i="26"/>
  <c r="J511" i="26"/>
  <c r="G511" i="26"/>
  <c r="C511" i="26"/>
  <c r="K510" i="26"/>
  <c r="J510" i="26"/>
  <c r="G510" i="26"/>
  <c r="C510" i="26"/>
  <c r="K509" i="26"/>
  <c r="J509" i="26"/>
  <c r="G509" i="26"/>
  <c r="C509" i="26"/>
  <c r="K508" i="26"/>
  <c r="J508" i="26"/>
  <c r="G508" i="26"/>
  <c r="C508" i="26"/>
  <c r="K507" i="26"/>
  <c r="J507" i="26"/>
  <c r="G507" i="26"/>
  <c r="C507" i="26"/>
  <c r="K506" i="26"/>
  <c r="J506" i="26"/>
  <c r="G506" i="26"/>
  <c r="C506" i="26"/>
  <c r="K505" i="26"/>
  <c r="J505" i="26"/>
  <c r="G505" i="26"/>
  <c r="C505" i="26"/>
  <c r="K504" i="26"/>
  <c r="J504" i="26"/>
  <c r="G504" i="26"/>
  <c r="C504" i="26"/>
  <c r="K503" i="26"/>
  <c r="J503" i="26"/>
  <c r="G503" i="26"/>
  <c r="C503" i="26"/>
  <c r="K502" i="26"/>
  <c r="J502" i="26"/>
  <c r="G502" i="26"/>
  <c r="C502" i="26"/>
  <c r="K501" i="26"/>
  <c r="J501" i="26"/>
  <c r="G501" i="26"/>
  <c r="C501" i="26"/>
  <c r="K500" i="26"/>
  <c r="J500" i="26"/>
  <c r="G500" i="26"/>
  <c r="C500" i="26"/>
  <c r="K499" i="26"/>
  <c r="J499" i="26"/>
  <c r="G499" i="26"/>
  <c r="C499" i="26"/>
  <c r="K498" i="26"/>
  <c r="J498" i="26"/>
  <c r="G498" i="26"/>
  <c r="C498" i="26"/>
  <c r="K497" i="26"/>
  <c r="J497" i="26"/>
  <c r="G497" i="26"/>
  <c r="C497" i="26"/>
  <c r="K496" i="26"/>
  <c r="J496" i="26"/>
  <c r="G496" i="26"/>
  <c r="C496" i="26"/>
  <c r="K495" i="26"/>
  <c r="J495" i="26"/>
  <c r="G495" i="26"/>
  <c r="C495" i="26"/>
  <c r="K494" i="26"/>
  <c r="J494" i="26"/>
  <c r="G494" i="26"/>
  <c r="C494" i="26"/>
  <c r="K493" i="26"/>
  <c r="J493" i="26"/>
  <c r="G493" i="26"/>
  <c r="C493" i="26"/>
  <c r="K492" i="26"/>
  <c r="J492" i="26"/>
  <c r="G492" i="26"/>
  <c r="C492" i="26"/>
  <c r="K491" i="26"/>
  <c r="J491" i="26"/>
  <c r="G491" i="26"/>
  <c r="C491" i="26"/>
  <c r="K490" i="26"/>
  <c r="J490" i="26"/>
  <c r="G490" i="26"/>
  <c r="C490" i="26"/>
  <c r="K489" i="26"/>
  <c r="J489" i="26"/>
  <c r="G489" i="26"/>
  <c r="C489" i="26"/>
  <c r="K488" i="26"/>
  <c r="J488" i="26"/>
  <c r="G488" i="26"/>
  <c r="C488" i="26"/>
  <c r="K487" i="26"/>
  <c r="J487" i="26"/>
  <c r="G487" i="26"/>
  <c r="C487" i="26"/>
  <c r="K486" i="26"/>
  <c r="J486" i="26"/>
  <c r="G486" i="26"/>
  <c r="C486" i="26"/>
  <c r="K485" i="26"/>
  <c r="J485" i="26"/>
  <c r="G485" i="26"/>
  <c r="C485" i="26"/>
  <c r="K484" i="26"/>
  <c r="J484" i="26"/>
  <c r="G484" i="26"/>
  <c r="C484" i="26"/>
  <c r="K483" i="26"/>
  <c r="J483" i="26"/>
  <c r="G483" i="26"/>
  <c r="C483" i="26"/>
  <c r="K482" i="26"/>
  <c r="J482" i="26"/>
  <c r="G482" i="26"/>
  <c r="C482" i="26"/>
  <c r="K481" i="26"/>
  <c r="J481" i="26"/>
  <c r="G481" i="26"/>
  <c r="C481" i="26"/>
  <c r="K480" i="26"/>
  <c r="J480" i="26"/>
  <c r="G480" i="26"/>
  <c r="C480" i="26"/>
  <c r="K479" i="26"/>
  <c r="J479" i="26"/>
  <c r="G479" i="26"/>
  <c r="C479" i="26"/>
  <c r="K478" i="26"/>
  <c r="J478" i="26"/>
  <c r="G478" i="26"/>
  <c r="C478" i="26"/>
  <c r="K477" i="26"/>
  <c r="J477" i="26"/>
  <c r="G477" i="26"/>
  <c r="C477" i="26"/>
  <c r="K476" i="26"/>
  <c r="J476" i="26"/>
  <c r="G476" i="26"/>
  <c r="C476" i="26"/>
  <c r="K475" i="26"/>
  <c r="J475" i="26"/>
  <c r="G475" i="26"/>
  <c r="C475" i="26"/>
  <c r="K474" i="26"/>
  <c r="J474" i="26"/>
  <c r="G474" i="26"/>
  <c r="C474" i="26"/>
  <c r="K473" i="26"/>
  <c r="J473" i="26"/>
  <c r="G473" i="26"/>
  <c r="C473" i="26"/>
  <c r="K472" i="26"/>
  <c r="J472" i="26"/>
  <c r="G472" i="26"/>
  <c r="C472" i="26"/>
  <c r="K471" i="26"/>
  <c r="J471" i="26"/>
  <c r="G471" i="26"/>
  <c r="C471" i="26"/>
  <c r="K470" i="26"/>
  <c r="J470" i="26"/>
  <c r="G470" i="26"/>
  <c r="C470" i="26"/>
  <c r="K469" i="26"/>
  <c r="J469" i="26"/>
  <c r="G469" i="26"/>
  <c r="C469" i="26"/>
  <c r="K468" i="26"/>
  <c r="J468" i="26"/>
  <c r="G468" i="26"/>
  <c r="C468" i="26"/>
  <c r="K467" i="26"/>
  <c r="J467" i="26"/>
  <c r="G467" i="26"/>
  <c r="C467" i="26"/>
  <c r="K466" i="26"/>
  <c r="J466" i="26"/>
  <c r="G466" i="26"/>
  <c r="C466" i="26"/>
  <c r="K465" i="26"/>
  <c r="J465" i="26"/>
  <c r="G465" i="26"/>
  <c r="C465" i="26"/>
  <c r="K464" i="26"/>
  <c r="J464" i="26"/>
  <c r="G464" i="26"/>
  <c r="C464" i="26"/>
  <c r="K463" i="26"/>
  <c r="J463" i="26"/>
  <c r="G463" i="26"/>
  <c r="C463" i="26"/>
  <c r="K462" i="26"/>
  <c r="J462" i="26"/>
  <c r="G462" i="26"/>
  <c r="C462" i="26"/>
  <c r="K461" i="26"/>
  <c r="J461" i="26"/>
  <c r="G461" i="26"/>
  <c r="C461" i="26"/>
  <c r="K460" i="26"/>
  <c r="J460" i="26"/>
  <c r="G460" i="26"/>
  <c r="C460" i="26"/>
  <c r="K459" i="26"/>
  <c r="J459" i="26"/>
  <c r="G459" i="26"/>
  <c r="C459" i="26"/>
  <c r="K458" i="26"/>
  <c r="J458" i="26"/>
  <c r="G458" i="26"/>
  <c r="C458" i="26"/>
  <c r="K457" i="26"/>
  <c r="J457" i="26"/>
  <c r="G457" i="26"/>
  <c r="C457" i="26"/>
  <c r="K456" i="26"/>
  <c r="J456" i="26"/>
  <c r="G456" i="26"/>
  <c r="C456" i="26"/>
  <c r="K455" i="26"/>
  <c r="J455" i="26"/>
  <c r="G455" i="26"/>
  <c r="C455" i="26"/>
  <c r="K454" i="26"/>
  <c r="J454" i="26"/>
  <c r="G454" i="26"/>
  <c r="C454" i="26"/>
  <c r="K453" i="26"/>
  <c r="J453" i="26"/>
  <c r="G453" i="26"/>
  <c r="C453" i="26"/>
  <c r="K452" i="26"/>
  <c r="J452" i="26"/>
  <c r="G452" i="26"/>
  <c r="C452" i="26"/>
  <c r="K451" i="26"/>
  <c r="J451" i="26"/>
  <c r="G451" i="26"/>
  <c r="C451" i="26"/>
  <c r="K450" i="26"/>
  <c r="J450" i="26"/>
  <c r="G450" i="26"/>
  <c r="C450" i="26"/>
  <c r="K449" i="26"/>
  <c r="J449" i="26"/>
  <c r="G449" i="26"/>
  <c r="C449" i="26"/>
  <c r="K448" i="26"/>
  <c r="J448" i="26"/>
  <c r="G448" i="26"/>
  <c r="C448" i="26"/>
  <c r="K447" i="26"/>
  <c r="J447" i="26"/>
  <c r="G447" i="26"/>
  <c r="C447" i="26"/>
  <c r="K446" i="26"/>
  <c r="J446" i="26"/>
  <c r="G446" i="26"/>
  <c r="C446" i="26"/>
  <c r="K445" i="26"/>
  <c r="J445" i="26"/>
  <c r="G445" i="26"/>
  <c r="C445" i="26"/>
  <c r="K444" i="26"/>
  <c r="J444" i="26"/>
  <c r="G444" i="26"/>
  <c r="C444" i="26"/>
  <c r="K443" i="26"/>
  <c r="J443" i="26"/>
  <c r="G443" i="26"/>
  <c r="C443" i="26"/>
  <c r="K442" i="26"/>
  <c r="J442" i="26"/>
  <c r="G442" i="26"/>
  <c r="C442" i="26"/>
  <c r="K441" i="26"/>
  <c r="J441" i="26"/>
  <c r="G441" i="26"/>
  <c r="C441" i="26"/>
  <c r="K440" i="26"/>
  <c r="J440" i="26"/>
  <c r="G440" i="26"/>
  <c r="C440" i="26"/>
  <c r="K439" i="26"/>
  <c r="J439" i="26"/>
  <c r="G439" i="26"/>
  <c r="C439" i="26"/>
  <c r="K438" i="26"/>
  <c r="J438" i="26"/>
  <c r="G438" i="26"/>
  <c r="C438" i="26"/>
  <c r="K437" i="26"/>
  <c r="J437" i="26"/>
  <c r="G437" i="26"/>
  <c r="C437" i="26"/>
  <c r="K436" i="26"/>
  <c r="J436" i="26"/>
  <c r="G436" i="26"/>
  <c r="C436" i="26"/>
  <c r="K435" i="26"/>
  <c r="J435" i="26"/>
  <c r="G435" i="26"/>
  <c r="C435" i="26"/>
  <c r="K434" i="26"/>
  <c r="J434" i="26"/>
  <c r="G434" i="26"/>
  <c r="C434" i="26"/>
  <c r="K433" i="26"/>
  <c r="J433" i="26"/>
  <c r="G433" i="26"/>
  <c r="C433" i="26"/>
  <c r="K432" i="26"/>
  <c r="J432" i="26"/>
  <c r="G432" i="26"/>
  <c r="C432" i="26"/>
  <c r="K431" i="26"/>
  <c r="J431" i="26"/>
  <c r="G431" i="26"/>
  <c r="C431" i="26"/>
  <c r="K430" i="26"/>
  <c r="J430" i="26"/>
  <c r="G430" i="26"/>
  <c r="C430" i="26"/>
  <c r="K429" i="26"/>
  <c r="J429" i="26"/>
  <c r="G429" i="26"/>
  <c r="C429" i="26"/>
  <c r="K428" i="26"/>
  <c r="J428" i="26"/>
  <c r="G428" i="26"/>
  <c r="C428" i="26"/>
  <c r="K427" i="26"/>
  <c r="J427" i="26"/>
  <c r="G427" i="26"/>
  <c r="C427" i="26"/>
  <c r="K426" i="26"/>
  <c r="J426" i="26"/>
  <c r="G426" i="26"/>
  <c r="C426" i="26"/>
  <c r="K425" i="26"/>
  <c r="J425" i="26"/>
  <c r="G425" i="26"/>
  <c r="C425" i="26"/>
  <c r="K424" i="26"/>
  <c r="J424" i="26"/>
  <c r="G424" i="26"/>
  <c r="C424" i="26"/>
  <c r="K423" i="26"/>
  <c r="J423" i="26"/>
  <c r="G423" i="26"/>
  <c r="C423" i="26"/>
  <c r="K422" i="26"/>
  <c r="J422" i="26"/>
  <c r="G422" i="26"/>
  <c r="C422" i="26"/>
  <c r="K421" i="26"/>
  <c r="J421" i="26"/>
  <c r="G421" i="26"/>
  <c r="C421" i="26"/>
  <c r="K420" i="26"/>
  <c r="J420" i="26"/>
  <c r="G420" i="26"/>
  <c r="C420" i="26"/>
  <c r="K419" i="26"/>
  <c r="J419" i="26"/>
  <c r="G419" i="26"/>
  <c r="C419" i="26"/>
  <c r="K418" i="26"/>
  <c r="J418" i="26"/>
  <c r="G418" i="26"/>
  <c r="C418" i="26"/>
  <c r="K417" i="26"/>
  <c r="J417" i="26"/>
  <c r="G417" i="26"/>
  <c r="C417" i="26"/>
  <c r="K416" i="26"/>
  <c r="J416" i="26"/>
  <c r="G416" i="26"/>
  <c r="C416" i="26"/>
  <c r="K415" i="26"/>
  <c r="J415" i="26"/>
  <c r="G415" i="26"/>
  <c r="C415" i="26"/>
  <c r="K414" i="26"/>
  <c r="J414" i="26"/>
  <c r="G414" i="26"/>
  <c r="C414" i="26"/>
  <c r="K413" i="26"/>
  <c r="J413" i="26"/>
  <c r="G413" i="26"/>
  <c r="C413" i="26"/>
  <c r="K412" i="26"/>
  <c r="J412" i="26"/>
  <c r="G412" i="26"/>
  <c r="C412" i="26"/>
  <c r="K411" i="26"/>
  <c r="J411" i="26"/>
  <c r="G411" i="26"/>
  <c r="C411" i="26"/>
  <c r="K410" i="26"/>
  <c r="J410" i="26"/>
  <c r="G410" i="26"/>
  <c r="C410" i="26"/>
  <c r="K409" i="26"/>
  <c r="J409" i="26"/>
  <c r="G409" i="26"/>
  <c r="C409" i="26"/>
  <c r="K408" i="26"/>
  <c r="J408" i="26"/>
  <c r="G408" i="26"/>
  <c r="C408" i="26"/>
  <c r="K407" i="26"/>
  <c r="J407" i="26"/>
  <c r="G407" i="26"/>
  <c r="C407" i="26"/>
  <c r="K406" i="26"/>
  <c r="J406" i="26"/>
  <c r="G406" i="26"/>
  <c r="C406" i="26"/>
  <c r="K405" i="26"/>
  <c r="J405" i="26"/>
  <c r="G405" i="26"/>
  <c r="C405" i="26"/>
  <c r="K404" i="26"/>
  <c r="J404" i="26"/>
  <c r="G404" i="26"/>
  <c r="C404" i="26"/>
  <c r="K403" i="26"/>
  <c r="J403" i="26"/>
  <c r="G403" i="26"/>
  <c r="C403" i="26"/>
  <c r="K402" i="26"/>
  <c r="J402" i="26"/>
  <c r="G402" i="26"/>
  <c r="C402" i="26"/>
  <c r="K401" i="26"/>
  <c r="J401" i="26"/>
  <c r="G401" i="26"/>
  <c r="C401" i="26"/>
  <c r="K400" i="26"/>
  <c r="J400" i="26"/>
  <c r="G400" i="26"/>
  <c r="C400" i="26"/>
  <c r="K399" i="26"/>
  <c r="J399" i="26"/>
  <c r="G399" i="26"/>
  <c r="C399" i="26"/>
  <c r="K398" i="26"/>
  <c r="J398" i="26"/>
  <c r="G398" i="26"/>
  <c r="C398" i="26"/>
  <c r="K397" i="26"/>
  <c r="J397" i="26"/>
  <c r="G397" i="26"/>
  <c r="C397" i="26"/>
  <c r="K396" i="26"/>
  <c r="J396" i="26"/>
  <c r="G396" i="26"/>
  <c r="C396" i="26"/>
  <c r="K395" i="26"/>
  <c r="J395" i="26"/>
  <c r="G395" i="26"/>
  <c r="C395" i="26"/>
  <c r="K394" i="26"/>
  <c r="J394" i="26"/>
  <c r="G394" i="26"/>
  <c r="C394" i="26"/>
  <c r="K393" i="26"/>
  <c r="J393" i="26"/>
  <c r="G393" i="26"/>
  <c r="C393" i="26"/>
  <c r="K392" i="26"/>
  <c r="J392" i="26"/>
  <c r="G392" i="26"/>
  <c r="C392" i="26"/>
  <c r="K391" i="26"/>
  <c r="J391" i="26"/>
  <c r="G391" i="26"/>
  <c r="C391" i="26"/>
  <c r="K390" i="26"/>
  <c r="J390" i="26"/>
  <c r="G390" i="26"/>
  <c r="C390" i="26"/>
  <c r="K389" i="26"/>
  <c r="J389" i="26"/>
  <c r="G389" i="26"/>
  <c r="C389" i="26"/>
  <c r="K388" i="26"/>
  <c r="J388" i="26"/>
  <c r="G388" i="26"/>
  <c r="C388" i="26"/>
  <c r="K387" i="26"/>
  <c r="J387" i="26"/>
  <c r="G387" i="26"/>
  <c r="C387" i="26"/>
  <c r="K386" i="26"/>
  <c r="J386" i="26"/>
  <c r="G386" i="26"/>
  <c r="C386" i="26"/>
  <c r="K385" i="26"/>
  <c r="J385" i="26"/>
  <c r="G385" i="26"/>
  <c r="C385" i="26"/>
  <c r="K384" i="26"/>
  <c r="J384" i="26"/>
  <c r="G384" i="26"/>
  <c r="C384" i="26"/>
  <c r="K383" i="26"/>
  <c r="J383" i="26"/>
  <c r="G383" i="26"/>
  <c r="C383" i="26"/>
  <c r="K382" i="26"/>
  <c r="J382" i="26"/>
  <c r="G382" i="26"/>
  <c r="C382" i="26"/>
  <c r="K381" i="26"/>
  <c r="J381" i="26"/>
  <c r="G381" i="26"/>
  <c r="C381" i="26"/>
  <c r="K380" i="26"/>
  <c r="J380" i="26"/>
  <c r="G380" i="26"/>
  <c r="C380" i="26"/>
  <c r="K379" i="26"/>
  <c r="J379" i="26"/>
  <c r="G379" i="26"/>
  <c r="C379" i="26"/>
  <c r="K378" i="26"/>
  <c r="J378" i="26"/>
  <c r="G378" i="26"/>
  <c r="C378" i="26"/>
  <c r="K377" i="26"/>
  <c r="J377" i="26"/>
  <c r="G377" i="26"/>
  <c r="C377" i="26"/>
  <c r="K376" i="26"/>
  <c r="J376" i="26"/>
  <c r="G376" i="26"/>
  <c r="C376" i="26"/>
  <c r="K375" i="26"/>
  <c r="J375" i="26"/>
  <c r="G375" i="26"/>
  <c r="C375" i="26"/>
  <c r="K374" i="26"/>
  <c r="J374" i="26"/>
  <c r="G374" i="26"/>
  <c r="C374" i="26"/>
  <c r="K373" i="26"/>
  <c r="J373" i="26"/>
  <c r="G373" i="26"/>
  <c r="C373" i="26"/>
  <c r="K372" i="26"/>
  <c r="J372" i="26"/>
  <c r="G372" i="26"/>
  <c r="C372" i="26"/>
  <c r="K371" i="26"/>
  <c r="J371" i="26"/>
  <c r="G371" i="26"/>
  <c r="C371" i="26"/>
  <c r="K370" i="26"/>
  <c r="J370" i="26"/>
  <c r="G370" i="26"/>
  <c r="C370" i="26"/>
  <c r="K369" i="26"/>
  <c r="J369" i="26"/>
  <c r="G369" i="26"/>
  <c r="C369" i="26"/>
  <c r="K368" i="26"/>
  <c r="J368" i="26"/>
  <c r="G368" i="26"/>
  <c r="C368" i="26"/>
  <c r="K367" i="26"/>
  <c r="J367" i="26"/>
  <c r="G367" i="26"/>
  <c r="C367" i="26"/>
  <c r="K366" i="26"/>
  <c r="J366" i="26"/>
  <c r="G366" i="26"/>
  <c r="C366" i="26"/>
  <c r="K365" i="26"/>
  <c r="J365" i="26"/>
  <c r="G365" i="26"/>
  <c r="C365" i="26"/>
  <c r="K364" i="26"/>
  <c r="J364" i="26"/>
  <c r="G364" i="26"/>
  <c r="C364" i="26"/>
  <c r="K363" i="26"/>
  <c r="J363" i="26"/>
  <c r="G363" i="26"/>
  <c r="C363" i="26"/>
  <c r="K362" i="26"/>
  <c r="J362" i="26"/>
  <c r="G362" i="26"/>
  <c r="C362" i="26"/>
  <c r="K361" i="26"/>
  <c r="J361" i="26"/>
  <c r="G361" i="26"/>
  <c r="C361" i="26"/>
  <c r="K360" i="26"/>
  <c r="J360" i="26"/>
  <c r="G360" i="26"/>
  <c r="C360" i="26"/>
  <c r="K359" i="26"/>
  <c r="J359" i="26"/>
  <c r="G359" i="26"/>
  <c r="C359" i="26"/>
  <c r="K358" i="26"/>
  <c r="J358" i="26"/>
  <c r="G358" i="26"/>
  <c r="C358" i="26"/>
  <c r="K357" i="26"/>
  <c r="J357" i="26"/>
  <c r="G357" i="26"/>
  <c r="C357" i="26"/>
  <c r="K356" i="26"/>
  <c r="J356" i="26"/>
  <c r="G356" i="26"/>
  <c r="C356" i="26"/>
  <c r="K355" i="26"/>
  <c r="J355" i="26"/>
  <c r="G355" i="26"/>
  <c r="C355" i="26"/>
  <c r="K354" i="26"/>
  <c r="J354" i="26"/>
  <c r="G354" i="26"/>
  <c r="C354" i="26"/>
  <c r="K353" i="26"/>
  <c r="J353" i="26"/>
  <c r="G353" i="26"/>
  <c r="C353" i="26"/>
  <c r="K352" i="26"/>
  <c r="J352" i="26"/>
  <c r="G352" i="26"/>
  <c r="C352" i="26"/>
  <c r="K351" i="26"/>
  <c r="J351" i="26"/>
  <c r="G351" i="26"/>
  <c r="C351" i="26"/>
  <c r="K350" i="26"/>
  <c r="J350" i="26"/>
  <c r="G350" i="26"/>
  <c r="C350" i="26"/>
  <c r="K349" i="26"/>
  <c r="J349" i="26"/>
  <c r="G349" i="26"/>
  <c r="C349" i="26"/>
  <c r="K348" i="26"/>
  <c r="J348" i="26"/>
  <c r="G348" i="26"/>
  <c r="C348" i="26"/>
  <c r="K347" i="26"/>
  <c r="J347" i="26"/>
  <c r="G347" i="26"/>
  <c r="C347" i="26"/>
  <c r="K346" i="26"/>
  <c r="J346" i="26"/>
  <c r="G346" i="26"/>
  <c r="C346" i="26"/>
  <c r="K345" i="26"/>
  <c r="J345" i="26"/>
  <c r="G345" i="26"/>
  <c r="C345" i="26"/>
  <c r="K344" i="26"/>
  <c r="J344" i="26"/>
  <c r="G344" i="26"/>
  <c r="C344" i="26"/>
  <c r="K343" i="26"/>
  <c r="J343" i="26"/>
  <c r="G343" i="26"/>
  <c r="C343" i="26"/>
  <c r="K342" i="26"/>
  <c r="J342" i="26"/>
  <c r="G342" i="26"/>
  <c r="C342" i="26"/>
  <c r="K341" i="26"/>
  <c r="J341" i="26"/>
  <c r="G341" i="26"/>
  <c r="C341" i="26"/>
  <c r="K340" i="26"/>
  <c r="J340" i="26"/>
  <c r="G340" i="26"/>
  <c r="C340" i="26"/>
  <c r="K339" i="26"/>
  <c r="J339" i="26"/>
  <c r="G339" i="26"/>
  <c r="C339" i="26"/>
  <c r="K338" i="26"/>
  <c r="J338" i="26"/>
  <c r="G338" i="26"/>
  <c r="C338" i="26"/>
  <c r="K337" i="26"/>
  <c r="J337" i="26"/>
  <c r="G337" i="26"/>
  <c r="C337" i="26"/>
  <c r="K336" i="26"/>
  <c r="J336" i="26"/>
  <c r="G336" i="26"/>
  <c r="C336" i="26"/>
  <c r="K335" i="26"/>
  <c r="J335" i="26"/>
  <c r="G335" i="26"/>
  <c r="C335" i="26"/>
  <c r="K334" i="26"/>
  <c r="J334" i="26"/>
  <c r="G334" i="26"/>
  <c r="C334" i="26"/>
  <c r="K333" i="26"/>
  <c r="J333" i="26"/>
  <c r="G333" i="26"/>
  <c r="C333" i="26"/>
  <c r="K332" i="26"/>
  <c r="J332" i="26"/>
  <c r="G332" i="26"/>
  <c r="C332" i="26"/>
  <c r="K331" i="26"/>
  <c r="J331" i="26"/>
  <c r="G331" i="26"/>
  <c r="C331" i="26"/>
  <c r="K330" i="26"/>
  <c r="J330" i="26"/>
  <c r="G330" i="26"/>
  <c r="C330" i="26"/>
  <c r="K329" i="26"/>
  <c r="J329" i="26"/>
  <c r="G329" i="26"/>
  <c r="C329" i="26"/>
  <c r="K328" i="26"/>
  <c r="J328" i="26"/>
  <c r="G328" i="26"/>
  <c r="C328" i="26"/>
  <c r="K327" i="26"/>
  <c r="J327" i="26"/>
  <c r="G327" i="26"/>
  <c r="C327" i="26"/>
  <c r="K326" i="26"/>
  <c r="J326" i="26"/>
  <c r="G326" i="26"/>
  <c r="C326" i="26"/>
  <c r="K325" i="26"/>
  <c r="J325" i="26"/>
  <c r="G325" i="26"/>
  <c r="C325" i="26"/>
  <c r="K324" i="26"/>
  <c r="J324" i="26"/>
  <c r="G324" i="26"/>
  <c r="C324" i="26"/>
  <c r="K323" i="26"/>
  <c r="J323" i="26"/>
  <c r="G323" i="26"/>
  <c r="C323" i="26"/>
  <c r="K322" i="26"/>
  <c r="J322" i="26"/>
  <c r="G322" i="26"/>
  <c r="C322" i="26"/>
  <c r="K321" i="26"/>
  <c r="J321" i="26"/>
  <c r="G321" i="26"/>
  <c r="C321" i="26"/>
  <c r="K320" i="26"/>
  <c r="J320" i="26"/>
  <c r="G320" i="26"/>
  <c r="C320" i="26"/>
  <c r="K319" i="26"/>
  <c r="J319" i="26"/>
  <c r="G319" i="26"/>
  <c r="C319" i="26"/>
  <c r="K318" i="26"/>
  <c r="J318" i="26"/>
  <c r="G318" i="26"/>
  <c r="C318" i="26"/>
  <c r="K317" i="26"/>
  <c r="J317" i="26"/>
  <c r="G317" i="26"/>
  <c r="C317" i="26"/>
  <c r="K316" i="26"/>
  <c r="J316" i="26"/>
  <c r="G316" i="26"/>
  <c r="C316" i="26"/>
  <c r="K315" i="26"/>
  <c r="J315" i="26"/>
  <c r="G315" i="26"/>
  <c r="C315" i="26"/>
  <c r="K314" i="26"/>
  <c r="J314" i="26"/>
  <c r="G314" i="26"/>
  <c r="C314" i="26"/>
  <c r="K313" i="26"/>
  <c r="J313" i="26"/>
  <c r="G313" i="26"/>
  <c r="C313" i="26"/>
  <c r="K312" i="26"/>
  <c r="J312" i="26"/>
  <c r="G312" i="26"/>
  <c r="C312" i="26"/>
  <c r="K311" i="26"/>
  <c r="J311" i="26"/>
  <c r="G311" i="26"/>
  <c r="C311" i="26"/>
  <c r="K310" i="26"/>
  <c r="J310" i="26"/>
  <c r="G310" i="26"/>
  <c r="C310" i="26"/>
  <c r="K309" i="26"/>
  <c r="J309" i="26"/>
  <c r="G309" i="26"/>
  <c r="C309" i="26"/>
  <c r="K308" i="26"/>
  <c r="J308" i="26"/>
  <c r="G308" i="26"/>
  <c r="C308" i="26"/>
  <c r="K307" i="26"/>
  <c r="J307" i="26"/>
  <c r="G307" i="26"/>
  <c r="C307" i="26"/>
  <c r="K306" i="26"/>
  <c r="J306" i="26"/>
  <c r="G306" i="26"/>
  <c r="C306" i="26"/>
  <c r="K305" i="26"/>
  <c r="J305" i="26"/>
  <c r="G305" i="26"/>
  <c r="C305" i="26"/>
  <c r="K304" i="26"/>
  <c r="J304" i="26"/>
  <c r="G304" i="26"/>
  <c r="C304" i="26"/>
  <c r="K303" i="26"/>
  <c r="J303" i="26"/>
  <c r="G303" i="26"/>
  <c r="C303" i="26"/>
  <c r="K302" i="26"/>
  <c r="J302" i="26"/>
  <c r="G302" i="26"/>
  <c r="C302" i="26"/>
  <c r="K301" i="26"/>
  <c r="J301" i="26"/>
  <c r="F301" i="26"/>
  <c r="B301" i="26"/>
  <c r="C301" i="26" s="1"/>
  <c r="J300" i="26"/>
  <c r="F300" i="26"/>
  <c r="G300" i="26" s="1"/>
  <c r="B300" i="26"/>
  <c r="C300" i="26" s="1"/>
  <c r="K299" i="26"/>
  <c r="J299" i="26"/>
  <c r="F299" i="26"/>
  <c r="B299" i="26"/>
  <c r="J298" i="26"/>
  <c r="F298" i="26"/>
  <c r="B298" i="26"/>
  <c r="F297" i="26"/>
  <c r="B297" i="26"/>
  <c r="C297" i="26" s="1"/>
  <c r="J296" i="26"/>
  <c r="F296" i="26"/>
  <c r="G296" i="26" s="1"/>
  <c r="C296" i="26"/>
  <c r="B296" i="26"/>
  <c r="J295" i="26" s="1"/>
  <c r="K295" i="26"/>
  <c r="F295" i="26"/>
  <c r="B295" i="26"/>
  <c r="C295" i="26" s="1"/>
  <c r="J294" i="26"/>
  <c r="F294" i="26"/>
  <c r="G294" i="26" s="1"/>
  <c r="B294" i="26"/>
  <c r="C294" i="26" s="1"/>
  <c r="K293" i="26"/>
  <c r="F293" i="26"/>
  <c r="B293" i="26"/>
  <c r="F292" i="26"/>
  <c r="C292" i="26"/>
  <c r="B292" i="26"/>
  <c r="F291" i="26"/>
  <c r="B291" i="26"/>
  <c r="C291" i="26" s="1"/>
  <c r="J290" i="26"/>
  <c r="F290" i="26"/>
  <c r="B290" i="26"/>
  <c r="C290" i="26" s="1"/>
  <c r="J289" i="26"/>
  <c r="F289" i="26"/>
  <c r="B289" i="26"/>
  <c r="F288" i="26"/>
  <c r="B288" i="26"/>
  <c r="K287" i="26"/>
  <c r="F287" i="26"/>
  <c r="B287" i="26"/>
  <c r="G286" i="26"/>
  <c r="F286" i="26"/>
  <c r="K285" i="26" s="1"/>
  <c r="B286" i="26"/>
  <c r="F285" i="26"/>
  <c r="B285" i="26"/>
  <c r="F284" i="26"/>
  <c r="G284" i="26" s="1"/>
  <c r="B284" i="26"/>
  <c r="C284" i="26" s="1"/>
  <c r="K283" i="26"/>
  <c r="J283" i="26"/>
  <c r="F283" i="26"/>
  <c r="B283" i="26"/>
  <c r="F282" i="26"/>
  <c r="B282" i="26"/>
  <c r="F281" i="26"/>
  <c r="B281" i="26"/>
  <c r="C281" i="26" s="1"/>
  <c r="J280" i="26"/>
  <c r="F280" i="26"/>
  <c r="K279" i="26" s="1"/>
  <c r="C280" i="26"/>
  <c r="B280" i="26"/>
  <c r="J279" i="26" s="1"/>
  <c r="F279" i="26"/>
  <c r="B279" i="26"/>
  <c r="C279" i="26" s="1"/>
  <c r="J278" i="26"/>
  <c r="G278" i="26"/>
  <c r="F278" i="26"/>
  <c r="B278" i="26"/>
  <c r="C278" i="26" s="1"/>
  <c r="K277" i="26"/>
  <c r="J277" i="26"/>
  <c r="F277" i="26"/>
  <c r="B277" i="26"/>
  <c r="F276" i="26"/>
  <c r="G276" i="26" s="1"/>
  <c r="B276" i="26"/>
  <c r="K275" i="26"/>
  <c r="F275" i="26"/>
  <c r="B275" i="26"/>
  <c r="C275" i="26" s="1"/>
  <c r="J274" i="26"/>
  <c r="F274" i="26"/>
  <c r="G274" i="26" s="1"/>
  <c r="B274" i="26"/>
  <c r="C274" i="26" s="1"/>
  <c r="K273" i="26"/>
  <c r="J273" i="26"/>
  <c r="F273" i="26"/>
  <c r="B273" i="26"/>
  <c r="C273" i="26" s="1"/>
  <c r="F272" i="26"/>
  <c r="G272" i="26" s="1"/>
  <c r="C272" i="26"/>
  <c r="B272" i="26"/>
  <c r="J271" i="26" s="1"/>
  <c r="F271" i="26"/>
  <c r="B271" i="26"/>
  <c r="J270" i="26"/>
  <c r="G270" i="26"/>
  <c r="F270" i="26"/>
  <c r="B270" i="26"/>
  <c r="K269" i="26"/>
  <c r="J269" i="26"/>
  <c r="F269" i="26"/>
  <c r="B269" i="26"/>
  <c r="F268" i="26"/>
  <c r="G268" i="26" s="1"/>
  <c r="B268" i="26"/>
  <c r="F267" i="26"/>
  <c r="B267" i="26"/>
  <c r="J266" i="26" s="1"/>
  <c r="F266" i="26"/>
  <c r="G266" i="26" s="1"/>
  <c r="B266" i="26"/>
  <c r="C266" i="26" s="1"/>
  <c r="K265" i="26"/>
  <c r="J265" i="26"/>
  <c r="F265" i="26"/>
  <c r="B265" i="26"/>
  <c r="J264" i="26" s="1"/>
  <c r="F264" i="26"/>
  <c r="B264" i="26"/>
  <c r="F263" i="26"/>
  <c r="B263" i="26"/>
  <c r="C263" i="26" s="1"/>
  <c r="J262" i="26"/>
  <c r="F262" i="26"/>
  <c r="K261" i="26" s="1"/>
  <c r="B262" i="26"/>
  <c r="F261" i="26"/>
  <c r="B261" i="26"/>
  <c r="F260" i="26"/>
  <c r="G260" i="26" s="1"/>
  <c r="B260" i="26"/>
  <c r="C260" i="26" s="1"/>
  <c r="K259" i="26"/>
  <c r="J259" i="26"/>
  <c r="F259" i="26"/>
  <c r="B259" i="26"/>
  <c r="G258" i="26"/>
  <c r="F258" i="26"/>
  <c r="B258" i="26"/>
  <c r="F257" i="26"/>
  <c r="B257" i="26"/>
  <c r="C257" i="26" s="1"/>
  <c r="J256" i="26"/>
  <c r="F256" i="26"/>
  <c r="G256" i="26" s="1"/>
  <c r="B256" i="26"/>
  <c r="F255" i="26"/>
  <c r="B255" i="26"/>
  <c r="F254" i="26"/>
  <c r="G254" i="26" s="1"/>
  <c r="C254" i="26"/>
  <c r="B254" i="26"/>
  <c r="K253" i="26"/>
  <c r="J253" i="26"/>
  <c r="F253" i="26"/>
  <c r="B253" i="26"/>
  <c r="F252" i="26"/>
  <c r="B252" i="26"/>
  <c r="F251" i="26"/>
  <c r="B251" i="26"/>
  <c r="G250" i="26"/>
  <c r="F250" i="26"/>
  <c r="B250" i="26"/>
  <c r="K249" i="26"/>
  <c r="F249" i="26"/>
  <c r="B249" i="26"/>
  <c r="C249" i="26" s="1"/>
  <c r="J248" i="26"/>
  <c r="F248" i="26"/>
  <c r="B248" i="26"/>
  <c r="F247" i="26"/>
  <c r="B247" i="26"/>
  <c r="F246" i="26"/>
  <c r="K245" i="26" s="1"/>
  <c r="B246" i="26"/>
  <c r="C246" i="26" s="1"/>
  <c r="F245" i="26"/>
  <c r="B245" i="26"/>
  <c r="C244" i="26" s="1"/>
  <c r="G244" i="26"/>
  <c r="F244" i="26"/>
  <c r="K243" i="26" s="1"/>
  <c r="B244" i="26"/>
  <c r="F243" i="26"/>
  <c r="B243" i="26"/>
  <c r="J242" i="26" s="1"/>
  <c r="F242" i="26"/>
  <c r="G242" i="26" s="1"/>
  <c r="B242" i="26"/>
  <c r="C242" i="26" s="1"/>
  <c r="K241" i="26"/>
  <c r="J241" i="26"/>
  <c r="F241" i="26"/>
  <c r="B241" i="26"/>
  <c r="J240" i="26"/>
  <c r="F240" i="26"/>
  <c r="B240" i="26"/>
  <c r="F239" i="26"/>
  <c r="B239" i="26"/>
  <c r="C239" i="26" s="1"/>
  <c r="J238" i="26"/>
  <c r="F238" i="26"/>
  <c r="K237" i="26" s="1"/>
  <c r="B238" i="26"/>
  <c r="J237" i="26" s="1"/>
  <c r="F237" i="26"/>
  <c r="B237" i="26"/>
  <c r="F236" i="26"/>
  <c r="G236" i="26" s="1"/>
  <c r="B236" i="26"/>
  <c r="C236" i="26" s="1"/>
  <c r="K235" i="26"/>
  <c r="J235" i="26"/>
  <c r="F235" i="26"/>
  <c r="B235" i="26"/>
  <c r="C235" i="26" s="1"/>
  <c r="F234" i="26"/>
  <c r="G234" i="26" s="1"/>
  <c r="B234" i="26"/>
  <c r="J233" i="26"/>
  <c r="F233" i="26"/>
  <c r="B233" i="26"/>
  <c r="C233" i="26" s="1"/>
  <c r="F232" i="26"/>
  <c r="K231" i="26" s="1"/>
  <c r="B232" i="26"/>
  <c r="F231" i="26"/>
  <c r="B231" i="26"/>
  <c r="G230" i="26"/>
  <c r="F230" i="26"/>
  <c r="K229" i="26" s="1"/>
  <c r="C230" i="26"/>
  <c r="B230" i="26"/>
  <c r="J229" i="26" s="1"/>
  <c r="F229" i="26"/>
  <c r="B229" i="26"/>
  <c r="F228" i="26"/>
  <c r="G228" i="26" s="1"/>
  <c r="B228" i="26"/>
  <c r="C228" i="26" s="1"/>
  <c r="K227" i="26"/>
  <c r="J227" i="26"/>
  <c r="F227" i="26"/>
  <c r="B227" i="26"/>
  <c r="C227" i="26" s="1"/>
  <c r="J226" i="26"/>
  <c r="F226" i="26"/>
  <c r="B226" i="26"/>
  <c r="F225" i="26"/>
  <c r="B225" i="26"/>
  <c r="J224" i="26"/>
  <c r="F224" i="26"/>
  <c r="K223" i="26" s="1"/>
  <c r="B224" i="26"/>
  <c r="J223" i="26" s="1"/>
  <c r="F223" i="26"/>
  <c r="B223" i="26"/>
  <c r="F222" i="26"/>
  <c r="B222" i="26"/>
  <c r="J221" i="26"/>
  <c r="F221" i="26"/>
  <c r="B221" i="26"/>
  <c r="F220" i="26"/>
  <c r="K219" i="26" s="1"/>
  <c r="C220" i="26"/>
  <c r="B220" i="26"/>
  <c r="F219" i="26"/>
  <c r="B219" i="26"/>
  <c r="C219" i="26" s="1"/>
  <c r="F218" i="26"/>
  <c r="G218" i="26" s="1"/>
  <c r="B218" i="26"/>
  <c r="K217" i="26"/>
  <c r="J217" i="26"/>
  <c r="F217" i="26"/>
  <c r="B217" i="26"/>
  <c r="F216" i="26"/>
  <c r="G216" i="26" s="1"/>
  <c r="B216" i="26"/>
  <c r="F215" i="26"/>
  <c r="B215" i="26"/>
  <c r="F214" i="26"/>
  <c r="K213" i="26" s="1"/>
  <c r="B214" i="26"/>
  <c r="C214" i="26" s="1"/>
  <c r="F213" i="26"/>
  <c r="B213" i="26"/>
  <c r="F212" i="26"/>
  <c r="C212" i="26"/>
  <c r="B212" i="26"/>
  <c r="J211" i="26" s="1"/>
  <c r="F211" i="26"/>
  <c r="B211" i="26"/>
  <c r="C211" i="26" s="1"/>
  <c r="F210" i="26"/>
  <c r="G210" i="26" s="1"/>
  <c r="B210" i="26"/>
  <c r="C210" i="26" s="1"/>
  <c r="K209" i="26"/>
  <c r="F209" i="26"/>
  <c r="B209" i="26"/>
  <c r="F208" i="26"/>
  <c r="B208" i="26"/>
  <c r="F207" i="26"/>
  <c r="B207" i="26"/>
  <c r="C207" i="26" s="1"/>
  <c r="J206" i="26"/>
  <c r="F206" i="26"/>
  <c r="G206" i="26" s="1"/>
  <c r="C206" i="26"/>
  <c r="B206" i="26"/>
  <c r="F205" i="26"/>
  <c r="B205" i="26"/>
  <c r="F204" i="26"/>
  <c r="B204" i="26"/>
  <c r="C204" i="26" s="1"/>
  <c r="K203" i="26"/>
  <c r="J203" i="26"/>
  <c r="F203" i="26"/>
  <c r="B203" i="26"/>
  <c r="J202" i="26"/>
  <c r="F202" i="26"/>
  <c r="B202" i="26"/>
  <c r="F201" i="26"/>
  <c r="B201" i="26"/>
  <c r="C201" i="26" s="1"/>
  <c r="J200" i="26"/>
  <c r="F200" i="26"/>
  <c r="K199" i="26" s="1"/>
  <c r="B200" i="26"/>
  <c r="J199" i="26" s="1"/>
  <c r="F199" i="26"/>
  <c r="B199" i="26"/>
  <c r="J198" i="26" s="1"/>
  <c r="F198" i="26"/>
  <c r="C198" i="26"/>
  <c r="B198" i="26"/>
  <c r="J197" i="26"/>
  <c r="C197" i="26"/>
  <c r="B197" i="26"/>
  <c r="J196" i="26" s="1"/>
  <c r="F196" i="26"/>
  <c r="C196" i="26"/>
  <c r="B196" i="26"/>
  <c r="K195" i="26"/>
  <c r="J195" i="26"/>
  <c r="G195" i="26"/>
  <c r="F195" i="26"/>
  <c r="B195" i="26"/>
  <c r="J194" i="26" s="1"/>
  <c r="F194" i="26"/>
  <c r="B194" i="26"/>
  <c r="G193" i="26"/>
  <c r="F193" i="26"/>
  <c r="C193" i="26"/>
  <c r="B193" i="26"/>
  <c r="G192" i="26"/>
  <c r="F192" i="26"/>
  <c r="B192" i="26"/>
  <c r="F191" i="26"/>
  <c r="G191" i="26" s="1"/>
  <c r="B191" i="26"/>
  <c r="K190" i="26"/>
  <c r="G190" i="26"/>
  <c r="F190" i="26"/>
  <c r="B190" i="26"/>
  <c r="F189" i="26"/>
  <c r="B189" i="26"/>
  <c r="F188" i="26"/>
  <c r="G188" i="26" s="1"/>
  <c r="C188" i="26"/>
  <c r="B188" i="26"/>
  <c r="K187" i="26"/>
  <c r="J187" i="26"/>
  <c r="F187" i="26"/>
  <c r="C187" i="26"/>
  <c r="B187" i="26"/>
  <c r="J186" i="26" s="1"/>
  <c r="F186" i="26"/>
  <c r="B186" i="26"/>
  <c r="C186" i="26" s="1"/>
  <c r="J185" i="26"/>
  <c r="F185" i="26"/>
  <c r="K184" i="26" s="1"/>
  <c r="B185" i="26"/>
  <c r="F184" i="26"/>
  <c r="C184" i="26"/>
  <c r="B184" i="26"/>
  <c r="F183" i="26"/>
  <c r="B183" i="26"/>
  <c r="J182" i="26" s="1"/>
  <c r="G182" i="26"/>
  <c r="F182" i="26"/>
  <c r="B182" i="26"/>
  <c r="K181" i="26"/>
  <c r="F181" i="26"/>
  <c r="B181" i="26"/>
  <c r="F180" i="26"/>
  <c r="C180" i="26"/>
  <c r="B180" i="26"/>
  <c r="J179" i="26"/>
  <c r="G179" i="26"/>
  <c r="F179" i="26"/>
  <c r="B179" i="26"/>
  <c r="K178" i="26"/>
  <c r="F178" i="26"/>
  <c r="K177" i="26" s="1"/>
  <c r="B178" i="26"/>
  <c r="F177" i="26"/>
  <c r="G177" i="26" s="1"/>
  <c r="B177" i="26"/>
  <c r="K176" i="26"/>
  <c r="F176" i="26"/>
  <c r="B176" i="26"/>
  <c r="F175" i="26"/>
  <c r="B175" i="26"/>
  <c r="F174" i="26"/>
  <c r="C174" i="26"/>
  <c r="B174" i="26"/>
  <c r="J173" i="26" s="1"/>
  <c r="F173" i="26"/>
  <c r="B173" i="26"/>
  <c r="F172" i="26"/>
  <c r="G172" i="26" s="1"/>
  <c r="B172" i="26"/>
  <c r="C172" i="26" s="1"/>
  <c r="K171" i="26"/>
  <c r="J171" i="26"/>
  <c r="G171" i="26"/>
  <c r="F171" i="26"/>
  <c r="K170" i="26" s="1"/>
  <c r="C171" i="26"/>
  <c r="B171" i="26"/>
  <c r="F170" i="26"/>
  <c r="C170" i="26"/>
  <c r="B170" i="26"/>
  <c r="J169" i="26"/>
  <c r="F169" i="26"/>
  <c r="G168" i="26" s="1"/>
  <c r="C169" i="26"/>
  <c r="B169" i="26"/>
  <c r="K168" i="26"/>
  <c r="F168" i="26"/>
  <c r="B168" i="26"/>
  <c r="F167" i="26"/>
  <c r="K166" i="26" s="1"/>
  <c r="B167" i="26"/>
  <c r="G166" i="26"/>
  <c r="F166" i="26"/>
  <c r="B166" i="26"/>
  <c r="K165" i="26"/>
  <c r="G165" i="26"/>
  <c r="F165" i="26"/>
  <c r="K164" i="26" s="1"/>
  <c r="B165" i="26"/>
  <c r="J164" i="26" s="1"/>
  <c r="G164" i="26"/>
  <c r="F164" i="26"/>
  <c r="K163" i="26" s="1"/>
  <c r="C164" i="26"/>
  <c r="B164" i="26"/>
  <c r="J163" i="26"/>
  <c r="G163" i="26"/>
  <c r="F163" i="26"/>
  <c r="K162" i="26" s="1"/>
  <c r="C163" i="26"/>
  <c r="B163" i="26"/>
  <c r="J162" i="26" s="1"/>
  <c r="F162" i="26"/>
  <c r="B162" i="26"/>
  <c r="F161" i="26"/>
  <c r="G161" i="26" s="1"/>
  <c r="B161" i="26"/>
  <c r="J160" i="26" s="1"/>
  <c r="K160" i="26"/>
  <c r="G160" i="26"/>
  <c r="F160" i="26"/>
  <c r="B160" i="26"/>
  <c r="F159" i="26"/>
  <c r="B159" i="26"/>
  <c r="F158" i="26"/>
  <c r="G158" i="26" s="1"/>
  <c r="B158" i="26"/>
  <c r="C158" i="26" s="1"/>
  <c r="K157" i="26"/>
  <c r="F157" i="26"/>
  <c r="K156" i="26" s="1"/>
  <c r="B157" i="26"/>
  <c r="F156" i="26"/>
  <c r="K154" i="26" s="1"/>
  <c r="B156" i="26"/>
  <c r="C156" i="26" s="1"/>
  <c r="K155" i="26"/>
  <c r="J155" i="26"/>
  <c r="G155" i="26"/>
  <c r="F155" i="26"/>
  <c r="B155" i="26"/>
  <c r="F154" i="26"/>
  <c r="B154" i="26"/>
  <c r="F153" i="26"/>
  <c r="G153" i="26" s="1"/>
  <c r="B153" i="26"/>
  <c r="G152" i="26"/>
  <c r="F152" i="26"/>
  <c r="B152" i="26"/>
  <c r="G151" i="26"/>
  <c r="F151" i="26"/>
  <c r="B151" i="26"/>
  <c r="K150" i="26"/>
  <c r="F150" i="26"/>
  <c r="G150" i="26" s="1"/>
  <c r="C150" i="26"/>
  <c r="B150" i="26"/>
  <c r="K149" i="26"/>
  <c r="J149" i="26"/>
  <c r="F149" i="26"/>
  <c r="C149" i="26"/>
  <c r="B149" i="26"/>
  <c r="J148" i="26" s="1"/>
  <c r="F148" i="26"/>
  <c r="B148" i="26"/>
  <c r="F147" i="26"/>
  <c r="G147" i="26" s="1"/>
  <c r="B147" i="26"/>
  <c r="J146" i="26" s="1"/>
  <c r="K146" i="26"/>
  <c r="F146" i="26"/>
  <c r="C146" i="26"/>
  <c r="B146" i="26"/>
  <c r="J145" i="26" s="1"/>
  <c r="F145" i="26"/>
  <c r="B145" i="26"/>
  <c r="J144" i="26" s="1"/>
  <c r="K144" i="26"/>
  <c r="G144" i="26"/>
  <c r="F144" i="26"/>
  <c r="B144" i="26"/>
  <c r="J143" i="26" s="1"/>
  <c r="K143" i="26"/>
  <c r="G143" i="26"/>
  <c r="F143" i="26"/>
  <c r="B143" i="26"/>
  <c r="K142" i="26"/>
  <c r="F142" i="26"/>
  <c r="G142" i="26" s="1"/>
  <c r="B142" i="26"/>
  <c r="C142" i="26" s="1"/>
  <c r="K141" i="26"/>
  <c r="J141" i="26"/>
  <c r="G141" i="26"/>
  <c r="F141" i="26"/>
  <c r="K140" i="26" s="1"/>
  <c r="B141" i="26"/>
  <c r="G140" i="26"/>
  <c r="F140" i="26"/>
  <c r="C140" i="26"/>
  <c r="B140" i="26"/>
  <c r="K139" i="26"/>
  <c r="J139" i="26"/>
  <c r="G139" i="26"/>
  <c r="F139" i="26"/>
  <c r="K138" i="26" s="1"/>
  <c r="B139" i="26"/>
  <c r="F138" i="26"/>
  <c r="B138" i="26"/>
  <c r="F137" i="26"/>
  <c r="B137" i="26"/>
  <c r="C137" i="26" s="1"/>
  <c r="G136" i="26"/>
  <c r="F136" i="26"/>
  <c r="B136" i="26"/>
  <c r="K135" i="26"/>
  <c r="G135" i="26"/>
  <c r="F135" i="26"/>
  <c r="K134" i="26" s="1"/>
  <c r="B135" i="26"/>
  <c r="F134" i="26"/>
  <c r="C134" i="26"/>
  <c r="B134" i="26"/>
  <c r="J133" i="26"/>
  <c r="F133" i="26"/>
  <c r="B133" i="26"/>
  <c r="G132" i="26"/>
  <c r="F132" i="26"/>
  <c r="G131" i="26" s="1"/>
  <c r="B132" i="26"/>
  <c r="F131" i="26"/>
  <c r="B131" i="26"/>
  <c r="J130" i="26" s="1"/>
  <c r="K130" i="26"/>
  <c r="G130" i="26"/>
  <c r="F130" i="26"/>
  <c r="G129" i="26" s="1"/>
  <c r="C130" i="26"/>
  <c r="B130" i="26"/>
  <c r="F129" i="26"/>
  <c r="B129" i="26"/>
  <c r="J127" i="26" s="1"/>
  <c r="K128" i="26"/>
  <c r="J128" i="26"/>
  <c r="F128" i="26"/>
  <c r="C128" i="26"/>
  <c r="B128" i="26"/>
  <c r="K127" i="26"/>
  <c r="F127" i="26"/>
  <c r="B127" i="26"/>
  <c r="C127" i="26" s="1"/>
  <c r="J126" i="26"/>
  <c r="F126" i="26"/>
  <c r="K125" i="26" s="1"/>
  <c r="C126" i="26"/>
  <c r="B126" i="26"/>
  <c r="J125" i="26" s="1"/>
  <c r="F125" i="26"/>
  <c r="C125" i="26"/>
  <c r="B125" i="26"/>
  <c r="J124" i="26" s="1"/>
  <c r="G124" i="26"/>
  <c r="B124" i="26"/>
  <c r="C124" i="26" s="1"/>
  <c r="K123" i="26"/>
  <c r="J123" i="26"/>
  <c r="G123" i="26"/>
  <c r="F123" i="26"/>
  <c r="B123" i="26"/>
  <c r="K122" i="26"/>
  <c r="F122" i="26"/>
  <c r="G122" i="26" s="1"/>
  <c r="B122" i="26"/>
  <c r="C122" i="26" s="1"/>
  <c r="K121" i="26"/>
  <c r="G121" i="26"/>
  <c r="F121" i="26"/>
  <c r="B121" i="26"/>
  <c r="K120" i="26"/>
  <c r="J120" i="26"/>
  <c r="G120" i="26"/>
  <c r="F120" i="26"/>
  <c r="K119" i="26" s="1"/>
  <c r="B120" i="26"/>
  <c r="C120" i="26" s="1"/>
  <c r="J119" i="26"/>
  <c r="F119" i="26"/>
  <c r="B119" i="26"/>
  <c r="J118" i="26"/>
  <c r="F118" i="26"/>
  <c r="B118" i="26"/>
  <c r="F117" i="26"/>
  <c r="B117" i="26"/>
  <c r="F116" i="26"/>
  <c r="G116" i="26" s="1"/>
  <c r="B116" i="26"/>
  <c r="F115" i="26"/>
  <c r="B115" i="26"/>
  <c r="F114" i="26"/>
  <c r="B114" i="26"/>
  <c r="C114" i="26" s="1"/>
  <c r="K113" i="26"/>
  <c r="J113" i="26"/>
  <c r="F113" i="26"/>
  <c r="G113" i="26" s="1"/>
  <c r="B113" i="26"/>
  <c r="J112" i="26"/>
  <c r="F112" i="26"/>
  <c r="B112" i="26"/>
  <c r="C112" i="26" s="1"/>
  <c r="F111" i="26"/>
  <c r="B111" i="26"/>
  <c r="K110" i="26"/>
  <c r="G110" i="26"/>
  <c r="F110" i="26"/>
  <c r="B110" i="26"/>
  <c r="F109" i="26"/>
  <c r="G109" i="26" s="1"/>
  <c r="B109" i="26"/>
  <c r="K108" i="26"/>
  <c r="J108" i="26"/>
  <c r="F108" i="26"/>
  <c r="G108" i="26" s="1"/>
  <c r="B108" i="26"/>
  <c r="J107" i="26"/>
  <c r="F107" i="26"/>
  <c r="B107" i="26"/>
  <c r="C107" i="26" s="1"/>
  <c r="J106" i="26"/>
  <c r="G106" i="26"/>
  <c r="F106" i="26"/>
  <c r="K105" i="26" s="1"/>
  <c r="C106" i="26"/>
  <c r="B106" i="26"/>
  <c r="J105" i="26"/>
  <c r="G105" i="26"/>
  <c r="F105" i="26"/>
  <c r="K104" i="26" s="1"/>
  <c r="B105" i="26"/>
  <c r="F104" i="26"/>
  <c r="B104" i="26"/>
  <c r="F103" i="26"/>
  <c r="G103" i="26" s="1"/>
  <c r="B103" i="26"/>
  <c r="K102" i="26"/>
  <c r="J102" i="26"/>
  <c r="F102" i="26"/>
  <c r="B102" i="26"/>
  <c r="F101" i="26"/>
  <c r="B101" i="26"/>
  <c r="C101" i="26" s="1"/>
  <c r="J100" i="26"/>
  <c r="G100" i="26"/>
  <c r="F100" i="26"/>
  <c r="C100" i="26"/>
  <c r="B100" i="26"/>
  <c r="J98" i="26" s="1"/>
  <c r="J99" i="26"/>
  <c r="F99" i="26"/>
  <c r="B99" i="26"/>
  <c r="F98" i="26"/>
  <c r="K96" i="26" s="1"/>
  <c r="C98" i="26"/>
  <c r="B98" i="26"/>
  <c r="K97" i="26"/>
  <c r="G97" i="26"/>
  <c r="F97" i="26"/>
  <c r="B97" i="26"/>
  <c r="F96" i="26"/>
  <c r="G96" i="26" s="1"/>
  <c r="B96" i="26"/>
  <c r="K95" i="26"/>
  <c r="J95" i="26"/>
  <c r="F95" i="26"/>
  <c r="B95" i="26"/>
  <c r="G94" i="26"/>
  <c r="F94" i="26"/>
  <c r="K92" i="26" s="1"/>
  <c r="B94" i="26"/>
  <c r="C94" i="26" s="1"/>
  <c r="J93" i="26"/>
  <c r="G93" i="26"/>
  <c r="F93" i="26"/>
  <c r="B93" i="26"/>
  <c r="F92" i="26"/>
  <c r="B92" i="26"/>
  <c r="F91" i="26"/>
  <c r="G91" i="26" s="1"/>
  <c r="B91" i="26"/>
  <c r="F90" i="26"/>
  <c r="G90" i="26" s="1"/>
  <c r="B90" i="26"/>
  <c r="F89" i="26"/>
  <c r="B89" i="26"/>
  <c r="F88" i="26"/>
  <c r="B88" i="26"/>
  <c r="C88" i="26" s="1"/>
  <c r="K87" i="26"/>
  <c r="J87" i="26"/>
  <c r="F87" i="26"/>
  <c r="K86" i="26" s="1"/>
  <c r="B87" i="26"/>
  <c r="F86" i="26"/>
  <c r="B86" i="26"/>
  <c r="F85" i="26"/>
  <c r="G85" i="26" s="1"/>
  <c r="B85" i="26"/>
  <c r="K84" i="26"/>
  <c r="J84" i="26"/>
  <c r="F84" i="26"/>
  <c r="B84" i="26"/>
  <c r="F83" i="26"/>
  <c r="G83" i="26" s="1"/>
  <c r="B83" i="26"/>
  <c r="C83" i="26" s="1"/>
  <c r="K82" i="26"/>
  <c r="J82" i="26"/>
  <c r="G82" i="26"/>
  <c r="F82" i="26"/>
  <c r="K81" i="26" s="1"/>
  <c r="C82" i="26"/>
  <c r="B82" i="26"/>
  <c r="J81" i="26"/>
  <c r="G81" i="26"/>
  <c r="F81" i="26"/>
  <c r="B81" i="26"/>
  <c r="C81" i="26" s="1"/>
  <c r="K80" i="26"/>
  <c r="J80" i="26"/>
  <c r="F80" i="26"/>
  <c r="B80" i="26"/>
  <c r="F79" i="26"/>
  <c r="K77" i="26" s="1"/>
  <c r="B79" i="26"/>
  <c r="F78" i="26"/>
  <c r="G78" i="26" s="1"/>
  <c r="B78" i="26"/>
  <c r="F77" i="26"/>
  <c r="G77" i="26" s="1"/>
  <c r="B77" i="26"/>
  <c r="K76" i="26"/>
  <c r="J76" i="26"/>
  <c r="F76" i="26"/>
  <c r="B76" i="26"/>
  <c r="F75" i="26"/>
  <c r="B75" i="26"/>
  <c r="C75" i="26" s="1"/>
  <c r="J74" i="26"/>
  <c r="F74" i="26"/>
  <c r="C74" i="26"/>
  <c r="B74" i="26"/>
  <c r="J73" i="26" s="1"/>
  <c r="K73" i="26"/>
  <c r="F73" i="26"/>
  <c r="B73" i="26"/>
  <c r="F72" i="26"/>
  <c r="C72" i="26"/>
  <c r="B72" i="26"/>
  <c r="J71" i="26" s="1"/>
  <c r="F71" i="26"/>
  <c r="B71" i="26"/>
  <c r="J70" i="26" s="1"/>
  <c r="F70" i="26"/>
  <c r="G70" i="26" s="1"/>
  <c r="B70" i="26"/>
  <c r="K69" i="26"/>
  <c r="F69" i="26"/>
  <c r="K67" i="26" s="1"/>
  <c r="B69" i="26"/>
  <c r="F68" i="26"/>
  <c r="B68" i="26"/>
  <c r="C68" i="26" s="1"/>
  <c r="G67" i="26"/>
  <c r="F67" i="26"/>
  <c r="K65" i="26" s="1"/>
  <c r="B67" i="26"/>
  <c r="K66" i="26"/>
  <c r="G66" i="26"/>
  <c r="B66" i="26"/>
  <c r="F65" i="26"/>
  <c r="G65" i="26" s="1"/>
  <c r="C65" i="26"/>
  <c r="B65" i="26"/>
  <c r="K64" i="26"/>
  <c r="J64" i="26"/>
  <c r="G64" i="26"/>
  <c r="F64" i="26"/>
  <c r="K63" i="26" s="1"/>
  <c r="C64" i="26"/>
  <c r="B64" i="26"/>
  <c r="J63" i="26" s="1"/>
  <c r="F63" i="26"/>
  <c r="C63" i="26"/>
  <c r="B63" i="26"/>
  <c r="K62" i="26"/>
  <c r="J62" i="26"/>
  <c r="G62" i="26"/>
  <c r="F62" i="26"/>
  <c r="B62" i="26"/>
  <c r="F61" i="26"/>
  <c r="B61" i="26"/>
  <c r="F60" i="26"/>
  <c r="K58" i="26" s="1"/>
  <c r="C60" i="26"/>
  <c r="B60" i="26"/>
  <c r="J59" i="26" s="1"/>
  <c r="K59" i="26"/>
  <c r="F59" i="26"/>
  <c r="B59" i="26"/>
  <c r="J58" i="26"/>
  <c r="G58" i="26"/>
  <c r="F58" i="26"/>
  <c r="K57" i="26" s="1"/>
  <c r="C58" i="26"/>
  <c r="B58" i="26"/>
  <c r="J57" i="26"/>
  <c r="F57" i="26"/>
  <c r="K56" i="26" s="1"/>
  <c r="B57" i="26"/>
  <c r="F56" i="26"/>
  <c r="G56" i="26" s="1"/>
  <c r="B56" i="26"/>
  <c r="C56" i="26" s="1"/>
  <c r="K55" i="26"/>
  <c r="F55" i="26"/>
  <c r="B55" i="26"/>
  <c r="F54" i="26"/>
  <c r="C54" i="26"/>
  <c r="B54" i="26"/>
  <c r="J52" i="26" s="1"/>
  <c r="J53" i="26"/>
  <c r="F53" i="26"/>
  <c r="C53" i="26"/>
  <c r="B53" i="26"/>
  <c r="F52" i="26"/>
  <c r="G52" i="26" s="1"/>
  <c r="B52" i="26"/>
  <c r="J51" i="26" s="1"/>
  <c r="K51" i="26"/>
  <c r="F51" i="26"/>
  <c r="B51" i="26"/>
  <c r="F50" i="26"/>
  <c r="G50" i="26" s="1"/>
  <c r="B50" i="26"/>
  <c r="J48" i="26" s="1"/>
  <c r="K49" i="26"/>
  <c r="J49" i="26"/>
  <c r="F49" i="26"/>
  <c r="C49" i="26"/>
  <c r="B49" i="26"/>
  <c r="K48" i="26"/>
  <c r="F48" i="26"/>
  <c r="B48" i="26"/>
  <c r="C48" i="26" s="1"/>
  <c r="J47" i="26"/>
  <c r="F47" i="26"/>
  <c r="C47" i="26"/>
  <c r="B47" i="26"/>
  <c r="J46" i="26"/>
  <c r="F46" i="26"/>
  <c r="B46" i="26"/>
  <c r="C46" i="26" s="1"/>
  <c r="J45" i="26"/>
  <c r="F45" i="26"/>
  <c r="G45" i="26" s="1"/>
  <c r="C45" i="26"/>
  <c r="B45" i="26"/>
  <c r="J44" i="26"/>
  <c r="F44" i="26"/>
  <c r="B44" i="26"/>
  <c r="C44" i="26" s="1"/>
  <c r="J43" i="26"/>
  <c r="F43" i="26"/>
  <c r="G43" i="26" s="1"/>
  <c r="C43" i="26"/>
  <c r="B43" i="26"/>
  <c r="K42" i="26"/>
  <c r="J42" i="26"/>
  <c r="F42" i="26"/>
  <c r="C42" i="26"/>
  <c r="B42" i="26"/>
  <c r="J41" i="26"/>
  <c r="F41" i="26"/>
  <c r="C41" i="26"/>
  <c r="B41" i="26"/>
  <c r="K40" i="26"/>
  <c r="J40" i="26"/>
  <c r="G40" i="26"/>
  <c r="F40" i="26"/>
  <c r="K39" i="26" s="1"/>
  <c r="C40" i="26"/>
  <c r="B40" i="26"/>
  <c r="J39" i="26" s="1"/>
  <c r="F39" i="26"/>
  <c r="C39" i="26"/>
  <c r="B39" i="26"/>
  <c r="K38" i="26"/>
  <c r="J38" i="26"/>
  <c r="F38" i="26"/>
  <c r="B38" i="26"/>
  <c r="F37" i="26"/>
  <c r="B37" i="26"/>
  <c r="J36" i="26"/>
  <c r="F36" i="26"/>
  <c r="K34" i="26" s="1"/>
  <c r="C36" i="26"/>
  <c r="B36" i="26"/>
  <c r="J35" i="26" s="1"/>
  <c r="F35" i="26"/>
  <c r="B35" i="26"/>
  <c r="J34" i="26"/>
  <c r="F34" i="26"/>
  <c r="K33" i="26" s="1"/>
  <c r="B34" i="26"/>
  <c r="J32" i="26" s="1"/>
  <c r="F33" i="26"/>
  <c r="B33" i="26"/>
  <c r="F32" i="26"/>
  <c r="G32" i="26" s="1"/>
  <c r="B32" i="26"/>
  <c r="K31" i="26"/>
  <c r="F31" i="26"/>
  <c r="K29" i="26" s="1"/>
  <c r="B31" i="26"/>
  <c r="F30" i="26"/>
  <c r="G30" i="26" s="1"/>
  <c r="B30" i="26"/>
  <c r="C29" i="26" s="1"/>
  <c r="F29" i="26"/>
  <c r="B29" i="26"/>
  <c r="F28" i="26"/>
  <c r="G28" i="26" s="1"/>
  <c r="B28" i="26"/>
  <c r="C28" i="26" s="1"/>
  <c r="K27" i="26"/>
  <c r="J27" i="26"/>
  <c r="F27" i="26"/>
  <c r="K25" i="26" s="1"/>
  <c r="B27" i="26"/>
  <c r="F26" i="26"/>
  <c r="G26" i="26" s="1"/>
  <c r="B26" i="26"/>
  <c r="F25" i="26"/>
  <c r="C25" i="26"/>
  <c r="B25" i="26"/>
  <c r="J24" i="26" s="1"/>
  <c r="K24" i="26"/>
  <c r="F24" i="26"/>
  <c r="G24" i="26" s="1"/>
  <c r="B24" i="26"/>
  <c r="C24" i="26" s="1"/>
  <c r="J23" i="26"/>
  <c r="F23" i="26"/>
  <c r="C23" i="26"/>
  <c r="B23" i="26"/>
  <c r="J21" i="26" s="1"/>
  <c r="J22" i="26"/>
  <c r="F22" i="26"/>
  <c r="B22" i="26"/>
  <c r="F21" i="26"/>
  <c r="B21" i="26"/>
  <c r="J19" i="26" s="1"/>
  <c r="J20" i="26"/>
  <c r="F20" i="26"/>
  <c r="B20" i="26"/>
  <c r="C20" i="26" s="1"/>
  <c r="G19" i="26"/>
  <c r="F19" i="26"/>
  <c r="C19" i="26"/>
  <c r="B19" i="26"/>
  <c r="J17" i="26" s="1"/>
  <c r="J18" i="26"/>
  <c r="F18" i="26"/>
  <c r="B18" i="26"/>
  <c r="C18" i="26" s="1"/>
  <c r="F17" i="26"/>
  <c r="B17" i="26"/>
  <c r="J15" i="26" s="1"/>
  <c r="J16" i="26"/>
  <c r="F16" i="26"/>
  <c r="B16" i="26"/>
  <c r="G15" i="26"/>
  <c r="F15" i="26"/>
  <c r="C15" i="26"/>
  <c r="B15" i="26"/>
  <c r="J13" i="26" s="1"/>
  <c r="J14" i="26"/>
  <c r="F14" i="26"/>
  <c r="B14" i="26"/>
  <c r="C14" i="26" s="1"/>
  <c r="F13" i="26"/>
  <c r="B13" i="26"/>
  <c r="J11" i="26" s="1"/>
  <c r="F12" i="26"/>
  <c r="B12" i="26"/>
  <c r="G11" i="26"/>
  <c r="F11" i="26"/>
  <c r="B11" i="26"/>
  <c r="J9" i="26" s="1"/>
  <c r="J10" i="26"/>
  <c r="F10" i="26"/>
  <c r="B10" i="26"/>
  <c r="C10" i="26" s="1"/>
  <c r="F9" i="26"/>
  <c r="B9" i="26"/>
  <c r="J8" i="26" s="1"/>
  <c r="F8" i="26"/>
  <c r="B8" i="26"/>
  <c r="F7" i="26"/>
  <c r="K6" i="26" s="1"/>
  <c r="C7" i="26"/>
  <c r="B7" i="26"/>
  <c r="J6" i="26" s="1"/>
  <c r="F6" i="26"/>
  <c r="B6" i="26"/>
  <c r="C6" i="26" s="1"/>
  <c r="G5" i="26"/>
  <c r="F5" i="26"/>
  <c r="K4" i="26" s="1"/>
  <c r="B5" i="26"/>
  <c r="F4" i="26"/>
  <c r="G4" i="26" s="1"/>
  <c r="C4" i="26"/>
  <c r="K3" i="26"/>
  <c r="J3" i="26"/>
  <c r="G3" i="26"/>
  <c r="F3" i="26"/>
  <c r="K2" i="26" s="1"/>
  <c r="B3" i="26"/>
  <c r="N2" i="26"/>
  <c r="H2" i="22"/>
  <c r="D8" i="24"/>
  <c r="C35" i="13"/>
  <c r="B24" i="24"/>
  <c r="C36" i="29" l="1"/>
  <c r="E36" i="29" s="1"/>
  <c r="C28" i="27"/>
  <c r="M12" i="27"/>
  <c r="M14" i="27" s="1"/>
  <c r="N6" i="27" s="1"/>
  <c r="N9" i="27" s="1"/>
  <c r="C13" i="26"/>
  <c r="J29" i="26"/>
  <c r="K32" i="26"/>
  <c r="K44" i="26"/>
  <c r="J61" i="26"/>
  <c r="C61" i="26"/>
  <c r="C62" i="26"/>
  <c r="G68" i="26"/>
  <c r="C80" i="26"/>
  <c r="J79" i="26"/>
  <c r="J88" i="26"/>
  <c r="J89" i="26"/>
  <c r="G115" i="26"/>
  <c r="C152" i="26"/>
  <c r="C151" i="26"/>
  <c r="C167" i="26"/>
  <c r="K205" i="26"/>
  <c r="G209" i="26"/>
  <c r="K208" i="26"/>
  <c r="G208" i="26"/>
  <c r="G213" i="26"/>
  <c r="K212" i="26"/>
  <c r="J243" i="26"/>
  <c r="C253" i="26"/>
  <c r="J252" i="26"/>
  <c r="J251" i="26"/>
  <c r="G265" i="26"/>
  <c r="K264" i="26"/>
  <c r="G6" i="26"/>
  <c r="C9" i="26"/>
  <c r="J12" i="26"/>
  <c r="C16" i="26"/>
  <c r="G18" i="26"/>
  <c r="K17" i="26"/>
  <c r="K18" i="26"/>
  <c r="C26" i="26"/>
  <c r="J33" i="26"/>
  <c r="G36" i="26"/>
  <c r="K41" i="26"/>
  <c r="G42" i="26"/>
  <c r="G48" i="26"/>
  <c r="G55" i="26"/>
  <c r="K54" i="26"/>
  <c r="K61" i="26"/>
  <c r="K60" i="26"/>
  <c r="K68" i="26"/>
  <c r="K70" i="26"/>
  <c r="G72" i="26"/>
  <c r="G71" i="26"/>
  <c r="K75" i="26"/>
  <c r="G75" i="26"/>
  <c r="K74" i="26"/>
  <c r="G76" i="26"/>
  <c r="K79" i="26"/>
  <c r="G80" i="26"/>
  <c r="C90" i="26"/>
  <c r="J97" i="26"/>
  <c r="J96" i="26"/>
  <c r="K115" i="26"/>
  <c r="K148" i="26"/>
  <c r="G149" i="26"/>
  <c r="G174" i="26"/>
  <c r="G173" i="26"/>
  <c r="J178" i="26"/>
  <c r="C179" i="26"/>
  <c r="G189" i="26"/>
  <c r="K188" i="26"/>
  <c r="J209" i="26"/>
  <c r="G223" i="26"/>
  <c r="K222" i="26"/>
  <c r="G222" i="26"/>
  <c r="K221" i="26"/>
  <c r="G227" i="26"/>
  <c r="K226" i="26"/>
  <c r="G226" i="26"/>
  <c r="G8" i="26"/>
  <c r="K8" i="26"/>
  <c r="J50" i="26"/>
  <c r="C52" i="26"/>
  <c r="C51" i="26"/>
  <c r="J114" i="26"/>
  <c r="J115" i="26"/>
  <c r="G249" i="26"/>
  <c r="K248" i="26"/>
  <c r="K247" i="26"/>
  <c r="G9" i="26"/>
  <c r="J26" i="26"/>
  <c r="C27" i="26"/>
  <c r="C34" i="26"/>
  <c r="K101" i="26"/>
  <c r="K100" i="26"/>
  <c r="G102" i="26"/>
  <c r="J132" i="26"/>
  <c r="J131" i="26"/>
  <c r="C132" i="26"/>
  <c r="J152" i="26"/>
  <c r="C153" i="26"/>
  <c r="C224" i="26"/>
  <c r="G12" i="26"/>
  <c r="K11" i="26"/>
  <c r="K12" i="26"/>
  <c r="G69" i="26"/>
  <c r="G95" i="26"/>
  <c r="K94" i="26"/>
  <c r="C133" i="26"/>
  <c r="C161" i="26"/>
  <c r="C203" i="26"/>
  <c r="J201" i="26"/>
  <c r="G299" i="26"/>
  <c r="K298" i="26"/>
  <c r="K297" i="26"/>
  <c r="G241" i="26"/>
  <c r="K240" i="26"/>
  <c r="G240" i="26"/>
  <c r="G86" i="26"/>
  <c r="K85" i="26"/>
  <c r="J167" i="26"/>
  <c r="C168" i="26"/>
  <c r="J231" i="26"/>
  <c r="J230" i="26"/>
  <c r="C232" i="26"/>
  <c r="G125" i="26"/>
  <c r="K124" i="26"/>
  <c r="G126" i="26"/>
  <c r="J261" i="26"/>
  <c r="C262" i="26"/>
  <c r="C77" i="26"/>
  <c r="C76" i="26"/>
  <c r="J75" i="26"/>
  <c r="J175" i="26"/>
  <c r="C175" i="26"/>
  <c r="C176" i="26"/>
  <c r="G197" i="26"/>
  <c r="K196" i="26"/>
  <c r="K197" i="26"/>
  <c r="G198" i="26"/>
  <c r="C245" i="26"/>
  <c r="J244" i="26"/>
  <c r="J4" i="26"/>
  <c r="G34" i="26"/>
  <c r="G49" i="26"/>
  <c r="K47" i="26"/>
  <c r="K175" i="26"/>
  <c r="G175" i="26"/>
  <c r="K174" i="26"/>
  <c r="G245" i="26"/>
  <c r="K244" i="26"/>
  <c r="G262" i="26"/>
  <c r="C283" i="26"/>
  <c r="J282" i="26"/>
  <c r="J281" i="26"/>
  <c r="C287" i="26"/>
  <c r="J285" i="26"/>
  <c r="C286" i="26"/>
  <c r="J286" i="26"/>
  <c r="C5" i="26"/>
  <c r="G7" i="26"/>
  <c r="G16" i="26"/>
  <c r="K15" i="26"/>
  <c r="K16" i="26"/>
  <c r="G31" i="26"/>
  <c r="K30" i="26"/>
  <c r="K37" i="26"/>
  <c r="K36" i="26"/>
  <c r="J69" i="26"/>
  <c r="C70" i="26"/>
  <c r="K91" i="26"/>
  <c r="K90" i="26"/>
  <c r="C103" i="26"/>
  <c r="J101" i="26"/>
  <c r="C102" i="26"/>
  <c r="C110" i="26"/>
  <c r="J109" i="26"/>
  <c r="G154" i="26"/>
  <c r="K153" i="26"/>
  <c r="G176" i="26"/>
  <c r="G199" i="26"/>
  <c r="K198" i="26"/>
  <c r="G220" i="26"/>
  <c r="G17" i="26"/>
  <c r="C21" i="26"/>
  <c r="G38" i="26"/>
  <c r="G73" i="26"/>
  <c r="K72" i="26"/>
  <c r="G92" i="26"/>
  <c r="C96" i="26"/>
  <c r="J94" i="26"/>
  <c r="J117" i="26"/>
  <c r="C118" i="26"/>
  <c r="C147" i="26"/>
  <c r="J184" i="26"/>
  <c r="C185" i="26"/>
  <c r="C221" i="26"/>
  <c r="J220" i="26"/>
  <c r="C238" i="26"/>
  <c r="C251" i="26"/>
  <c r="J250" i="26"/>
  <c r="J249" i="26"/>
  <c r="C259" i="26"/>
  <c r="J257" i="26"/>
  <c r="J258" i="26"/>
  <c r="K7" i="26"/>
  <c r="C11" i="26"/>
  <c r="G20" i="26"/>
  <c r="K19" i="26"/>
  <c r="K20" i="26"/>
  <c r="C31" i="26"/>
  <c r="J30" i="26"/>
  <c r="J31" i="26"/>
  <c r="K53" i="26"/>
  <c r="G60" i="26"/>
  <c r="C67" i="26"/>
  <c r="C66" i="26"/>
  <c r="J65" i="26"/>
  <c r="J66" i="26"/>
  <c r="G74" i="26"/>
  <c r="K78" i="26"/>
  <c r="C85" i="26"/>
  <c r="C84" i="26"/>
  <c r="J83" i="26"/>
  <c r="C93" i="26"/>
  <c r="J92" i="26"/>
  <c r="K106" i="26"/>
  <c r="K116" i="26"/>
  <c r="K117" i="26"/>
  <c r="G117" i="26"/>
  <c r="J137" i="26"/>
  <c r="C138" i="26"/>
  <c r="C144" i="26"/>
  <c r="J176" i="26"/>
  <c r="C177" i="26"/>
  <c r="C200" i="26"/>
  <c r="G217" i="26"/>
  <c r="K216" i="26"/>
  <c r="K215" i="26"/>
  <c r="G259" i="26"/>
  <c r="K258" i="26"/>
  <c r="C30" i="26"/>
  <c r="C55" i="26"/>
  <c r="J54" i="26"/>
  <c r="J55" i="26"/>
  <c r="G27" i="26"/>
  <c r="K26" i="26"/>
  <c r="G13" i="26"/>
  <c r="C17" i="26"/>
  <c r="J37" i="26"/>
  <c r="C37" i="26"/>
  <c r="C38" i="26"/>
  <c r="J90" i="26"/>
  <c r="J91" i="26"/>
  <c r="C92" i="26"/>
  <c r="G133" i="26"/>
  <c r="K132" i="26"/>
  <c r="C157" i="26"/>
  <c r="J157" i="26"/>
  <c r="G203" i="26"/>
  <c r="K202" i="26"/>
  <c r="J215" i="26"/>
  <c r="J214" i="26"/>
  <c r="C216" i="26"/>
  <c r="G224" i="26"/>
  <c r="J7" i="26"/>
  <c r="J5" i="26"/>
  <c r="C8" i="26"/>
  <c r="G10" i="26"/>
  <c r="K9" i="26"/>
  <c r="K10" i="26"/>
  <c r="G21" i="26"/>
  <c r="J28" i="26"/>
  <c r="C32" i="26"/>
  <c r="K35" i="26"/>
  <c r="K43" i="26"/>
  <c r="C57" i="26"/>
  <c r="J56" i="26"/>
  <c r="J60" i="26"/>
  <c r="K99" i="26"/>
  <c r="G99" i="26"/>
  <c r="K98" i="26"/>
  <c r="G107" i="26"/>
  <c r="G118" i="26"/>
  <c r="K137" i="26"/>
  <c r="G138" i="26"/>
  <c r="G181" i="26"/>
  <c r="K180" i="26"/>
  <c r="G180" i="26"/>
  <c r="G185" i="26"/>
  <c r="J192" i="26"/>
  <c r="C192" i="26"/>
  <c r="K211" i="26"/>
  <c r="J234" i="26"/>
  <c r="G238" i="26"/>
  <c r="K255" i="26"/>
  <c r="C269" i="26"/>
  <c r="J268" i="26"/>
  <c r="C268" i="26"/>
  <c r="J267" i="26"/>
  <c r="J2" i="26"/>
  <c r="C3" i="26"/>
  <c r="K5" i="26"/>
  <c r="C22" i="26"/>
  <c r="G25" i="26"/>
  <c r="K23" i="26"/>
  <c r="G44" i="26"/>
  <c r="G47" i="26"/>
  <c r="G46" i="26"/>
  <c r="K45" i="26"/>
  <c r="K46" i="26"/>
  <c r="K71" i="26"/>
  <c r="G89" i="26"/>
  <c r="C105" i="26"/>
  <c r="J104" i="26"/>
  <c r="C111" i="26"/>
  <c r="J110" i="26"/>
  <c r="G127" i="26"/>
  <c r="K126" i="26"/>
  <c r="J129" i="26"/>
  <c r="C131" i="26"/>
  <c r="J138" i="26"/>
  <c r="C139" i="26"/>
  <c r="K173" i="26"/>
  <c r="G196" i="26"/>
  <c r="K194" i="26"/>
  <c r="J208" i="26"/>
  <c r="G212" i="26"/>
  <c r="J247" i="26"/>
  <c r="J246" i="26"/>
  <c r="C248" i="26"/>
  <c r="C252" i="26"/>
  <c r="J255" i="26"/>
  <c r="J254" i="26"/>
  <c r="C277" i="26"/>
  <c r="J276" i="26"/>
  <c r="C276" i="26"/>
  <c r="J275" i="26"/>
  <c r="G290" i="26"/>
  <c r="K289" i="26"/>
  <c r="G23" i="26"/>
  <c r="G22" i="26"/>
  <c r="K21" i="26"/>
  <c r="K22" i="26"/>
  <c r="G87" i="26"/>
  <c r="C116" i="26"/>
  <c r="J135" i="26"/>
  <c r="C136" i="26"/>
  <c r="C299" i="26"/>
  <c r="J297" i="26"/>
  <c r="K112" i="26"/>
  <c r="G112" i="26"/>
  <c r="K111" i="26"/>
  <c r="J190" i="26"/>
  <c r="C191" i="26"/>
  <c r="C12" i="26"/>
  <c r="G14" i="26"/>
  <c r="K13" i="26"/>
  <c r="K14" i="26"/>
  <c r="J25" i="26"/>
  <c r="C33" i="26"/>
  <c r="G51" i="26"/>
  <c r="K50" i="26"/>
  <c r="G54" i="26"/>
  <c r="G79" i="26"/>
  <c r="K89" i="26"/>
  <c r="K107" i="26"/>
  <c r="K109" i="26"/>
  <c r="G111" i="26"/>
  <c r="K114" i="26"/>
  <c r="G128" i="26"/>
  <c r="C135" i="26"/>
  <c r="J151" i="26"/>
  <c r="C160" i="26"/>
  <c r="G170" i="26"/>
  <c r="K169" i="26"/>
  <c r="C182" i="26"/>
  <c r="C181" i="26"/>
  <c r="J181" i="26"/>
  <c r="K189" i="26"/>
  <c r="K191" i="26"/>
  <c r="K192" i="26"/>
  <c r="C213" i="26"/>
  <c r="J212" i="26"/>
  <c r="G235" i="26"/>
  <c r="K234" i="26"/>
  <c r="G248" i="26"/>
  <c r="G252" i="26"/>
  <c r="K251" i="26"/>
  <c r="C256" i="26"/>
  <c r="G280" i="26"/>
  <c r="G29" i="26"/>
  <c r="G53" i="26"/>
  <c r="C69" i="26"/>
  <c r="C79" i="26"/>
  <c r="J77" i="26"/>
  <c r="G84" i="26"/>
  <c r="C87" i="26"/>
  <c r="J86" i="26"/>
  <c r="C113" i="26"/>
  <c r="C123" i="26"/>
  <c r="C141" i="26"/>
  <c r="G146" i="26"/>
  <c r="K145" i="26"/>
  <c r="G145" i="26"/>
  <c r="K151" i="26"/>
  <c r="J154" i="26"/>
  <c r="C155" i="26"/>
  <c r="K159" i="26"/>
  <c r="J165" i="26"/>
  <c r="G184" i="26"/>
  <c r="G187" i="26"/>
  <c r="C190" i="26"/>
  <c r="J189" i="26"/>
  <c r="G202" i="26"/>
  <c r="K201" i="26"/>
  <c r="J205" i="26"/>
  <c r="C209" i="26"/>
  <c r="J219" i="26"/>
  <c r="C241" i="26"/>
  <c r="C240" i="26"/>
  <c r="G283" i="26"/>
  <c r="K282" i="26"/>
  <c r="G298" i="26"/>
  <c r="G41" i="26"/>
  <c r="J72" i="26"/>
  <c r="J85" i="26"/>
  <c r="G98" i="26"/>
  <c r="C104" i="26"/>
  <c r="J103" i="26"/>
  <c r="J111" i="26"/>
  <c r="C117" i="26"/>
  <c r="J116" i="26"/>
  <c r="C162" i="26"/>
  <c r="J161" i="26"/>
  <c r="G169" i="26"/>
  <c r="K179" i="26"/>
  <c r="C183" i="26"/>
  <c r="C218" i="26"/>
  <c r="J216" i="26"/>
  <c r="C229" i="26"/>
  <c r="J228" i="26"/>
  <c r="G246" i="26"/>
  <c r="C293" i="26"/>
  <c r="J292" i="26"/>
  <c r="J291" i="26"/>
  <c r="G39" i="26"/>
  <c r="G63" i="26"/>
  <c r="C78" i="26"/>
  <c r="K93" i="26"/>
  <c r="G101" i="26"/>
  <c r="K103" i="26"/>
  <c r="G114" i="26"/>
  <c r="C129" i="26"/>
  <c r="K131" i="26"/>
  <c r="K133" i="26"/>
  <c r="C145" i="26"/>
  <c r="K147" i="26"/>
  <c r="J153" i="26"/>
  <c r="J158" i="26"/>
  <c r="C159" i="26"/>
  <c r="K161" i="26"/>
  <c r="C178" i="26"/>
  <c r="J177" i="26"/>
  <c r="K182" i="26"/>
  <c r="K185" i="26"/>
  <c r="G229" i="26"/>
  <c r="K228" i="26"/>
  <c r="G232" i="26"/>
  <c r="G239" i="26"/>
  <c r="K238" i="26"/>
  <c r="C250" i="26"/>
  <c r="K263" i="26"/>
  <c r="K267" i="26"/>
  <c r="C271" i="26"/>
  <c r="C270" i="26"/>
  <c r="G281" i="26"/>
  <c r="K280" i="26"/>
  <c r="G289" i="26"/>
  <c r="K288" i="26"/>
  <c r="G288" i="26"/>
  <c r="G119" i="26"/>
  <c r="K118" i="26"/>
  <c r="C194" i="26"/>
  <c r="J193" i="26"/>
  <c r="G221" i="26"/>
  <c r="K220" i="26"/>
  <c r="G253" i="26"/>
  <c r="K252" i="26"/>
  <c r="G292" i="26"/>
  <c r="K291" i="26"/>
  <c r="C50" i="26"/>
  <c r="J67" i="26"/>
  <c r="C109" i="26"/>
  <c r="C108" i="26"/>
  <c r="J121" i="26"/>
  <c r="J136" i="26"/>
  <c r="C148" i="26"/>
  <c r="J147" i="26"/>
  <c r="K158" i="26"/>
  <c r="G194" i="26"/>
  <c r="K193" i="26"/>
  <c r="G200" i="26"/>
  <c r="G207" i="26"/>
  <c r="K206" i="26"/>
  <c r="G214" i="26"/>
  <c r="C289" i="26"/>
  <c r="J288" i="26"/>
  <c r="C288" i="26"/>
  <c r="C35" i="26"/>
  <c r="G37" i="26"/>
  <c r="C59" i="26"/>
  <c r="G61" i="26"/>
  <c r="C73" i="26"/>
  <c r="C86" i="26"/>
  <c r="G104" i="26"/>
  <c r="G134" i="26"/>
  <c r="K136" i="26"/>
  <c r="G148" i="26"/>
  <c r="G156" i="26"/>
  <c r="G162" i="26"/>
  <c r="G167" i="26"/>
  <c r="G183" i="26"/>
  <c r="G186" i="26"/>
  <c r="J188" i="26"/>
  <c r="C189" i="26"/>
  <c r="J191" i="26"/>
  <c r="G204" i="26"/>
  <c r="C208" i="26"/>
  <c r="C215" i="26"/>
  <c r="C222" i="26"/>
  <c r="C226" i="26"/>
  <c r="J225" i="26"/>
  <c r="J232" i="26"/>
  <c r="C247" i="26"/>
  <c r="G264" i="26"/>
  <c r="J293" i="26"/>
  <c r="K152" i="26"/>
  <c r="K28" i="26"/>
  <c r="G35" i="26"/>
  <c r="K52" i="26"/>
  <c r="G59" i="26"/>
  <c r="C89" i="26"/>
  <c r="C99" i="26"/>
  <c r="K129" i="26"/>
  <c r="G137" i="26"/>
  <c r="J142" i="26"/>
  <c r="C143" i="26"/>
  <c r="G159" i="26"/>
  <c r="C165" i="26"/>
  <c r="G178" i="26"/>
  <c r="J180" i="26"/>
  <c r="K183" i="26"/>
  <c r="K186" i="26"/>
  <c r="C195" i="26"/>
  <c r="G201" i="26"/>
  <c r="K200" i="26"/>
  <c r="K207" i="26"/>
  <c r="G215" i="26"/>
  <c r="K214" i="26"/>
  <c r="J218" i="26"/>
  <c r="K225" i="26"/>
  <c r="K239" i="26"/>
  <c r="G247" i="26"/>
  <c r="K246" i="26"/>
  <c r="K271" i="26"/>
  <c r="G275" i="26"/>
  <c r="K274" i="26"/>
  <c r="J166" i="26"/>
  <c r="G33" i="26"/>
  <c r="G57" i="26"/>
  <c r="J68" i="26"/>
  <c r="C71" i="26"/>
  <c r="J78" i="26"/>
  <c r="K83" i="26"/>
  <c r="K88" i="26"/>
  <c r="G88" i="26"/>
  <c r="J122" i="26"/>
  <c r="J134" i="26"/>
  <c r="C154" i="26"/>
  <c r="J159" i="26"/>
  <c r="K167" i="26"/>
  <c r="J172" i="26"/>
  <c r="C173" i="26"/>
  <c r="J183" i="26"/>
  <c r="G205" i="26"/>
  <c r="K204" i="26"/>
  <c r="C223" i="26"/>
  <c r="J222" i="26"/>
  <c r="G233" i="26"/>
  <c r="K232" i="26"/>
  <c r="K257" i="26"/>
  <c r="C265" i="26"/>
  <c r="C264" i="26"/>
  <c r="K281" i="26"/>
  <c r="C285" i="26"/>
  <c r="J284" i="26"/>
  <c r="J287" i="26"/>
  <c r="C97" i="26"/>
  <c r="C121" i="26"/>
  <c r="C166" i="26"/>
  <c r="J213" i="26"/>
  <c r="G219" i="26"/>
  <c r="K218" i="26"/>
  <c r="C225" i="26"/>
  <c r="K233" i="26"/>
  <c r="J245" i="26"/>
  <c r="G251" i="26"/>
  <c r="K250" i="26"/>
  <c r="G257" i="26"/>
  <c r="K256" i="26"/>
  <c r="G291" i="26"/>
  <c r="K290" i="26"/>
  <c r="G297" i="26"/>
  <c r="K296" i="26"/>
  <c r="C95" i="26"/>
  <c r="C119" i="26"/>
  <c r="J140" i="26"/>
  <c r="J156" i="26"/>
  <c r="J170" i="26"/>
  <c r="K172" i="26"/>
  <c r="C199" i="26"/>
  <c r="C202" i="26"/>
  <c r="C205" i="26"/>
  <c r="J204" i="26"/>
  <c r="J207" i="26"/>
  <c r="J210" i="26"/>
  <c r="G225" i="26"/>
  <c r="K224" i="26"/>
  <c r="C231" i="26"/>
  <c r="C234" i="26"/>
  <c r="C237" i="26"/>
  <c r="J236" i="26"/>
  <c r="J239" i="26"/>
  <c r="J272" i="26"/>
  <c r="C282" i="26"/>
  <c r="G231" i="26"/>
  <c r="K230" i="26"/>
  <c r="G237" i="26"/>
  <c r="K236" i="26"/>
  <c r="C243" i="26"/>
  <c r="C261" i="26"/>
  <c r="J260" i="26"/>
  <c r="J263" i="26"/>
  <c r="C267" i="26"/>
  <c r="G282" i="26"/>
  <c r="C91" i="26"/>
  <c r="C115" i="26"/>
  <c r="G157" i="26"/>
  <c r="J168" i="26"/>
  <c r="G211" i="26"/>
  <c r="K210" i="26"/>
  <c r="C217" i="26"/>
  <c r="G243" i="26"/>
  <c r="K242" i="26"/>
  <c r="C255" i="26"/>
  <c r="C258" i="26"/>
  <c r="G261" i="26"/>
  <c r="K260" i="26"/>
  <c r="G267" i="26"/>
  <c r="K266" i="26"/>
  <c r="G273" i="26"/>
  <c r="K272" i="26"/>
  <c r="C298" i="26"/>
  <c r="G255" i="26"/>
  <c r="K254" i="26"/>
  <c r="G263" i="26"/>
  <c r="K262" i="26"/>
  <c r="G271" i="26"/>
  <c r="K270" i="26"/>
  <c r="G279" i="26"/>
  <c r="K278" i="26"/>
  <c r="G287" i="26"/>
  <c r="K286" i="26"/>
  <c r="G295" i="26"/>
  <c r="K294" i="26"/>
  <c r="J150" i="26"/>
  <c r="J174" i="26"/>
  <c r="G269" i="26"/>
  <c r="K268" i="26"/>
  <c r="G277" i="26"/>
  <c r="K276" i="26"/>
  <c r="G285" i="26"/>
  <c r="K284" i="26"/>
  <c r="G293" i="26"/>
  <c r="K292" i="26"/>
  <c r="G301" i="26"/>
  <c r="K300" i="26"/>
  <c r="N5" i="26" l="1"/>
  <c r="N6" i="26"/>
  <c r="N7" i="26"/>
  <c r="I9" i="24" l="1"/>
  <c r="I8" i="24"/>
  <c r="E8" i="24"/>
  <c r="D9" i="24"/>
  <c r="C11" i="24" l="1"/>
  <c r="H14" i="24" s="1"/>
  <c r="H15" i="24" s="1"/>
  <c r="C14" i="24"/>
  <c r="C15" i="24" s="1"/>
  <c r="C19" i="24"/>
  <c r="C20" i="24" s="1"/>
  <c r="E75" i="24" l="1"/>
  <c r="D75" i="24"/>
  <c r="C75" i="24"/>
  <c r="B75" i="24"/>
  <c r="E44" i="24"/>
  <c r="F44" i="24" s="1"/>
  <c r="G44" i="24" s="1"/>
  <c r="C44" i="24"/>
  <c r="B44" i="24" s="1"/>
  <c r="B38" i="24"/>
  <c r="C12" i="24" s="1"/>
  <c r="H19" i="24" s="1"/>
  <c r="H20" i="24" s="1"/>
  <c r="H9" i="24"/>
  <c r="G9" i="24"/>
  <c r="F9" i="24"/>
  <c r="E9" i="24"/>
  <c r="D14" i="24" s="1"/>
  <c r="D15" i="24" s="1"/>
  <c r="H8" i="24"/>
  <c r="G8" i="24"/>
  <c r="F8" i="24"/>
  <c r="D25" i="23"/>
  <c r="D24" i="23"/>
  <c r="C24" i="23"/>
  <c r="D23" i="23"/>
  <c r="C20" i="23"/>
  <c r="B20" i="23"/>
  <c r="C19" i="23"/>
  <c r="B19" i="23"/>
  <c r="C18" i="23"/>
  <c r="B18" i="23"/>
  <c r="C15" i="23"/>
  <c r="B15" i="23"/>
  <c r="C14" i="23"/>
  <c r="B14" i="23"/>
  <c r="C13" i="23"/>
  <c r="B13" i="23"/>
  <c r="C10" i="23"/>
  <c r="B10" i="23"/>
  <c r="C25" i="23" s="1"/>
  <c r="C9" i="23"/>
  <c r="B9" i="23"/>
  <c r="C8" i="23"/>
  <c r="B8" i="23"/>
  <c r="C23" i="23" s="1"/>
  <c r="C4" i="23"/>
  <c r="B4" i="23"/>
  <c r="B25" i="23" s="1"/>
  <c r="C3" i="23"/>
  <c r="B3" i="23"/>
  <c r="B24" i="23" s="1"/>
  <c r="C2" i="23"/>
  <c r="B2" i="23"/>
  <c r="B23" i="23" s="1"/>
  <c r="G75" i="24" l="1"/>
  <c r="B29" i="24" s="1"/>
  <c r="E14" i="24"/>
  <c r="E15" i="24" s="1"/>
  <c r="E19" i="24"/>
  <c r="E20" i="24" s="1"/>
  <c r="G14" i="24"/>
  <c r="G15" i="24" s="1"/>
  <c r="G19" i="24"/>
  <c r="G20" i="24" s="1"/>
  <c r="F14" i="24"/>
  <c r="F15" i="24" s="1"/>
  <c r="F19" i="24"/>
  <c r="F20" i="24" s="1"/>
  <c r="D19" i="24"/>
  <c r="D20" i="24" s="1"/>
  <c r="C28" i="22"/>
  <c r="C27" i="22"/>
  <c r="E12" i="22"/>
  <c r="K4" i="22" s="1"/>
  <c r="M5" i="22"/>
  <c r="L5" i="22"/>
  <c r="H4" i="22"/>
  <c r="G4" i="22"/>
  <c r="J4" i="22" s="1"/>
  <c r="E4" i="22"/>
  <c r="I4" i="22" s="1"/>
  <c r="H3" i="22"/>
  <c r="G3" i="22"/>
  <c r="J3" i="22" s="1"/>
  <c r="F3" i="22"/>
  <c r="K3" i="22" s="1"/>
  <c r="E3" i="22"/>
  <c r="I3" i="22" s="1"/>
  <c r="K2" i="22"/>
  <c r="J2" i="22"/>
  <c r="G2" i="22"/>
  <c r="E2" i="22"/>
  <c r="I2" i="22" s="1"/>
  <c r="I5" i="22" l="1"/>
  <c r="H10" i="22" s="1"/>
  <c r="H5" i="22"/>
  <c r="J5" i="22"/>
  <c r="H11" i="22" s="1"/>
  <c r="K5" i="22"/>
  <c r="H12" i="22" s="1"/>
  <c r="C17" i="24"/>
  <c r="A44" i="24" s="1"/>
  <c r="C21" i="24"/>
  <c r="C30" i="22" l="1"/>
  <c r="C32" i="22" s="1"/>
  <c r="H14" i="22" s="1"/>
  <c r="H16" i="22" s="1"/>
  <c r="H9" i="22"/>
  <c r="H13" i="22"/>
  <c r="E24" i="22" s="1"/>
  <c r="C2" i="31"/>
  <c r="D2" i="31" s="1"/>
  <c r="A58" i="24"/>
  <c r="C3" i="31"/>
  <c r="D3" i="31" s="1"/>
  <c r="D7" i="31" l="1"/>
  <c r="H36" i="12"/>
  <c r="C57" i="12" l="1"/>
  <c r="D57" i="12"/>
  <c r="E57" i="12"/>
  <c r="F57" i="12"/>
  <c r="G57" i="12"/>
  <c r="B57" i="12"/>
  <c r="C56" i="12"/>
  <c r="D56" i="12"/>
  <c r="E56" i="12"/>
  <c r="F56" i="12"/>
  <c r="G56" i="12"/>
  <c r="B56" i="12"/>
  <c r="C65" i="13" l="1"/>
  <c r="D65" i="13"/>
  <c r="B77" i="13" l="1"/>
  <c r="B58" i="13"/>
  <c r="C51" i="13"/>
  <c r="D51" i="13" s="1"/>
  <c r="E51" i="13" s="1"/>
  <c r="F51" i="13" s="1"/>
  <c r="G51" i="13" s="1"/>
  <c r="H51" i="13" s="1"/>
  <c r="B47" i="13"/>
  <c r="B53" i="13" s="1"/>
  <c r="B22" i="13"/>
  <c r="E31" i="12"/>
  <c r="F31" i="12"/>
  <c r="G31" i="12"/>
  <c r="H31" i="12" s="1"/>
  <c r="D31" i="12"/>
  <c r="C31" i="12"/>
  <c r="C14" i="13"/>
  <c r="D14" i="13"/>
  <c r="E14" i="13"/>
  <c r="F14" i="13"/>
  <c r="G14" i="13"/>
  <c r="H14" i="13"/>
  <c r="B14" i="13"/>
  <c r="B7" i="13"/>
  <c r="C12" i="13"/>
  <c r="B62" i="12" l="1"/>
  <c r="B61" i="12"/>
  <c r="D52" i="12"/>
  <c r="B55" i="12"/>
  <c r="B50" i="12"/>
  <c r="B47" i="12"/>
  <c r="B58" i="12" s="1"/>
  <c r="N16" i="12"/>
  <c r="S17" i="12"/>
  <c r="F25" i="15"/>
  <c r="D25" i="15"/>
  <c r="B25" i="15"/>
  <c r="E35" i="15"/>
  <c r="C39" i="16"/>
  <c r="H44" i="16" l="1"/>
  <c r="E43" i="16"/>
  <c r="F43" i="16"/>
  <c r="G43" i="16"/>
  <c r="H43" i="16"/>
  <c r="D43" i="16"/>
  <c r="D36" i="12" l="1"/>
  <c r="B36" i="12"/>
  <c r="B72" i="12"/>
  <c r="D12" i="13"/>
  <c r="V24" i="13"/>
  <c r="C78" i="12"/>
  <c r="C77" i="12"/>
  <c r="C76" i="12"/>
  <c r="C75" i="12"/>
  <c r="C15" i="16" l="1"/>
  <c r="B18" i="12"/>
  <c r="O15" i="16"/>
  <c r="N15" i="16"/>
  <c r="M15" i="16"/>
  <c r="L15" i="16"/>
  <c r="K15" i="16"/>
  <c r="H15" i="16"/>
  <c r="O9" i="16" s="1"/>
  <c r="G15" i="16"/>
  <c r="N9" i="16" s="1"/>
  <c r="F15" i="16"/>
  <c r="E15" i="16"/>
  <c r="D15" i="16"/>
  <c r="O13" i="16"/>
  <c r="N13" i="16"/>
  <c r="M13" i="16"/>
  <c r="L13" i="16"/>
  <c r="K13" i="16"/>
  <c r="K28" i="16" s="1"/>
  <c r="C37" i="16" s="1"/>
  <c r="D37" i="16" s="1"/>
  <c r="E37" i="16" s="1"/>
  <c r="F37" i="16" s="1"/>
  <c r="G37" i="16" s="1"/>
  <c r="H37" i="16" s="1"/>
  <c r="H13" i="16"/>
  <c r="G13" i="16"/>
  <c r="N8" i="16" s="1"/>
  <c r="F13" i="16"/>
  <c r="M8" i="16" s="1"/>
  <c r="E13" i="16"/>
  <c r="L8" i="16" s="1"/>
  <c r="D13" i="16"/>
  <c r="C13" i="16"/>
  <c r="O11" i="16"/>
  <c r="N11" i="16"/>
  <c r="M11" i="16"/>
  <c r="L11" i="16"/>
  <c r="K11" i="16"/>
  <c r="K26" i="16" s="1"/>
  <c r="C35" i="16" s="1"/>
  <c r="D35" i="16" s="1"/>
  <c r="E35" i="16" s="1"/>
  <c r="F35" i="16" s="1"/>
  <c r="G35" i="16" s="1"/>
  <c r="H35" i="16" s="1"/>
  <c r="H11" i="16"/>
  <c r="G11" i="16"/>
  <c r="F11" i="16"/>
  <c r="M7" i="16" s="1"/>
  <c r="E11" i="16"/>
  <c r="D11" i="16"/>
  <c r="C11" i="16"/>
  <c r="M9" i="16"/>
  <c r="L9" i="16"/>
  <c r="K9" i="16"/>
  <c r="H9" i="16"/>
  <c r="G9" i="16"/>
  <c r="F9" i="16"/>
  <c r="E9" i="16"/>
  <c r="D9" i="16"/>
  <c r="K6" i="16" s="1"/>
  <c r="C9" i="16"/>
  <c r="K8" i="16"/>
  <c r="H7" i="16"/>
  <c r="O5" i="16" s="1"/>
  <c r="G7" i="16"/>
  <c r="N5" i="16" s="1"/>
  <c r="F7" i="16"/>
  <c r="E7" i="16"/>
  <c r="D7" i="16"/>
  <c r="C7" i="16"/>
  <c r="L6" i="16"/>
  <c r="K5" i="16" l="1"/>
  <c r="L5" i="16"/>
  <c r="M6" i="16"/>
  <c r="N7" i="16"/>
  <c r="O8" i="16"/>
  <c r="M5" i="16"/>
  <c r="N6" i="16"/>
  <c r="K24" i="16"/>
  <c r="C33" i="16" s="1"/>
  <c r="D33" i="16" s="1"/>
  <c r="E33" i="16" s="1"/>
  <c r="F33" i="16" s="1"/>
  <c r="G33" i="16" s="1"/>
  <c r="H33" i="16" s="1"/>
  <c r="K23" i="16"/>
  <c r="C32" i="16" s="1"/>
  <c r="D32" i="16" s="1"/>
  <c r="E32" i="16" s="1"/>
  <c r="F32" i="16" s="1"/>
  <c r="G32" i="16" s="1"/>
  <c r="H32" i="16" s="1"/>
  <c r="K30" i="16"/>
  <c r="D39" i="16" s="1"/>
  <c r="E39" i="16" s="1"/>
  <c r="F39" i="16" s="1"/>
  <c r="G39" i="16" s="1"/>
  <c r="H39" i="16" s="1"/>
  <c r="O7" i="16"/>
  <c r="O6" i="16"/>
  <c r="K21" i="16" l="1"/>
  <c r="C30" i="16" s="1"/>
  <c r="D30" i="16" s="1"/>
  <c r="E30" i="16" s="1"/>
  <c r="F30" i="16" s="1"/>
  <c r="G30" i="16" s="1"/>
  <c r="H30" i="16" s="1"/>
  <c r="K22" i="16"/>
  <c r="C31" i="16" s="1"/>
  <c r="D31" i="16" s="1"/>
  <c r="E31" i="16" s="1"/>
  <c r="F31" i="16" s="1"/>
  <c r="G31" i="16" s="1"/>
  <c r="H31" i="16" s="1"/>
  <c r="K20" i="16"/>
  <c r="C29" i="16" s="1"/>
  <c r="D29" i="16"/>
  <c r="C28" i="16" l="1"/>
  <c r="C41" i="16" s="1"/>
  <c r="C42" i="16" s="1"/>
  <c r="C3" i="13" s="1"/>
  <c r="D28" i="16"/>
  <c r="D41" i="16" s="1"/>
  <c r="D42" i="16" s="1"/>
  <c r="D3" i="13" s="1"/>
  <c r="D11" i="13" s="1"/>
  <c r="E29" i="16"/>
  <c r="C11" i="13" l="1"/>
  <c r="C58" i="13"/>
  <c r="C6" i="13"/>
  <c r="F29" i="16"/>
  <c r="E28" i="16"/>
  <c r="E41" i="16" s="1"/>
  <c r="E42" i="16" s="1"/>
  <c r="E3" i="13" s="1"/>
  <c r="G29" i="16" l="1"/>
  <c r="F28" i="16"/>
  <c r="F41" i="16" s="1"/>
  <c r="F42" i="16" s="1"/>
  <c r="F3" i="13" s="1"/>
  <c r="E25" i="15"/>
  <c r="E26" i="15" s="1"/>
  <c r="E27" i="15" s="1"/>
  <c r="E28" i="15" s="1"/>
  <c r="E29" i="15" s="1"/>
  <c r="E30" i="15" s="1"/>
  <c r="E31" i="15" s="1"/>
  <c r="B42" i="15"/>
  <c r="B37" i="15"/>
  <c r="B35" i="15"/>
  <c r="G18" i="15"/>
  <c r="F18" i="15"/>
  <c r="E18" i="15"/>
  <c r="D18" i="15"/>
  <c r="C18" i="15"/>
  <c r="B18" i="15"/>
  <c r="D17" i="15"/>
  <c r="G16" i="15"/>
  <c r="F16" i="15"/>
  <c r="F17" i="15" s="1"/>
  <c r="E16" i="15"/>
  <c r="D16" i="15"/>
  <c r="C16" i="15"/>
  <c r="B16" i="15"/>
  <c r="G14" i="15"/>
  <c r="F14" i="15"/>
  <c r="E14" i="15"/>
  <c r="D14" i="15"/>
  <c r="J14" i="15" s="1"/>
  <c r="C14" i="15"/>
  <c r="G11" i="15"/>
  <c r="B36" i="15" s="1"/>
  <c r="C25" i="15" s="1"/>
  <c r="F11" i="15"/>
  <c r="E11" i="15"/>
  <c r="D11" i="15"/>
  <c r="C11" i="15"/>
  <c r="B11" i="15"/>
  <c r="G10" i="15"/>
  <c r="F10" i="15"/>
  <c r="E10" i="15"/>
  <c r="D10" i="15"/>
  <c r="C10" i="15"/>
  <c r="J10" i="15" s="1"/>
  <c r="G8" i="15"/>
  <c r="F8" i="15"/>
  <c r="E8" i="15"/>
  <c r="D8" i="15"/>
  <c r="C8" i="15"/>
  <c r="G4" i="15"/>
  <c r="F4" i="15"/>
  <c r="E4" i="15"/>
  <c r="D4" i="15"/>
  <c r="C4" i="15"/>
  <c r="B4" i="15"/>
  <c r="F20" i="15"/>
  <c r="H11" i="15"/>
  <c r="G20" i="15"/>
  <c r="D20" i="15"/>
  <c r="H18" i="15"/>
  <c r="C20" i="15"/>
  <c r="E20" i="15"/>
  <c r="H16" i="15"/>
  <c r="G17" i="15" l="1"/>
  <c r="E17" i="15"/>
  <c r="H29" i="16"/>
  <c r="H28" i="16" s="1"/>
  <c r="H41" i="16" s="1"/>
  <c r="H42" i="16" s="1"/>
  <c r="H3" i="13" s="1"/>
  <c r="G28" i="16"/>
  <c r="G41" i="16" s="1"/>
  <c r="G42" i="16" s="1"/>
  <c r="G3" i="13" s="1"/>
  <c r="E19" i="15"/>
  <c r="F19" i="15"/>
  <c r="C19" i="15"/>
  <c r="D19" i="15"/>
  <c r="C17" i="15"/>
  <c r="J17" i="15" s="1"/>
  <c r="G19" i="15"/>
  <c r="E12" i="15"/>
  <c r="C12" i="15"/>
  <c r="D12" i="15"/>
  <c r="J8" i="15"/>
  <c r="B40" i="15" s="1"/>
  <c r="B26" i="15" s="1"/>
  <c r="B27" i="15" s="1"/>
  <c r="F12" i="15"/>
  <c r="G12" i="15"/>
  <c r="B28" i="15" l="1"/>
  <c r="B29" i="15" s="1"/>
  <c r="B30" i="15" s="1"/>
  <c r="B31" i="15" s="1"/>
  <c r="J12" i="15"/>
  <c r="B41" i="15" s="1"/>
  <c r="C26" i="15" s="1"/>
  <c r="C27" i="15" s="1"/>
  <c r="C28" i="15" s="1"/>
  <c r="C29" i="15" s="1"/>
  <c r="C30" i="15" s="1"/>
  <c r="C31" i="15" s="1"/>
  <c r="D28" i="15" l="1"/>
  <c r="F28" i="15" s="1"/>
  <c r="D26" i="15"/>
  <c r="F26" i="15" s="1"/>
  <c r="D27" i="15"/>
  <c r="F27" i="15" s="1"/>
  <c r="D29" i="15"/>
  <c r="F29" i="15" s="1"/>
  <c r="D31" i="15" l="1"/>
  <c r="F31" i="15" s="1"/>
  <c r="D30" i="15"/>
  <c r="F30" i="15" s="1"/>
  <c r="C8" i="14" l="1"/>
  <c r="C7" i="14"/>
  <c r="C6" i="14"/>
  <c r="C5" i="14"/>
  <c r="C4" i="14"/>
  <c r="C3" i="14"/>
  <c r="E1" i="14"/>
  <c r="E4" i="14" s="1"/>
  <c r="E16" i="14" l="1"/>
  <c r="F16" i="14" s="1"/>
  <c r="G16" i="14" s="1"/>
  <c r="H16" i="14" s="1"/>
  <c r="I16" i="14" s="1"/>
  <c r="J16" i="14" s="1"/>
  <c r="C19" i="13"/>
  <c r="B85" i="13"/>
  <c r="C76" i="13"/>
  <c r="D76" i="13" s="1"/>
  <c r="E76" i="13" s="1"/>
  <c r="F76" i="13" s="1"/>
  <c r="G76" i="13" s="1"/>
  <c r="H76" i="13" s="1"/>
  <c r="C75" i="13"/>
  <c r="D75" i="13" s="1"/>
  <c r="E75" i="13" s="1"/>
  <c r="F75" i="13" s="1"/>
  <c r="G75" i="13" s="1"/>
  <c r="H75" i="13" s="1"/>
  <c r="C74" i="13"/>
  <c r="D74" i="13" s="1"/>
  <c r="B66" i="13"/>
  <c r="C63" i="13"/>
  <c r="D63" i="13" s="1"/>
  <c r="E63" i="13" s="1"/>
  <c r="F63" i="13" s="1"/>
  <c r="G63" i="13" s="1"/>
  <c r="H63" i="13" s="1"/>
  <c r="C64" i="13"/>
  <c r="D64" i="13" s="1"/>
  <c r="E64" i="13" s="1"/>
  <c r="F64" i="13" s="1"/>
  <c r="G64" i="13" s="1"/>
  <c r="H64" i="13" s="1"/>
  <c r="C62" i="13"/>
  <c r="B59" i="13"/>
  <c r="C50" i="13"/>
  <c r="D50" i="13" s="1"/>
  <c r="E50" i="13" s="1"/>
  <c r="F50" i="13" s="1"/>
  <c r="G50" i="13" s="1"/>
  <c r="H50" i="13" s="1"/>
  <c r="C49" i="13"/>
  <c r="D49" i="13" s="1"/>
  <c r="E49" i="13" s="1"/>
  <c r="F49" i="13" s="1"/>
  <c r="G49" i="13" s="1"/>
  <c r="H49" i="13" s="1"/>
  <c r="C48" i="13"/>
  <c r="D48" i="13" s="1"/>
  <c r="E48" i="13" s="1"/>
  <c r="F48" i="13" s="1"/>
  <c r="G48" i="13" s="1"/>
  <c r="H48" i="13" s="1"/>
  <c r="C20" i="13"/>
  <c r="D20" i="13" s="1"/>
  <c r="E20" i="13" s="1"/>
  <c r="F20" i="13" s="1"/>
  <c r="G20" i="13" s="1"/>
  <c r="H20" i="13" s="1"/>
  <c r="C30" i="13"/>
  <c r="D30" i="13" s="1"/>
  <c r="E30" i="13" s="1"/>
  <c r="F30" i="13" s="1"/>
  <c r="G30" i="13" s="1"/>
  <c r="H30" i="13" s="1"/>
  <c r="C29" i="13"/>
  <c r="D29" i="13" s="1"/>
  <c r="E29" i="13" s="1"/>
  <c r="F29" i="13" s="1"/>
  <c r="G29" i="13" s="1"/>
  <c r="H29" i="13" s="1"/>
  <c r="C47" i="13"/>
  <c r="C21" i="13"/>
  <c r="D21" i="13" s="1"/>
  <c r="E21" i="13" s="1"/>
  <c r="F21" i="13" s="1"/>
  <c r="G21" i="13" s="1"/>
  <c r="H21" i="13" s="1"/>
  <c r="B13" i="13"/>
  <c r="C72" i="12"/>
  <c r="C73" i="12" s="1"/>
  <c r="D72" i="12"/>
  <c r="D73" i="12" s="1"/>
  <c r="E72" i="12"/>
  <c r="E73" i="12" s="1"/>
  <c r="F72" i="12"/>
  <c r="F73" i="12" s="1"/>
  <c r="G72" i="12"/>
  <c r="G73" i="12" s="1"/>
  <c r="B73" i="12"/>
  <c r="B6" i="13"/>
  <c r="G51" i="12"/>
  <c r="G52" i="12"/>
  <c r="G53" i="12"/>
  <c r="G54" i="12"/>
  <c r="G55" i="12"/>
  <c r="G50" i="12"/>
  <c r="F53" i="12"/>
  <c r="F51" i="12"/>
  <c r="F52" i="12"/>
  <c r="F54" i="12"/>
  <c r="F55" i="12"/>
  <c r="F50" i="12"/>
  <c r="E51" i="12"/>
  <c r="E52" i="12"/>
  <c r="E53" i="12"/>
  <c r="E54" i="12"/>
  <c r="E55" i="12"/>
  <c r="E50" i="12"/>
  <c r="D51" i="12"/>
  <c r="D53" i="12"/>
  <c r="D54" i="12"/>
  <c r="D55" i="12"/>
  <c r="D50" i="12"/>
  <c r="C51" i="12"/>
  <c r="C52" i="12"/>
  <c r="C53" i="12"/>
  <c r="C54" i="12"/>
  <c r="C55" i="12"/>
  <c r="C50" i="12"/>
  <c r="B51" i="12"/>
  <c r="B52" i="12"/>
  <c r="B53" i="12"/>
  <c r="B54" i="12"/>
  <c r="G47" i="12"/>
  <c r="G58" i="12" s="1"/>
  <c r="F47" i="12"/>
  <c r="F58" i="12" s="1"/>
  <c r="C47" i="12"/>
  <c r="C58" i="12" s="1"/>
  <c r="D47" i="12"/>
  <c r="D58" i="12" s="1"/>
  <c r="E47" i="12"/>
  <c r="E58" i="12" s="1"/>
  <c r="B66" i="12"/>
  <c r="B65" i="12"/>
  <c r="B64" i="12"/>
  <c r="B63" i="12"/>
  <c r="B67" i="12" s="1"/>
  <c r="C70" i="13" l="1"/>
  <c r="C72" i="13"/>
  <c r="C71" i="13"/>
  <c r="C69" i="13"/>
  <c r="C73" i="13" s="1"/>
  <c r="C53" i="13"/>
  <c r="B15" i="13"/>
  <c r="B16" i="13" s="1"/>
  <c r="B24" i="13" s="1"/>
  <c r="B26" i="13" s="1"/>
  <c r="E67" i="12"/>
  <c r="D19" i="13"/>
  <c r="B87" i="13"/>
  <c r="C85" i="13"/>
  <c r="E74" i="13"/>
  <c r="D62" i="13"/>
  <c r="C13" i="13"/>
  <c r="C7" i="13"/>
  <c r="D85" i="13"/>
  <c r="H73" i="12"/>
  <c r="D67" i="12"/>
  <c r="C67" i="12"/>
  <c r="G67" i="12"/>
  <c r="F67" i="12"/>
  <c r="C36" i="12"/>
  <c r="D37" i="12"/>
  <c r="E36" i="12"/>
  <c r="E37" i="12" s="1"/>
  <c r="F36" i="12"/>
  <c r="F37" i="12" s="1"/>
  <c r="G36" i="12"/>
  <c r="G37" i="12" s="1"/>
  <c r="B37" i="12"/>
  <c r="G35" i="12"/>
  <c r="F35" i="12"/>
  <c r="E35" i="12"/>
  <c r="D35" i="12"/>
  <c r="C35" i="12"/>
  <c r="B35" i="12"/>
  <c r="G28" i="12"/>
  <c r="F28" i="12"/>
  <c r="E28" i="12"/>
  <c r="D28" i="12"/>
  <c r="C28" i="12"/>
  <c r="B28" i="12"/>
  <c r="G26" i="12"/>
  <c r="F26" i="12"/>
  <c r="E26" i="12"/>
  <c r="D26" i="12"/>
  <c r="C26" i="12"/>
  <c r="B26" i="12"/>
  <c r="G22" i="12"/>
  <c r="F22" i="12"/>
  <c r="E22" i="12"/>
  <c r="D22" i="12"/>
  <c r="C22" i="12"/>
  <c r="B22" i="12"/>
  <c r="G20" i="12"/>
  <c r="F20" i="12"/>
  <c r="E20" i="12"/>
  <c r="D20" i="12"/>
  <c r="C20" i="12"/>
  <c r="B20" i="12"/>
  <c r="G18" i="12"/>
  <c r="F18" i="12"/>
  <c r="E18" i="12"/>
  <c r="D18" i="12"/>
  <c r="C18" i="12"/>
  <c r="C6" i="3"/>
  <c r="D6" i="3"/>
  <c r="E6" i="3"/>
  <c r="F6" i="3"/>
  <c r="G6" i="3"/>
  <c r="B6" i="3"/>
  <c r="H18" i="12" l="1"/>
  <c r="C15" i="13"/>
  <c r="C16" i="13"/>
  <c r="B68" i="12"/>
  <c r="B11" i="3"/>
  <c r="H20" i="12"/>
  <c r="E11" i="3"/>
  <c r="F11" i="3"/>
  <c r="C37" i="12"/>
  <c r="C77" i="13"/>
  <c r="D13" i="13"/>
  <c r="E19" i="13"/>
  <c r="F74" i="13"/>
  <c r="E62" i="13"/>
  <c r="D47" i="13"/>
  <c r="D58" i="13"/>
  <c r="E85" i="13"/>
  <c r="D6" i="13"/>
  <c r="D7" i="13" s="1"/>
  <c r="H35" i="12"/>
  <c r="H26" i="12"/>
  <c r="H22" i="12"/>
  <c r="H28" i="12"/>
  <c r="D11" i="3"/>
  <c r="C11" i="3"/>
  <c r="D53" i="13" l="1"/>
  <c r="D71" i="13"/>
  <c r="D69" i="13"/>
  <c r="D70" i="13"/>
  <c r="D72" i="13"/>
  <c r="E13" i="13"/>
  <c r="F13" i="13" s="1"/>
  <c r="G13" i="13" s="1"/>
  <c r="H13" i="13" s="1"/>
  <c r="D15" i="13"/>
  <c r="D16" i="13"/>
  <c r="B35" i="13"/>
  <c r="B36" i="13" s="1"/>
  <c r="B15" i="3"/>
  <c r="C15" i="3"/>
  <c r="F15" i="3"/>
  <c r="G15" i="3"/>
  <c r="D15" i="3"/>
  <c r="E15" i="3"/>
  <c r="B31" i="13"/>
  <c r="B34" i="13"/>
  <c r="F19" i="13"/>
  <c r="G74" i="13"/>
  <c r="F62" i="13"/>
  <c r="E47" i="13"/>
  <c r="E58" i="13"/>
  <c r="E11" i="13"/>
  <c r="F85" i="13"/>
  <c r="E6" i="13"/>
  <c r="E7" i="13" s="1"/>
  <c r="E53" i="13" l="1"/>
  <c r="E71" i="13"/>
  <c r="E72" i="13"/>
  <c r="E69" i="13"/>
  <c r="E70" i="13"/>
  <c r="D73" i="13"/>
  <c r="D77" i="13" s="1"/>
  <c r="G17" i="3"/>
  <c r="E17" i="3"/>
  <c r="D17" i="3"/>
  <c r="F17" i="3"/>
  <c r="C17" i="3"/>
  <c r="B17" i="3"/>
  <c r="G19" i="13"/>
  <c r="H74" i="13"/>
  <c r="G62" i="13"/>
  <c r="F47" i="13"/>
  <c r="F58" i="13"/>
  <c r="F11" i="13"/>
  <c r="G85" i="13"/>
  <c r="F6" i="13"/>
  <c r="F7" i="13" s="1"/>
  <c r="E73" i="13" l="1"/>
  <c r="F53" i="13"/>
  <c r="F72" i="13"/>
  <c r="F71" i="13"/>
  <c r="F69" i="13"/>
  <c r="F70" i="13"/>
  <c r="C22" i="3"/>
  <c r="F22" i="3"/>
  <c r="D22" i="3"/>
  <c r="E22" i="3"/>
  <c r="B22" i="3"/>
  <c r="G22" i="3"/>
  <c r="H19" i="13"/>
  <c r="E77" i="13"/>
  <c r="H62" i="13"/>
  <c r="G47" i="13"/>
  <c r="G58" i="13"/>
  <c r="G11" i="13"/>
  <c r="H85" i="13"/>
  <c r="G6" i="13"/>
  <c r="G7" i="13" s="1"/>
  <c r="F73" i="13" l="1"/>
  <c r="G53" i="13"/>
  <c r="G72" i="13"/>
  <c r="G70" i="13"/>
  <c r="G71" i="13"/>
  <c r="G69" i="13"/>
  <c r="G73" i="13" s="1"/>
  <c r="F77" i="13"/>
  <c r="H47" i="13"/>
  <c r="H58" i="13"/>
  <c r="H6" i="13"/>
  <c r="H7" i="13" s="1"/>
  <c r="H11" i="13"/>
  <c r="H53" i="13" l="1"/>
  <c r="H69" i="13"/>
  <c r="H72" i="13"/>
  <c r="H70" i="13"/>
  <c r="H71" i="13"/>
  <c r="G77" i="13"/>
  <c r="C46" i="13"/>
  <c r="C45" i="13" s="1"/>
  <c r="H73" i="13" l="1"/>
  <c r="H77" i="13"/>
  <c r="D46" i="13"/>
  <c r="D45" i="13" s="1"/>
  <c r="E12" i="13" s="1"/>
  <c r="E15" i="13" s="1"/>
  <c r="E16" i="13" s="1"/>
  <c r="E46" i="13" l="1"/>
  <c r="E45" i="13" s="1"/>
  <c r="F12" i="13" s="1"/>
  <c r="F15" i="13" s="1"/>
  <c r="F16" i="13" s="1"/>
  <c r="F46" i="13" l="1"/>
  <c r="F45" i="13" s="1"/>
  <c r="G12" i="13" s="1"/>
  <c r="G15" i="13" s="1"/>
  <c r="G16" i="13" s="1"/>
  <c r="G46" i="13" l="1"/>
  <c r="G45" i="13" s="1"/>
  <c r="H12" i="13" s="1"/>
  <c r="H15" i="13" s="1"/>
  <c r="H16" i="13" s="1"/>
  <c r="H46" i="13" l="1"/>
  <c r="H45" i="13" s="1"/>
  <c r="E65" i="13" l="1"/>
  <c r="D66" i="13"/>
  <c r="C66" i="13"/>
  <c r="C86" i="13" s="1"/>
  <c r="C17" i="13" l="1"/>
  <c r="C22" i="13" s="1"/>
  <c r="C24" i="13" s="1"/>
  <c r="D86" i="13"/>
  <c r="D17" i="13" s="1"/>
  <c r="D22" i="13" s="1"/>
  <c r="D24" i="13" s="1"/>
  <c r="D25" i="13" s="1"/>
  <c r="D26" i="13" s="1"/>
  <c r="C25" i="13"/>
  <c r="C26" i="13" s="1"/>
  <c r="D87" i="13"/>
  <c r="D57" i="13" s="1"/>
  <c r="D59" i="13" s="1"/>
  <c r="F65" i="13"/>
  <c r="E66" i="13"/>
  <c r="C87" i="13"/>
  <c r="C57" i="13" s="1"/>
  <c r="C59" i="13" s="1"/>
  <c r="D34" i="13" l="1"/>
  <c r="D31" i="13"/>
  <c r="D35" i="13"/>
  <c r="D36" i="13" s="1"/>
  <c r="C31" i="13"/>
  <c r="C36" i="13"/>
  <c r="C34" i="13"/>
  <c r="E86" i="13"/>
  <c r="F66" i="13"/>
  <c r="G65" i="13"/>
  <c r="E17" i="13" l="1"/>
  <c r="E22" i="13" s="1"/>
  <c r="E24" i="13" s="1"/>
  <c r="H65" i="13"/>
  <c r="H66" i="13" s="1"/>
  <c r="G66" i="13"/>
  <c r="F86" i="13"/>
  <c r="E87" i="13"/>
  <c r="E57" i="13" s="1"/>
  <c r="E59" i="13" s="1"/>
  <c r="F87" i="13" l="1"/>
  <c r="F57" i="13" s="1"/>
  <c r="F59" i="13" s="1"/>
  <c r="G86" i="13"/>
  <c r="E25" i="13"/>
  <c r="E26" i="13" s="1"/>
  <c r="F17" i="13"/>
  <c r="F22" i="13" s="1"/>
  <c r="F24" i="13" s="1"/>
  <c r="E35" i="13" l="1"/>
  <c r="E36" i="13" s="1"/>
  <c r="E31" i="13"/>
  <c r="E34" i="13"/>
  <c r="F25" i="13"/>
  <c r="F26" i="13"/>
  <c r="G87" i="13"/>
  <c r="G57" i="13" s="1"/>
  <c r="G59" i="13" s="1"/>
  <c r="G17" i="13"/>
  <c r="G22" i="13" s="1"/>
  <c r="G24" i="13" s="1"/>
  <c r="H86" i="13"/>
  <c r="H87" i="13" s="1"/>
  <c r="H57" i="13" s="1"/>
  <c r="H59" i="13" s="1"/>
  <c r="G25" i="13" l="1"/>
  <c r="G26" i="13" s="1"/>
  <c r="H17" i="13"/>
  <c r="H22" i="13" s="1"/>
  <c r="H24" i="13" s="1"/>
  <c r="F31" i="13"/>
  <c r="F34" i="13"/>
  <c r="F35" i="13"/>
  <c r="F36" i="13" s="1"/>
  <c r="H25" i="13" l="1"/>
  <c r="H26" i="13"/>
  <c r="G35" i="13"/>
  <c r="G36" i="13" s="1"/>
  <c r="G31" i="13"/>
  <c r="G34" i="13"/>
  <c r="H35" i="13" l="1"/>
  <c r="H34" i="13"/>
  <c r="H31" i="13"/>
  <c r="H36" i="13"/>
  <c r="B54" i="24" l="1"/>
  <c r="B53" i="24"/>
  <c r="B68" i="24"/>
  <c r="B67" i="24"/>
  <c r="P11" i="3"/>
  <c r="P15" i="3"/>
  <c r="N22" i="3"/>
  <c r="L15" i="3"/>
  <c r="M4" i="3"/>
  <c r="K16" i="3"/>
  <c r="L7" i="3"/>
  <c r="L4" i="3"/>
  <c r="O14" i="3"/>
  <c r="N15" i="3"/>
  <c r="L22" i="3"/>
  <c r="M9" i="3"/>
  <c r="M14" i="3"/>
  <c r="K14" i="3"/>
  <c r="K6" i="3"/>
  <c r="P17" i="3"/>
  <c r="O5" i="3"/>
  <c r="K22" i="3"/>
  <c r="L14" i="3"/>
  <c r="P16" i="3"/>
  <c r="O8" i="3"/>
  <c r="M6" i="3"/>
  <c r="M7" i="3"/>
  <c r="L10" i="3"/>
  <c r="N16" i="3"/>
  <c r="M16" i="3"/>
  <c r="P13" i="3"/>
  <c r="M13" i="3"/>
  <c r="K12" i="3"/>
  <c r="K11" i="3"/>
  <c r="P4" i="3"/>
  <c r="N10" i="3"/>
  <c r="P10" i="3"/>
  <c r="K15" i="3"/>
  <c r="P12" i="3"/>
  <c r="N5" i="3"/>
  <c r="O15" i="3"/>
  <c r="K17" i="3"/>
  <c r="N17" i="3"/>
  <c r="N7" i="3"/>
  <c r="L16" i="3"/>
  <c r="P21" i="3"/>
  <c r="K4" i="3"/>
  <c r="L5" i="3"/>
  <c r="K5" i="3"/>
  <c r="N9" i="3"/>
  <c r="N8" i="3"/>
  <c r="K13" i="3"/>
  <c r="O10" i="3"/>
  <c r="N20" i="3"/>
  <c r="P20" i="3"/>
  <c r="P5" i="3"/>
  <c r="O11" i="3"/>
  <c r="N21" i="3"/>
  <c r="M17" i="3"/>
  <c r="K7" i="3"/>
  <c r="K10" i="3"/>
  <c r="M22" i="3"/>
  <c r="P6" i="3"/>
  <c r="O16" i="3"/>
  <c r="M8" i="3"/>
  <c r="N11" i="3"/>
  <c r="N13" i="3"/>
  <c r="N4" i="3"/>
  <c r="O9" i="3"/>
  <c r="L9" i="3"/>
  <c r="N12" i="3"/>
  <c r="L6" i="3"/>
  <c r="O20" i="3"/>
  <c r="L20" i="3"/>
  <c r="K8" i="3"/>
  <c r="O17" i="3"/>
  <c r="K20" i="3"/>
  <c r="L13" i="3"/>
  <c r="O21" i="3"/>
  <c r="O6" i="3"/>
  <c r="O22" i="3"/>
  <c r="O12" i="3"/>
  <c r="L11" i="3"/>
  <c r="O4" i="3"/>
  <c r="N14" i="3"/>
  <c r="N6" i="3"/>
  <c r="P22" i="3"/>
  <c r="P14" i="3"/>
  <c r="L21" i="3"/>
  <c r="K21" i="3"/>
  <c r="O7" i="3"/>
  <c r="M12" i="3"/>
  <c r="M11" i="3"/>
  <c r="M5" i="3"/>
  <c r="M21" i="3"/>
  <c r="O13" i="3"/>
  <c r="L8" i="3"/>
  <c r="P9" i="3"/>
  <c r="L17" i="3"/>
  <c r="M15" i="3"/>
  <c r="P7" i="3"/>
  <c r="D75" i="12"/>
  <c r="D77" i="12"/>
  <c r="D79" i="12"/>
  <c r="D76" i="12"/>
  <c r="C79" i="12"/>
  <c r="D78" i="12"/>
  <c r="P8" i="3"/>
  <c r="L12" i="3"/>
  <c r="K9" i="3"/>
  <c r="M10" i="3"/>
  <c r="M2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05 (Page 80)" description="Connection to the 'Table105 (Page 80)' query in the workbook." type="5" refreshedVersion="8" background="1" saveData="1">
    <dbPr connection="Provider=Microsoft.Mashup.OleDb.1;Data Source=$Workbook$;Location=&quot;Table105 (Page 80)&quot;;Extended Properties=&quot;&quot;" command="SELECT * FROM [Table105 (Page 80)]"/>
  </connection>
  <connection id="2" xr16:uid="{00000000-0015-0000-FFFF-FFFF01000000}" keepAlive="1" name="Query - Table106 (Page 73)" description="Connection to the 'Table106 (Page 73)' query in the workbook." type="5" refreshedVersion="8" background="1" saveData="1">
    <dbPr connection="Provider=Microsoft.Mashup.OleDb.1;Data Source=$Workbook$;Location=&quot;Table106 (Page 73)&quot;;Extended Properties=&quot;&quot;" command="SELECT * FROM [Table106 (Page 73)]"/>
  </connection>
  <connection id="3" xr16:uid="{00000000-0015-0000-FFFF-FFFF02000000}" keepAlive="1" name="Query - Table107 (Page 74)" description="Connection to the 'Table107 (Page 74)' query in the workbook." type="5" refreshedVersion="8" background="1" saveData="1">
    <dbPr connection="Provider=Microsoft.Mashup.OleDb.1;Data Source=$Workbook$;Location=&quot;Table107 (Page 74)&quot;;Extended Properties=&quot;&quot;" command="SELECT * FROM [Table107 (Page 74)]"/>
  </connection>
  <connection id="4" xr16:uid="{00000000-0015-0000-FFFF-FFFF03000000}" keepAlive="1" name="Query - Table107 (Page 81)" description="Connection to the 'Table107 (Page 81)' query in the workbook." type="5" refreshedVersion="0" background="1">
    <dbPr connection="Provider=Microsoft.Mashup.OleDb.1;Data Source=$Workbook$;Location=&quot;Table107 (Page 81)&quot;;Extended Properties=&quot;&quot;" command="SELECT * FROM [Table107 (Page 81)]"/>
  </connection>
  <connection id="5" xr16:uid="{00000000-0015-0000-FFFF-FFFF04000000}" keepAlive="1" name="Query - Table107 (Page 85)" description="Connection to the 'Table107 (Page 85)' query in the workbook." type="5" refreshedVersion="8" background="1" saveData="1">
    <dbPr connection="Provider=Microsoft.Mashup.OleDb.1;Data Source=$Workbook$;Location=&quot;Table107 (Page 85)&quot;;Extended Properties=&quot;&quot;" command="SELECT * FROM [Table107 (Page 85)]"/>
  </connection>
  <connection id="6" xr16:uid="{00000000-0015-0000-FFFF-FFFF05000000}" keepAlive="1" name="Query - Table108 (Page 81)" description="Connection to the 'Table108 (Page 81)' query in the workbook." type="5" refreshedVersion="0" background="1">
    <dbPr connection="Provider=Microsoft.Mashup.OleDb.1;Data Source=$Workbook$;Location=&quot;Table108 (Page 81)&quot;;Extended Properties=&quot;&quot;" command="SELECT * FROM [Table108 (Page 81)]"/>
  </connection>
  <connection id="7" xr16:uid="{00000000-0015-0000-FFFF-FFFF06000000}" name="Query - Table108 (Page 86)" description="Connection to the 'Table108 (Page 86)' query in the workbook." type="100" refreshedVersion="8" minRefreshableVersion="5">
    <extLst>
      <ext xmlns:x15="http://schemas.microsoft.com/office/spreadsheetml/2010/11/main" uri="{DE250136-89BD-433C-8126-D09CA5730AF9}">
        <x15:connection id="fb368b45-805b-4193-ac34-1eec79216e8d"/>
      </ext>
    </extLst>
  </connection>
  <connection id="8" xr16:uid="{00000000-0015-0000-FFFF-FFFF07000000}" name="Query - Table109 (Page 86)" description="Connection to the 'Table109 (Page 86)' query in the workbook." type="100" refreshedVersion="8" minRefreshableVersion="5">
    <extLst>
      <ext xmlns:x15="http://schemas.microsoft.com/office/spreadsheetml/2010/11/main" uri="{DE250136-89BD-433C-8126-D09CA5730AF9}">
        <x15:connection id="3e692a1f-4d81-4dd0-ba4e-b7a99345e5bd"/>
      </ext>
    </extLst>
  </connection>
  <connection id="9" xr16:uid="{00000000-0015-0000-FFFF-FFFF08000000}" keepAlive="1" name="Query - Table109 (Page 86) (2)" description="Connection to the 'Table109 (Page 86) (2)' query in the workbook." type="5" refreshedVersion="8" background="1" saveData="1">
    <dbPr connection="Provider=Microsoft.Mashup.OleDb.1;Data Source=$Workbook$;Location=&quot;Table109 (Page 86) (2)&quot;;Extended Properties=&quot;&quot;" command="SELECT * FROM [Table109 (Page 86) (2)]"/>
  </connection>
  <connection id="10" xr16:uid="{00000000-0015-0000-FFFF-FFFF09000000}" keepAlive="1" name="Query - Table132 (Page 108)" description="Connection to the 'Table132 (Page 108)' query in the workbook." type="5" refreshedVersion="8" background="1" saveData="1">
    <dbPr connection="Provider=Microsoft.Mashup.OleDb.1;Data Source=$Workbook$;Location=&quot;Table132 (Page 108)&quot;;Extended Properties=&quot;&quot;" command="SELECT * FROM [Table132 (Page 108)]"/>
  </connection>
  <connection id="11" xr16:uid="{00000000-0015-0000-FFFF-FFFF0A000000}" keepAlive="1" name="Query - Table133 (Page 109)" description="Connection to the 'Table133 (Page 109)' query in the workbook." type="5" refreshedVersion="8" background="1" saveData="1">
    <dbPr connection="Provider=Microsoft.Mashup.OleDb.1;Data Source=$Workbook$;Location=&quot;Table133 (Page 109)&quot;;Extended Properties=&quot;&quot;" command="SELECT * FROM [Table133 (Page 109)]"/>
  </connection>
  <connection id="12" xr16:uid="{00000000-0015-0000-FFFF-FFFF0B000000}" keepAlive="1" name="Query - Table133 (Page 109) (2)" description="Connection to the 'Table133 (Page 109) (2)' query in the workbook." type="5" refreshedVersion="8" background="1" saveData="1">
    <dbPr connection="Provider=Microsoft.Mashup.OleDb.1;Data Source=$Workbook$;Location=&quot;Table133 (Page 109) (2)&quot;;Extended Properties=&quot;&quot;" command="SELECT * FROM [Table133 (Page 109) (2)]"/>
  </connection>
  <connection id="13" xr16:uid="{00000000-0015-0000-FFFF-FFFF0C000000}" keepAlive="1" name="Query - Table153 (Page 102)" description="Connection to the 'Table153 (Page 102)' query in the workbook." type="5" refreshedVersion="8" background="1" saveData="1">
    <dbPr connection="Provider=Microsoft.Mashup.OleDb.1;Data Source=$Workbook$;Location=&quot;Table153 (Page 102)&quot;;Extended Properties=&quot;&quot;" command="SELECT * FROM [Table153 (Page 102)]"/>
  </connection>
  <connection id="14" xr16:uid="{00000000-0015-0000-FFFF-FFFF0D000000}" keepAlive="1" name="Query - Table155 (Page 103)" description="Connection to the 'Table155 (Page 103)' query in the workbook." type="5" refreshedVersion="8" background="1" saveData="1">
    <dbPr connection="Provider=Microsoft.Mashup.OleDb.1;Data Source=$Workbook$;Location=&quot;Table155 (Page 103)&quot;;Extended Properties=&quot;&quot;" command="SELECT * FROM [Table155 (Page 103)]"/>
  </connection>
  <connection id="15" xr16:uid="{00000000-0015-0000-FFFF-FFFF0E000000}" keepAlive="1" name="Query - Table156 (Page 103)" description="Connection to the 'Table156 (Page 103)' query in the workbook." type="5" refreshedVersion="8" background="1" saveData="1">
    <dbPr connection="Provider=Microsoft.Mashup.OleDb.1;Data Source=$Workbook$;Location=&quot;Table156 (Page 103)&quot;;Extended Properties=&quot;&quot;" command="SELECT * FROM [Table156 (Page 103)]"/>
  </connection>
  <connection id="16" xr16:uid="{00000000-0015-0000-FFFF-FFFF0F000000}" keepAlive="1" name="Query - Table226 (Page 105)" description="Connection to the 'Table226 (Page 105)' query in the workbook." type="5" refreshedVersion="8" background="1" saveData="1">
    <dbPr connection="Provider=Microsoft.Mashup.OleDb.1;Data Source=$Workbook$;Location=&quot;Table226 (Page 105)&quot;;Extended Properties=&quot;&quot;" command="SELECT * FROM [Table226 (Page 105)]"/>
  </connection>
  <connection id="17" xr16:uid="{00000000-0015-0000-FFFF-FFFF10000000}" keepAlive="1" name="Query - Table227 (Page 106)" description="Connection to the 'Table227 (Page 106)' query in the workbook." type="5" refreshedVersion="0" background="1">
    <dbPr connection="Provider=Microsoft.Mashup.OleDb.1;Data Source=$Workbook$;Location=&quot;Table227 (Page 106)&quot;;Extended Properties=&quot;&quot;" command="SELECT * FROM [Table227 (Page 106)]"/>
  </connection>
  <connection id="18" xr16:uid="{00000000-0015-0000-FFFF-FFFF11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<sst xmlns="http://schemas.openxmlformats.org/spreadsheetml/2006/main" count="810" uniqueCount="510">
  <si>
    <t>Revenue</t>
  </si>
  <si>
    <t>Cost of material and traffic charges</t>
  </si>
  <si>
    <t>Salaries and personnel cost</t>
  </si>
  <si>
    <t>Operation and maintenance</t>
  </si>
  <si>
    <t>Sales, marketing and commissions</t>
  </si>
  <si>
    <t>Revenue sharing, spectrum charges and licence fees</t>
  </si>
  <si>
    <t>Other operating (expenses)/income</t>
  </si>
  <si>
    <t>Depreciation and amortisation</t>
  </si>
  <si>
    <t>Finance (expense)/income</t>
  </si>
  <si>
    <t>Foreign exchange (loss)/gain</t>
  </si>
  <si>
    <t>Profit before tax</t>
  </si>
  <si>
    <t>Income tax expense</t>
  </si>
  <si>
    <t>Profit after tax</t>
  </si>
  <si>
    <t>Other comprehensive income</t>
  </si>
  <si>
    <t>Item that will not be reclassified subsequently to profit or loss</t>
  </si>
  <si>
    <t>Remeasurement of defined benefit plan</t>
  </si>
  <si>
    <t>Related taxes</t>
  </si>
  <si>
    <t>Total comprehensive income for the year</t>
  </si>
  <si>
    <t>Earnings per share</t>
  </si>
  <si>
    <t>Basic earnings per share</t>
  </si>
  <si>
    <t>(per value BDT 10 each in BDT)</t>
  </si>
  <si>
    <t>Assets</t>
  </si>
  <si>
    <t>Non-current assets</t>
  </si>
  <si>
    <t>Property, plant and equipment</t>
  </si>
  <si>
    <t>62,396,558</t>
  </si>
  <si>
    <t>Intangible assets</t>
  </si>
  <si>
    <t>2,274,803</t>
  </si>
  <si>
    <t>Right-of-use assets</t>
  </si>
  <si>
    <t>58,028,533</t>
  </si>
  <si>
    <t>-</t>
  </si>
  <si>
    <t>Contract cost</t>
  </si>
  <si>
    <t>4,480,157</t>
  </si>
  <si>
    <t>Other non-current assets</t>
  </si>
  <si>
    <t>555,200</t>
  </si>
  <si>
    <t>Total non-current assets</t>
  </si>
  <si>
    <t>127,735,251</t>
  </si>
  <si>
    <t>Current assets</t>
  </si>
  <si>
    <t>Inventories</t>
  </si>
  <si>
    <t>225,441</t>
  </si>
  <si>
    <t>Trade receivables and others</t>
  </si>
  <si>
    <t>7,013,053</t>
  </si>
  <si>
    <t>Cash and cash equivalents</t>
  </si>
  <si>
    <t>13,760,677</t>
  </si>
  <si>
    <t>Total current assets</t>
  </si>
  <si>
    <t>20,999,171</t>
  </si>
  <si>
    <t>Total assets</t>
  </si>
  <si>
    <t>148,734,422</t>
  </si>
  <si>
    <t>Equity and liabilities</t>
  </si>
  <si>
    <t>Shareholders’ equity</t>
  </si>
  <si>
    <t>Share capital</t>
  </si>
  <si>
    <t>13,503,000</t>
  </si>
  <si>
    <t>Share premium</t>
  </si>
  <si>
    <t>7,840,226</t>
  </si>
  <si>
    <t>Capital reserve</t>
  </si>
  <si>
    <t>14,446</t>
  </si>
  <si>
    <t>Deposit from shareholders</t>
  </si>
  <si>
    <t>1,880</t>
  </si>
  <si>
    <t>Retained earnings</t>
  </si>
  <si>
    <t>16,987,853</t>
  </si>
  <si>
    <t>Total equity</t>
  </si>
  <si>
    <t>38,347,405</t>
  </si>
  <si>
    <t>13,484,106</t>
  </si>
  <si>
    <t>Loans and borrowings</t>
  </si>
  <si>
    <t>Deferred tax liabilities</t>
  </si>
  <si>
    <t>5,216,029</t>
  </si>
  <si>
    <t>Employee benefits</t>
  </si>
  <si>
    <t>936,703</t>
  </si>
  <si>
    <t>Other non-current liabilities</t>
  </si>
  <si>
    <t>323,957</t>
  </si>
  <si>
    <t>Total non-current liabilities</t>
  </si>
  <si>
    <t>19,960,795</t>
  </si>
  <si>
    <t>Current liabilities</t>
  </si>
  <si>
    <t>Trade payables and others</t>
  </si>
  <si>
    <t>22,676,406</t>
  </si>
  <si>
    <t>Provisions</t>
  </si>
  <si>
    <t>18,839,102</t>
  </si>
  <si>
    <t>Lease liabilities</t>
  </si>
  <si>
    <t>7,349,549</t>
  </si>
  <si>
    <t>2,934,284</t>
  </si>
  <si>
    <t>Current tax liabilities</t>
  </si>
  <si>
    <t>28,137,225</t>
  </si>
  <si>
    <t>Other current liabilities</t>
  </si>
  <si>
    <t>10,489,656</t>
  </si>
  <si>
    <t>Total current liabilities</t>
  </si>
  <si>
    <t>90,426,222</t>
  </si>
  <si>
    <t>Total equity and liabilities</t>
  </si>
  <si>
    <t>138,253,346</t>
  </si>
  <si>
    <t>9,930,971</t>
  </si>
  <si>
    <t>148,184,317</t>
  </si>
  <si>
    <t>52,107,614</t>
  </si>
  <si>
    <t>Non-current liabilities</t>
  </si>
  <si>
    <t>19,420,329</t>
  </si>
  <si>
    <t>76,656,374</t>
  </si>
  <si>
    <t xml:space="preserve">
Lease liabilities</t>
  </si>
  <si>
    <t>Unclaimed  Dividend</t>
  </si>
  <si>
    <t>60,387,950</t>
  </si>
  <si>
    <t>3,632,296</t>
  </si>
  <si>
    <t>62,533,832</t>
  </si>
  <si>
    <t>6,035,958</t>
  </si>
  <si>
    <t>20,549,067</t>
  </si>
  <si>
    <t>153,139,103</t>
  </si>
  <si>
    <t>260,230</t>
  </si>
  <si>
    <t>6,858,686</t>
  </si>
  <si>
    <t>2,748,661</t>
  </si>
  <si>
    <t>9,867,577</t>
  </si>
  <si>
    <t>163,006,680</t>
  </si>
  <si>
    <t>28,520,886</t>
  </si>
  <si>
    <t>49,878,558</t>
  </si>
  <si>
    <t>22,675,135</t>
  </si>
  <si>
    <t>3,425,488</t>
  </si>
  <si>
    <t>1,336,085</t>
  </si>
  <si>
    <t>455,308</t>
  </si>
  <si>
    <t>27,892,016</t>
  </si>
  <si>
    <t>25,521,622</t>
  </si>
  <si>
    <t>15,703,449</t>
  </si>
  <si>
    <t>9,445,609</t>
  </si>
  <si>
    <t>5,500,000</t>
  </si>
  <si>
    <t>25,603,868</t>
  </si>
  <si>
    <t>3,414,334</t>
  </si>
  <si>
    <t>47,224</t>
  </si>
  <si>
    <t>85,236,106</t>
  </si>
  <si>
    <t>68,335,441</t>
  </si>
  <si>
    <t>4,774,439</t>
  </si>
  <si>
    <t>77,710,892</t>
  </si>
  <si>
    <t>10,436,997</t>
  </si>
  <si>
    <t>1,458,619</t>
  </si>
  <si>
    <t>20,526,814</t>
  </si>
  <si>
    <t>7,867,938</t>
  </si>
  <si>
    <t>7,334,432</t>
  </si>
  <si>
    <t>15,610,025</t>
  </si>
  <si>
    <t>198,853,227</t>
  </si>
  <si>
    <t>43,384,785</t>
  </si>
  <si>
    <t>64,742,457</t>
  </si>
  <si>
    <t>48,853,886</t>
  </si>
  <si>
    <t>395,836</t>
  </si>
  <si>
    <t>546,133</t>
  </si>
  <si>
    <t>49,795,855</t>
  </si>
  <si>
    <t>28,366,808</t>
  </si>
  <si>
    <t>24,920,485</t>
  </si>
  <si>
    <t>11,112,469</t>
  </si>
  <si>
    <t>5,000,000</t>
  </si>
  <si>
    <t>12,769,919</t>
  </si>
  <si>
    <t>2,077,180</t>
  </si>
  <si>
    <t>68,054</t>
  </si>
  <si>
    <t>84,314,915</t>
  </si>
  <si>
    <t>Particulars</t>
  </si>
  <si>
    <t>Gross Profit</t>
  </si>
  <si>
    <t>Operating Profit</t>
  </si>
  <si>
    <t>Sales growth</t>
  </si>
  <si>
    <t>Current assets/Sales</t>
  </si>
  <si>
    <t>Current liabilities/Sales</t>
  </si>
  <si>
    <t>Costs of goods sold/Sales</t>
  </si>
  <si>
    <t>Depreciation rate</t>
  </si>
  <si>
    <t>Interest rate on debt</t>
  </si>
  <si>
    <t>Tax rate</t>
  </si>
  <si>
    <t>Dividend payout ratio</t>
  </si>
  <si>
    <t>Components</t>
  </si>
  <si>
    <t xml:space="preserve">Revenue </t>
  </si>
  <si>
    <t>Total Current Assets</t>
  </si>
  <si>
    <t>Current Assets/Sales rate</t>
  </si>
  <si>
    <t>Base for the Pro Forma Assumptions [Calculations]</t>
  </si>
  <si>
    <t xml:space="preserve">Total Current Liabilities </t>
  </si>
  <si>
    <t>Current Liabilities/Sales rate</t>
  </si>
  <si>
    <t>Cost of Goods Sold</t>
  </si>
  <si>
    <t>Cost of goods sold/ Sales rate</t>
  </si>
  <si>
    <t xml:space="preserve">Total Non Current Assets </t>
  </si>
  <si>
    <t>Net Fixed Assets/Sales</t>
  </si>
  <si>
    <t xml:space="preserve">Interest Expense </t>
  </si>
  <si>
    <t>Loans and Borrowing</t>
  </si>
  <si>
    <t>Interest Rate</t>
  </si>
  <si>
    <t>Income Tax Expense</t>
  </si>
  <si>
    <t xml:space="preserve">Net Profit </t>
  </si>
  <si>
    <t xml:space="preserve">Tax Rate </t>
  </si>
  <si>
    <t>Total Dividend Paid</t>
  </si>
  <si>
    <t>Dividend Payout Ratio</t>
  </si>
  <si>
    <t>Retention Rate</t>
  </si>
  <si>
    <t xml:space="preserve">Building </t>
  </si>
  <si>
    <t xml:space="preserve">Net fixed assets/Sales </t>
  </si>
  <si>
    <t>Interest Income</t>
  </si>
  <si>
    <t>Base Station</t>
  </si>
  <si>
    <t xml:space="preserve">Tranmission Equipment </t>
  </si>
  <si>
    <t>Computer and other IT equipment</t>
  </si>
  <si>
    <t>Furniture and fixtures</t>
  </si>
  <si>
    <t xml:space="preserve">Vehicles </t>
  </si>
  <si>
    <t xml:space="preserve">Depreciation analysis in relation with the PPE </t>
  </si>
  <si>
    <t>Depreciation Analysis (in %)</t>
  </si>
  <si>
    <t xml:space="preserve">Depreciation rates </t>
  </si>
  <si>
    <t xml:space="preserve">Useful life </t>
  </si>
  <si>
    <t>10 to 50</t>
  </si>
  <si>
    <t>3 to 10</t>
  </si>
  <si>
    <t>7 to 30</t>
  </si>
  <si>
    <t>5 to 10</t>
  </si>
  <si>
    <t>3 to 5</t>
  </si>
  <si>
    <t>Average Depreciation Rate</t>
  </si>
  <si>
    <t>Model Depreciation Rate</t>
  </si>
  <si>
    <t>Land</t>
  </si>
  <si>
    <t>Capital-in-progress</t>
  </si>
  <si>
    <t>Operating Expenses/Sales</t>
  </si>
  <si>
    <t>Operating Expenses</t>
  </si>
  <si>
    <t>Operating Expenses/ Sales</t>
  </si>
  <si>
    <t>Interest Expense</t>
  </si>
  <si>
    <t>Other Finance Expenses</t>
  </si>
  <si>
    <t xml:space="preserve">Amortization expenses </t>
  </si>
  <si>
    <t>Depreciation expenses</t>
  </si>
  <si>
    <t>Interest expenses on lease liabilities</t>
  </si>
  <si>
    <t xml:space="preserve">Net interest cost on defined benefit obligation </t>
  </si>
  <si>
    <t>Finance (expense)</t>
  </si>
  <si>
    <t>Total Operating Expenses</t>
  </si>
  <si>
    <t>Property, plant and equipment- Gross</t>
  </si>
  <si>
    <t>Accumulated Depreciation</t>
  </si>
  <si>
    <t>Property, plant and equipment- Net</t>
  </si>
  <si>
    <t xml:space="preserve">Dividend Payout </t>
  </si>
  <si>
    <t>Retained Earnings</t>
  </si>
  <si>
    <t>Current Year Dividend (2025_D1)</t>
  </si>
  <si>
    <t>Dividend of last year (2024_D0)</t>
  </si>
  <si>
    <t>Current Market price (P0)</t>
  </si>
  <si>
    <t>CAGR (g)</t>
  </si>
  <si>
    <t>Growth Rate</t>
  </si>
  <si>
    <t>Cash Dividend</t>
  </si>
  <si>
    <t>Year</t>
  </si>
  <si>
    <t>Forecasted Revenue Using CAGR in BDT</t>
  </si>
  <si>
    <t>Actual</t>
  </si>
  <si>
    <t>Population</t>
  </si>
  <si>
    <t>GDP Growth</t>
  </si>
  <si>
    <t>Inflation</t>
  </si>
  <si>
    <t>Total Mobile Subscriptions</t>
  </si>
  <si>
    <t>Year on Year % Change</t>
  </si>
  <si>
    <t>Expected Growth</t>
  </si>
  <si>
    <t>Grameenphone Subscriptions</t>
  </si>
  <si>
    <t>Grameenphone Market Share</t>
  </si>
  <si>
    <t>GP ARPU (BDT/month)</t>
  </si>
  <si>
    <t>Mobile Data Users</t>
  </si>
  <si>
    <t>Smartphone Users</t>
  </si>
  <si>
    <t>GP Revenue (BDT bn)</t>
  </si>
  <si>
    <t>Top-Down Input</t>
  </si>
  <si>
    <t xml:space="preserve">Top-Down Forecast </t>
  </si>
  <si>
    <t>Industry Subscription</t>
  </si>
  <si>
    <t>GP Market Share (%)</t>
  </si>
  <si>
    <t>GP Subscription</t>
  </si>
  <si>
    <t>ARPU (BDT/month)</t>
  </si>
  <si>
    <t>GP Revenue (BDT)</t>
  </si>
  <si>
    <t>Base Year (Last Actual)</t>
  </si>
  <si>
    <t>Forecasted Sales Growth</t>
  </si>
  <si>
    <t>Forecasted Years</t>
  </si>
  <si>
    <t>Industry Growth (% p.a.)</t>
  </si>
  <si>
    <t>GP Share (pp/yr)</t>
  </si>
  <si>
    <t>ARPU Growth (% p.a.)</t>
  </si>
  <si>
    <t>Historical</t>
  </si>
  <si>
    <t>Average YoY Growth Rate</t>
  </si>
  <si>
    <t>Mobile Communication Revenue</t>
  </si>
  <si>
    <t>Voice Revenue Growth Rate</t>
  </si>
  <si>
    <t>Mobile Communication Share - Voice</t>
  </si>
  <si>
    <t xml:space="preserve">Data Revenue Growth </t>
  </si>
  <si>
    <t>Voice Revenue</t>
  </si>
  <si>
    <t>Bundle Revenue Growth Rate</t>
  </si>
  <si>
    <t>Mobile Communication Share - Data</t>
  </si>
  <si>
    <t>Interconnection Revenue Growth Rate</t>
  </si>
  <si>
    <t>Data Revenue</t>
  </si>
  <si>
    <t>Others (Mobile Communicarion) Revenue Growth Rate</t>
  </si>
  <si>
    <t>Mobile Communication Share - Bundle</t>
  </si>
  <si>
    <t>Bundle Revenue</t>
  </si>
  <si>
    <t>Lease Revenues Growth Rate</t>
  </si>
  <si>
    <t>Mobile Communication Share - Interconnection</t>
  </si>
  <si>
    <t>Interconnection Revenue</t>
  </si>
  <si>
    <t>Customer Equipment Revenue Growth Rate</t>
  </si>
  <si>
    <t>Mobile Communication Share - Others</t>
  </si>
  <si>
    <t>Others (Mobile Communication) Revenue</t>
  </si>
  <si>
    <t>Other Revenues Growth Rate</t>
  </si>
  <si>
    <t>Lease Revenues</t>
  </si>
  <si>
    <t>Assumptions</t>
  </si>
  <si>
    <t>Customer Equipment Revenue</t>
  </si>
  <si>
    <t>Other Revenues</t>
  </si>
  <si>
    <t>Total Revenue</t>
  </si>
  <si>
    <t>Forecast</t>
  </si>
  <si>
    <t xml:space="preserve">Bottom-up Approach forecast </t>
  </si>
  <si>
    <t>Total Revenue (adjusted in 1000s for pro forma)</t>
  </si>
  <si>
    <t>2025 (in 000 BDT)</t>
  </si>
  <si>
    <t>2026 (in 000 BDT)</t>
  </si>
  <si>
    <t>2027 (in 000 BDT)</t>
  </si>
  <si>
    <t>2028 (in 000 BDT)</t>
  </si>
  <si>
    <t>2029 (in 000 BDT)</t>
  </si>
  <si>
    <t>2030 (in 000 BDT)</t>
  </si>
  <si>
    <t>2024 (in 000 BDT)</t>
  </si>
  <si>
    <t>Bottom Up Approach</t>
  </si>
  <si>
    <t>Balance Sheet</t>
  </si>
  <si>
    <t>Income Statement</t>
  </si>
  <si>
    <t>% of total ppe</t>
  </si>
  <si>
    <t xml:space="preserve">% of total net ppe for leased </t>
  </si>
  <si>
    <t>Rights-of-use asset components</t>
  </si>
  <si>
    <t>Value of Net PPE</t>
  </si>
  <si>
    <t>Lease Liabiltiies on Net PPE %</t>
  </si>
  <si>
    <t>% of total net PPE for leased assets</t>
  </si>
  <si>
    <t>Model Rate</t>
  </si>
  <si>
    <t>Sales Forecast</t>
  </si>
  <si>
    <t>Years</t>
  </si>
  <si>
    <t>Bottom Up Revenue</t>
  </si>
  <si>
    <t>% change</t>
  </si>
  <si>
    <t>Top Down Approach</t>
  </si>
  <si>
    <t>Model Rate TD</t>
  </si>
  <si>
    <t>Average Revenue Growth rate</t>
  </si>
  <si>
    <t>Bottom up implied revenue growth rate</t>
  </si>
  <si>
    <t>EPS</t>
  </si>
  <si>
    <t>Total CF Gordon</t>
  </si>
  <si>
    <t>Intrinsic Value/Share</t>
  </si>
  <si>
    <t>Required Return</t>
  </si>
  <si>
    <t>Beta</t>
  </si>
  <si>
    <t>Risk Free Rate</t>
  </si>
  <si>
    <t>Net PPE/ Sales</t>
  </si>
  <si>
    <t>Gross PPE/Sales</t>
  </si>
  <si>
    <t xml:space="preserve">Total </t>
  </si>
  <si>
    <t>Right-of-use assets- net</t>
  </si>
  <si>
    <t>Deferred Tax Assets</t>
  </si>
  <si>
    <t>Income Statement [Historical]</t>
  </si>
  <si>
    <t>Income Statement [Common Sized]</t>
  </si>
  <si>
    <t>% of total net ppe for leased</t>
  </si>
  <si>
    <t>Total</t>
  </si>
  <si>
    <t>Leased PPE</t>
  </si>
  <si>
    <t>Retained Earnings (value only)</t>
  </si>
  <si>
    <t>Pro forma Rate Assumptions</t>
  </si>
  <si>
    <t>Balance Sheet [Historical]</t>
  </si>
  <si>
    <t>Balance Sheet [Common Sized]</t>
  </si>
  <si>
    <t>SL No.</t>
  </si>
  <si>
    <t>Company Name</t>
  </si>
  <si>
    <t>Market Price</t>
  </si>
  <si>
    <t>BVPS</t>
  </si>
  <si>
    <t>EV</t>
  </si>
  <si>
    <t>Revenue/Share</t>
  </si>
  <si>
    <t>P/E</t>
  </si>
  <si>
    <t>P/B</t>
  </si>
  <si>
    <t>P/S</t>
  </si>
  <si>
    <t>EV/EBITDA</t>
  </si>
  <si>
    <t>ROA</t>
  </si>
  <si>
    <t>ROE</t>
  </si>
  <si>
    <t>Grameenphone Ltd.</t>
  </si>
  <si>
    <t>Robi Axiata PLC.</t>
  </si>
  <si>
    <t>Bangladesh Submarine Cables PLC</t>
  </si>
  <si>
    <t>Industry Average</t>
  </si>
  <si>
    <t>Industry</t>
  </si>
  <si>
    <t>Telecommunication</t>
  </si>
  <si>
    <t>Relative Valuation</t>
  </si>
  <si>
    <t>Trading Code</t>
  </si>
  <si>
    <t>GP</t>
  </si>
  <si>
    <t>ROBI</t>
  </si>
  <si>
    <t>BSCPLC</t>
  </si>
  <si>
    <t>Shareholders Equity</t>
  </si>
  <si>
    <t>Multiples</t>
  </si>
  <si>
    <t>Number of Shares</t>
  </si>
  <si>
    <t>EBITDA</t>
  </si>
  <si>
    <t>Market Cap of Equity</t>
  </si>
  <si>
    <t>Total Debt</t>
  </si>
  <si>
    <t>Cash and Cash Equivalents</t>
  </si>
  <si>
    <t>Valution Result</t>
  </si>
  <si>
    <t>Decision</t>
  </si>
  <si>
    <t>Buy</t>
  </si>
  <si>
    <t>Depreciation &amp; Amortization</t>
  </si>
  <si>
    <t>3 Quarter EPS</t>
  </si>
  <si>
    <t>Sensitivity Analysis</t>
  </si>
  <si>
    <t>Forward EPS</t>
  </si>
  <si>
    <t>P/E Ratio</t>
  </si>
  <si>
    <t>Trailing EPS for 12 months</t>
  </si>
  <si>
    <t>Forward P/E</t>
  </si>
  <si>
    <t>Trailing P/E</t>
  </si>
  <si>
    <t>No of Outstanding Shares (16 May 2025)</t>
  </si>
  <si>
    <t>taken from DSE</t>
  </si>
  <si>
    <t>Average Dividend Payout Ratio</t>
  </si>
  <si>
    <t>From Pro Forma Income Statement:</t>
  </si>
  <si>
    <t>Profit After Tax</t>
  </si>
  <si>
    <t>Dividends</t>
  </si>
  <si>
    <t>Earning Per Share (EPS)</t>
  </si>
  <si>
    <t>Dividend per Share</t>
  </si>
  <si>
    <t>Terminal Value using Gordon Model</t>
  </si>
  <si>
    <t>Terminal Value using Industry P/E</t>
  </si>
  <si>
    <t>Present Value Gordon</t>
  </si>
  <si>
    <t xml:space="preserve"> </t>
  </si>
  <si>
    <t>Using Gordon</t>
  </si>
  <si>
    <t>Total CF P/E</t>
  </si>
  <si>
    <t>Present Value P/E</t>
  </si>
  <si>
    <t>Using Industry P/E</t>
  </si>
  <si>
    <t>Overvalued Or Under valued Decision</t>
  </si>
  <si>
    <t>taken from Beta calculation</t>
  </si>
  <si>
    <t>Long-Term Growth Rate</t>
  </si>
  <si>
    <t>Market Return</t>
  </si>
  <si>
    <t>taken from Market Return calculation</t>
  </si>
  <si>
    <t>Industry P/E</t>
  </si>
  <si>
    <t>Sensitivity Gordon</t>
  </si>
  <si>
    <t>Value Ranges From</t>
  </si>
  <si>
    <t>Value Ranges To</t>
  </si>
  <si>
    <t>Sensitivity P/E</t>
  </si>
  <si>
    <t xml:space="preserve">Share Price (at year end) </t>
  </si>
  <si>
    <t>taken from financial report</t>
  </si>
  <si>
    <t>gross profit margin</t>
  </si>
  <si>
    <t>net profit margin</t>
  </si>
  <si>
    <t>current ratio from 2020</t>
  </si>
  <si>
    <t>roa and roe (2020)</t>
  </si>
  <si>
    <t>solvency ratios</t>
  </si>
  <si>
    <t>debt to asset ratio</t>
  </si>
  <si>
    <t xml:space="preserve">debt to equity </t>
  </si>
  <si>
    <t>market cap of competitiors</t>
  </si>
  <si>
    <t>shareholder structure (corporate govenrnance)</t>
  </si>
  <si>
    <t xml:space="preserve">inflation vs gdp growth </t>
  </si>
  <si>
    <t>exchange rate comparison</t>
  </si>
  <si>
    <t>per capita income</t>
  </si>
  <si>
    <t xml:space="preserve">coverage vs usage gap </t>
  </si>
  <si>
    <t>data vs voice revenue share</t>
  </si>
  <si>
    <t>margin comparison of bd telcom industry (gross, net, operating)\</t>
  </si>
  <si>
    <t>dividend payout ratio of bd telcom indistry (w industry average)</t>
  </si>
  <si>
    <t>growth comparison of bd telcom industry (revenue, op. and net profit growth)</t>
  </si>
  <si>
    <t>ev/ebdita ratio comparison of bd telcom industry</t>
  </si>
  <si>
    <t>gotta find graph for YoY dividend payout rario</t>
  </si>
  <si>
    <t xml:space="preserve">https://tradingeconomics.com/bangladesh/gdp-growth#:~:text=GDP%20Growth%20Rate%20in%20Bangladesh,statistics%2C%20economic%20calendar%20and%20news. </t>
  </si>
  <si>
    <t>Bangladesh Bank T-Bond 364 days</t>
  </si>
  <si>
    <t>Peer Companies (January, 02, 2026)</t>
  </si>
  <si>
    <t>Current Price (Jan 02, 2026)</t>
  </si>
  <si>
    <t>GP (P/E Ratio)</t>
  </si>
  <si>
    <t>GP Data</t>
  </si>
  <si>
    <t xml:space="preserve">DSEX Data </t>
  </si>
  <si>
    <t>Date</t>
  </si>
  <si>
    <t>Price</t>
  </si>
  <si>
    <t>DSEX</t>
  </si>
  <si>
    <t>GP Return</t>
  </si>
  <si>
    <t>DSEX Return</t>
  </si>
  <si>
    <t>Starting Date</t>
  </si>
  <si>
    <t>STEPS</t>
  </si>
  <si>
    <t>Return</t>
  </si>
  <si>
    <t>Ending Date</t>
  </si>
  <si>
    <t>1.Investing.com- Gp historical data
2.Investing.com- DSEX historical data
3. Remove uncommon dates using SQL
4. Calculate daily return using excel formula
5. Remove 0 returns (33, 0 returns in total)</t>
  </si>
  <si>
    <t>Range</t>
  </si>
  <si>
    <t>7 Years</t>
  </si>
  <si>
    <t>SLOPE</t>
  </si>
  <si>
    <t>R-SQUARE</t>
  </si>
  <si>
    <t xml:space="preserve">GP Return and DSE Return over the 7 years has been used to conjure a scatter plot, comparing the impact of GP return changes due to market fluctuations. The linear equation and R square value has been shown. GP return is y value (dependant variable) and DSEX Return is x variable (Independant variable). The slope value of 0.851 is the beta of GP. </t>
  </si>
  <si>
    <t>ALPHA</t>
  </si>
  <si>
    <t>Source</t>
  </si>
  <si>
    <t>Data Frame</t>
  </si>
  <si>
    <t>https://www.amarstock.com/stock/GP</t>
  </si>
  <si>
    <t>10 - 15 years</t>
  </si>
  <si>
    <t>https://biniyog.com.bd/company/gp</t>
  </si>
  <si>
    <t>https://dspace.bracu.ac.bd:8443/xmlui/bitstream/handle/10361/18020/17104210_BBA.pdf?sequence=1&amp;isAllowed=y</t>
  </si>
  <si>
    <t>2016 - 2020</t>
  </si>
  <si>
    <t>https://www.investing.com/pro/DSE:GP/explorer/beta</t>
  </si>
  <si>
    <t>5 years</t>
  </si>
  <si>
    <t>Using DSEX/DGEN</t>
  </si>
  <si>
    <t>Using Market Capitalization</t>
  </si>
  <si>
    <t>Step 01:
Over here, I took 20 years worth of ending price from DSEX Index (Investing.com). Discrete return method has been used to find the changes through the years. To adjust for the final average of all these rates, the return rates were added with 1 (Geomean function will be used for averaging these rates).</t>
  </si>
  <si>
    <t>Index</t>
  </si>
  <si>
    <t>Market cap (Tk Crore)</t>
  </si>
  <si>
    <t>GEO Mean Adjusted</t>
  </si>
  <si>
    <t>Cost of Equity (via CAPM)</t>
  </si>
  <si>
    <t xml:space="preserve">Step 02:As BD market is very volatile, hence market cap data will be used for 20 years. The data has been collected from BSEC Annual reports over the years. The same step repeated as step 1, just average of 20 years and 10 years data has been taken to keep consistency. </t>
  </si>
  <si>
    <t>Market Return (Rm)</t>
  </si>
  <si>
    <t>Risk free rate (Rf)</t>
  </si>
  <si>
    <t>GP Beta</t>
  </si>
  <si>
    <t>CAPM (Ra)</t>
  </si>
  <si>
    <t>Using DSEX Market capitalization data of 20 years (2005-2025)</t>
  </si>
  <si>
    <t xml:space="preserve">Step 03: Over here, the market average has been found using Geomean function for 20 years of market cap data. The market return (Rm) is equal to the market cap average. </t>
  </si>
  <si>
    <t>Market Return, Rm (whole period)</t>
  </si>
  <si>
    <t>Market cap (last 10 years)</t>
  </si>
  <si>
    <t>Average Rm</t>
  </si>
  <si>
    <t xml:space="preserve">Step 4: Bangladesh Bank treasury bond data for 364 days is 9.69% to 12% which is the Rf rate. With the other information available, the cost of equity using the CAPM method has been found. </t>
  </si>
  <si>
    <t>Using DSEX Index data of 20 years (2005-2025)</t>
  </si>
  <si>
    <t>Cost of Equity using the Gordon Growth Model</t>
  </si>
  <si>
    <t>Ke</t>
  </si>
  <si>
    <t xml:space="preserve">1. Total cash dividends fpr 7 years were used to find the Compunded Annual Growth Rate (CAGR). </t>
  </si>
  <si>
    <t>2. Similarily, 6 years data has been used to calculate the Sustainable Growth Rate (SGR) to observe an alternative g rate</t>
  </si>
  <si>
    <t>3. CAGR is a better method of growth rate (compounding factor)</t>
  </si>
  <si>
    <t>4. Latest market price has been taken (4th Dec, 2025)</t>
  </si>
  <si>
    <t>5. Dividend per share for 2024 has been taken from the Annual Report of GP 2024</t>
  </si>
  <si>
    <t>6. All the information was then plugged in the DDM formula.</t>
  </si>
  <si>
    <t>Cash &amp; Cash Equivalents</t>
  </si>
  <si>
    <t>Loans &amp; Borrowings</t>
  </si>
  <si>
    <t>Lease Liabilities</t>
  </si>
  <si>
    <t>Net Debt</t>
  </si>
  <si>
    <t>Lease Interest</t>
  </si>
  <si>
    <t>Net Interest Expense</t>
  </si>
  <si>
    <t>Income before Tax</t>
  </si>
  <si>
    <t>Tax Rate</t>
  </si>
  <si>
    <t xml:space="preserve">Lease liabilities are included in net debt because, under IFRS 16, long term leases are treated like interest-bearing financing, not just operating costs. Grameenphone pays regular finance charges on these obligations so they are similar to loans and directly contribute to the true cost of debt capital. </t>
  </si>
  <si>
    <t>Average Net Debt</t>
  </si>
  <si>
    <t>Net Interest</t>
  </si>
  <si>
    <t>Pre-tax Cost of Debt</t>
  </si>
  <si>
    <t xml:space="preserve">The 8.34% is the historical rate which shows what Grameenphone effectively paid on its debt over the years of 2020 to 2025. </t>
  </si>
  <si>
    <t>Tax Rates</t>
  </si>
  <si>
    <t>Market Cost of Debt (pre-tax)</t>
  </si>
  <si>
    <t>Cost of Debt</t>
  </si>
  <si>
    <t>Statutory Tax Rate</t>
  </si>
  <si>
    <t>WACC</t>
  </si>
  <si>
    <t>Cost of Equity</t>
  </si>
  <si>
    <t>After-tax Cost of Debt</t>
  </si>
  <si>
    <r>
      <rPr>
        <b/>
        <sz val="11"/>
        <color rgb="FF000000"/>
        <rFont val="Calibri"/>
        <family val="2"/>
        <scheme val="minor"/>
      </rPr>
      <t>EQUITY</t>
    </r>
    <r>
      <rPr>
        <sz val="11"/>
        <color rgb="FF000000"/>
        <rFont val="Calibri"/>
        <family val="2"/>
        <scheme val="minor"/>
      </rPr>
      <t>:</t>
    </r>
  </si>
  <si>
    <t>Share Price</t>
  </si>
  <si>
    <t>Number of Shares Outstanding</t>
  </si>
  <si>
    <r>
      <rPr>
        <b/>
        <sz val="11"/>
        <color rgb="FF000000"/>
        <rFont val="Calibri"/>
        <family val="2"/>
        <scheme val="minor"/>
      </rPr>
      <t>DEBT</t>
    </r>
    <r>
      <rPr>
        <sz val="11"/>
        <color rgb="FF000000"/>
        <rFont val="Calibri"/>
        <family val="2"/>
        <scheme val="minor"/>
      </rPr>
      <t>:</t>
    </r>
  </si>
  <si>
    <t>Market Value of Debt</t>
  </si>
  <si>
    <t>Market Value of Equity</t>
  </si>
  <si>
    <t>MODEL</t>
  </si>
  <si>
    <t>WEIGHT</t>
  </si>
  <si>
    <t>INTRINSIC VALUE</t>
  </si>
  <si>
    <t>WEIGHTED VALUE</t>
  </si>
  <si>
    <t>DDM (GORDON)</t>
  </si>
  <si>
    <t>DDM (P/E)</t>
  </si>
  <si>
    <t>FCFF (GORDON)</t>
  </si>
  <si>
    <t>FCFF (P/E)</t>
  </si>
  <si>
    <t>RELATIVE</t>
  </si>
  <si>
    <t>WEIGHTED AVG INTRINSIC VALUE</t>
  </si>
  <si>
    <t>P/E of GP (January, 02, 2026)</t>
  </si>
  <si>
    <t>Industry Avg P/E</t>
  </si>
  <si>
    <t>Intrinsic Value</t>
  </si>
  <si>
    <t>Enterprise Value</t>
  </si>
  <si>
    <t>P/E  TTM</t>
  </si>
  <si>
    <t>GP EPS TTM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</si>
</sst>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8" formatCode="&quot;$&quot;#,##0.00_);[Red]\(&quot;$&quot;#,##0.00\)"/>
    <numFmt numFmtId="43" formatCode="_(* #,##0.00_);_(* \(#,##0.00\);_(* &quot;-&quot;??_);_(@_)"/>
    <numFmt numFmtId="164" formatCode="0.0%"/>
    <numFmt numFmtId="165" formatCode="#,##0;[Red]#,##0"/>
    <numFmt numFmtId="166" formatCode="#,##0.00;[Red]#,##0.00"/>
    <numFmt numFmtId="167" formatCode="0.00;[Red]0.00"/>
    <numFmt numFmtId="168" formatCode="0.0"/>
    <numFmt numFmtId="169" formatCode="0.0000"/>
    <numFmt numFmtId="170" formatCode="0.000"/>
    <numFmt numFmtId="171" formatCode="_(* #,##0_);_(* \(#,##0\);_(* &quot;-&quot;??_);_(@_)"/>
    <numFmt numFmtId="172" formatCode="_ * #,##0.00_)_৳_ ;_ * \(#,##0.00\)_৳_ ;_ * &quot;-&quot;??_)_৳_ ;_ @_ "/>
    <numFmt numFmtId="180" formatCode="0.000%"/>
    <numFmt numFmtId="181" formatCode="0.00000"/>
    <numFmt numFmtId="182" formatCode="0.00000000"/>
  </numFmts>
  <fonts count="43"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sz val="10"/>
      <color theme="1"/>
      <name val="Arial"/>
      <family val="2"/>
    </font>
    <font>
      <i/>
      <sz val="11"/>
      <color theme="1"/>
      <name val="Calibri"/>
      <family val="2"/>
      <scheme val="minor"/>
    </font>
    <font>
      <b/>
      <u/>
      <sz val="11"/>
      <color theme="1"/>
      <name val="Calibri"/>
      <family val="2"/>
      <scheme val="minor"/>
    </font>
    <font>
      <sz val="10"/>
      <name val="Arial"/>
      <family val="2"/>
    </font>
    <font>
      <b/>
      <i/>
      <sz val="11"/>
      <color theme="1"/>
      <name val="Calibri"/>
      <family val="2"/>
      <scheme val="minor"/>
    </font>
    <font>
      <b/>
      <u/>
      <sz val="14"/>
      <color theme="9" tint="-0.499984740745262"/>
      <name val="Calibri"/>
      <family val="2"/>
      <scheme val="minor"/>
    </font>
    <font>
      <b/>
      <sz val="16"/>
      <color theme="8" tint="-0.249977111117893"/>
      <name val="Calibri"/>
      <family val="2"/>
      <scheme val="minor"/>
    </font>
    <font>
      <sz val="11"/>
      <color theme="4" tint="-0.249977111117893"/>
      <name val="Calibri"/>
      <family val="2"/>
      <scheme val="minor"/>
    </font>
    <font>
      <b/>
      <sz val="12"/>
      <color theme="1"/>
      <name val="Calibri"/>
      <family val="2"/>
      <scheme val="minor"/>
    </font>
    <font>
      <sz val="11"/>
      <name val="Calibri"/>
      <family val="2"/>
      <scheme val="minor"/>
    </font>
    <font>
      <b/>
      <sz val="16"/>
      <color theme="1"/>
      <name val="Calibri"/>
      <family val="2"/>
      <scheme val="minor"/>
    </font>
    <font>
      <b/>
      <sz val="14"/>
      <color theme="1"/>
      <name val="Calibri"/>
      <family val="2"/>
      <scheme val="minor"/>
    </font>
    <font>
      <b/>
      <sz val="14"/>
      <color theme="4" tint="-0.249977111117893"/>
      <name val="Calibri"/>
      <family val="2"/>
      <scheme val="minor"/>
    </font>
    <font>
      <b/>
      <i/>
      <sz val="14"/>
      <color theme="1"/>
      <name val="Calibri"/>
      <family val="2"/>
      <scheme val="minor"/>
    </font>
    <font>
      <sz val="11"/>
      <color theme="1"/>
      <name val="Calibri"/>
      <family val="2"/>
    </font>
    <font>
      <b/>
      <sz val="14"/>
      <color theme="1"/>
      <name val="Times New Roman"/>
      <family val="1"/>
    </font>
    <font>
      <sz val="12"/>
      <color theme="1"/>
      <name val="Arial"/>
      <family val="2"/>
    </font>
    <font>
      <sz val="12"/>
      <name val="Arial"/>
      <family val="2"/>
    </font>
    <font>
      <sz val="12"/>
      <color theme="1"/>
      <name val="Calibri"/>
      <family val="2"/>
      <scheme val="minor"/>
    </font>
    <font>
      <i/>
      <sz val="12"/>
      <name val="Arial"/>
      <family val="2"/>
    </font>
    <font>
      <sz val="12"/>
      <color theme="1"/>
      <name val="Times New Roman"/>
      <family val="1"/>
    </font>
    <font>
      <b/>
      <sz val="12"/>
      <color theme="1"/>
      <name val="Times New Roman"/>
      <family val="1"/>
    </font>
    <font>
      <b/>
      <i/>
      <sz val="12"/>
      <color theme="1"/>
      <name val="Times New Roman"/>
      <family val="1"/>
    </font>
    <font>
      <b/>
      <sz val="16"/>
      <color theme="1"/>
      <name val="Times New Roman"/>
      <family val="1"/>
    </font>
    <font>
      <sz val="11"/>
      <name val="Calibri"/>
      <family val="2"/>
    </font>
    <font>
      <b/>
      <i/>
      <u/>
      <sz val="12"/>
      <color theme="1"/>
      <name val="Times New Roman"/>
      <family val="1"/>
    </font>
    <font>
      <b/>
      <sz val="11"/>
      <color rgb="FF000000"/>
      <name val="Calibri"/>
      <family val="2"/>
      <scheme val="minor"/>
    </font>
    <font>
      <u/>
      <sz val="12"/>
      <color theme="1"/>
      <name val="Times New Roman"/>
      <family val="1"/>
    </font>
    <font>
      <b/>
      <i/>
      <sz val="14"/>
      <color theme="1"/>
      <name val="Times New Roman"/>
      <family val="1"/>
    </font>
    <font>
      <u/>
      <sz val="11"/>
      <color theme="10"/>
      <name val="Calibri"/>
      <family val="2"/>
      <scheme val="minor"/>
    </font>
    <font>
      <sz val="7"/>
      <color rgb="FF000000"/>
      <name val="Arial"/>
      <family val="2"/>
    </font>
    <font>
      <b/>
      <i/>
      <sz val="12"/>
      <name val="Times New Roman"/>
      <family val="1"/>
    </font>
    <font>
      <sz val="14"/>
      <color theme="1"/>
      <name val="Calibri"/>
      <family val="2"/>
      <scheme val="minor"/>
    </font>
    <font>
      <b/>
      <sz val="18"/>
      <color rgb="FF000000"/>
      <name val="Calibri"/>
      <family val="2"/>
    </font>
    <font>
      <sz val="11"/>
      <color rgb="FF000000"/>
      <name val="Calibri"/>
      <family val="2"/>
    </font>
    <font>
      <b/>
      <sz val="11"/>
      <color rgb="FF000000"/>
      <name val="Calibri"/>
      <family val="2"/>
    </font>
    <font>
      <sz val="11"/>
      <color rgb="FF000000"/>
      <name val="Calibri"/>
      <family val="2"/>
      <scheme val="minor"/>
    </font>
    <font>
      <b/>
      <sz val="11"/>
      <name val="Calibri"/>
      <family val="2"/>
      <scheme val="minor"/>
    </font>
  </fonts>
  <fills count="29">
    <fill>
      <patternFill patternType="none"/>
    </fill>
    <fill>
      <patternFill patternType="gray125"/>
    </fill>
    <fill>
      <patternFill patternType="solid">
        <fgColor theme="8" tint="0.39997558519241921"/>
        <bgColor indexed="64"/>
      </patternFill>
    </fill>
    <fill>
      <patternFill patternType="solid">
        <fgColor theme="8" tint="0.7999816888943144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theme="3" tint="0.79998168889431442"/>
        <bgColor indexed="64"/>
      </patternFill>
    </fill>
    <fill>
      <patternFill patternType="solid">
        <fgColor theme="9" tint="0.39997558519241921"/>
        <bgColor indexed="64"/>
      </patternFill>
    </fill>
    <fill>
      <patternFill patternType="solid">
        <fgColor theme="8" tint="0.79998168889431442"/>
        <bgColor indexed="65"/>
      </patternFill>
    </fill>
    <fill>
      <patternFill patternType="solid">
        <fgColor theme="6" tint="0.39997558519241921"/>
        <bgColor indexed="64"/>
      </patternFill>
    </fill>
    <fill>
      <patternFill patternType="solid">
        <fgColor rgb="FFFFFF00"/>
        <bgColor indexed="64"/>
      </patternFill>
    </fill>
    <fill>
      <patternFill patternType="solid">
        <fgColor theme="8" tint="0.59999389629810485"/>
        <bgColor indexed="64"/>
      </patternFill>
    </fill>
    <fill>
      <patternFill patternType="solid">
        <fgColor theme="4" tint="0.59999389629810485"/>
        <bgColor indexed="65"/>
      </patternFill>
    </fill>
    <fill>
      <patternFill patternType="solid">
        <fgColor theme="8" tint="0.59999389629810485"/>
        <bgColor indexed="65"/>
      </patternFill>
    </fill>
    <fill>
      <patternFill patternType="solid">
        <fgColor theme="4" tint="0.59999389629810485"/>
        <bgColor rgb="FFFFFF00"/>
      </patternFill>
    </fill>
    <fill>
      <patternFill patternType="solid">
        <fgColor theme="8" tint="0.79998168889431442"/>
        <bgColor rgb="FFFFFF00"/>
      </patternFill>
    </fill>
    <fill>
      <patternFill patternType="solid">
        <fgColor theme="0" tint="-0.249977111117893"/>
        <bgColor indexed="64"/>
      </patternFill>
    </fill>
    <fill>
      <patternFill patternType="solid">
        <fgColor theme="4" tint="0.39997558519241921"/>
        <bgColor rgb="FF000000"/>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9" tint="0.39997558519241921"/>
      </top>
      <bottom style="thin">
        <color theme="9" tint="0.39997558519241921"/>
      </bottom>
      <diagonal/>
    </border>
    <border>
      <left/>
      <right/>
      <top/>
      <bottom style="medium">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medium">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ck">
        <color rgb="FF000000"/>
      </bottom>
      <diagonal/>
    </border>
    <border>
      <left/>
      <right/>
      <top style="thin">
        <color rgb="FF000000"/>
      </top>
      <bottom style="thick">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style="medium">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indexed="64"/>
      </bottom>
      <diagonal/>
    </border>
    <border>
      <left style="medium">
        <color rgb="FF000000"/>
      </left>
      <right style="medium">
        <color indexed="64"/>
      </right>
      <top style="medium">
        <color rgb="FF000000"/>
      </top>
      <bottom style="medium">
        <color rgb="FF000000"/>
      </bottom>
      <diagonal/>
    </border>
    <border>
      <left style="medium">
        <color indexed="64"/>
      </left>
      <right style="medium">
        <color rgb="FF000000"/>
      </right>
      <top style="medium">
        <color rgb="FF000000"/>
      </top>
      <bottom style="medium">
        <color indexed="64"/>
      </bottom>
      <diagonal/>
    </border>
    <border>
      <left/>
      <right style="medium">
        <color indexed="64"/>
      </right>
      <top style="medium">
        <color rgb="FF000000"/>
      </top>
      <bottom style="medium">
        <color indexed="64"/>
      </bottom>
      <diagonal/>
    </border>
    <border>
      <left/>
      <right/>
      <top/>
      <bottom style="thin">
        <color rgb="FF000000"/>
      </bottom>
      <diagonal/>
    </border>
    <border>
      <left style="medium">
        <color rgb="FF000000"/>
      </left>
      <right style="medium">
        <color rgb="FF000000"/>
      </right>
      <top/>
      <bottom style="medium">
        <color rgb="FF000000"/>
      </bottom>
      <diagonal/>
    </border>
  </borders>
  <cellStyleXfs count="8">
    <xf numFmtId="0" fontId="0" fillId="0" borderId="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19" borderId="0" applyNumberFormat="0" applyBorder="0" applyAlignment="0" applyProtection="0"/>
    <xf numFmtId="0" fontId="34" fillId="0" borderId="0" applyNumberFormat="0" applyFill="0" applyBorder="0" applyAlignment="0" applyProtection="0"/>
    <xf numFmtId="0" fontId="2" fillId="23" borderId="0" applyNumberFormat="0" applyBorder="0" applyAlignment="0" applyProtection="0"/>
    <xf numFmtId="0" fontId="2" fillId="24" borderId="0" applyNumberFormat="0" applyBorder="0" applyAlignment="0" applyProtection="0"/>
  </cellStyleXfs>
  <cellXfs count="699">
    <xf numFmtId="0" fontId="0" fillId="0" borderId="0" xfId="0"/>
    <xf numFmtId="0" fontId="1" fillId="3" borderId="0" xfId="0" applyFont="1" applyFill="1"/>
    <xf numFmtId="0" fontId="0" fillId="3" borderId="0" xfId="0" applyFill="1"/>
    <xf numFmtId="3" fontId="0" fillId="0" borderId="0" xfId="0" applyNumberFormat="1"/>
    <xf numFmtId="37" fontId="0" fillId="0" borderId="4" xfId="0" applyNumberFormat="1" applyFont="1" applyBorder="1" applyAlignment="1">
      <alignment horizontal="center"/>
    </xf>
    <xf numFmtId="0" fontId="1" fillId="3" borderId="4" xfId="0" applyFont="1" applyFill="1" applyBorder="1"/>
    <xf numFmtId="0" fontId="0" fillId="3" borderId="4" xfId="0" applyFont="1" applyFill="1" applyBorder="1"/>
    <xf numFmtId="37" fontId="0" fillId="0" borderId="3" xfId="0" applyNumberFormat="1" applyFont="1" applyBorder="1" applyAlignment="1">
      <alignment horizontal="center"/>
    </xf>
    <xf numFmtId="0" fontId="1" fillId="3" borderId="4" xfId="0" applyNumberFormat="1" applyFont="1" applyFill="1" applyBorder="1"/>
    <xf numFmtId="0" fontId="0" fillId="3" borderId="2" xfId="0" applyFont="1" applyFill="1" applyBorder="1"/>
    <xf numFmtId="0" fontId="3" fillId="4" borderId="4" xfId="0" applyFont="1" applyFill="1" applyBorder="1"/>
    <xf numFmtId="37" fontId="1" fillId="5" borderId="4" xfId="0" applyNumberFormat="1" applyFont="1" applyFill="1" applyBorder="1" applyAlignment="1">
      <alignment horizontal="center"/>
    </xf>
    <xf numFmtId="37" fontId="1" fillId="5" borderId="3" xfId="0" applyNumberFormat="1" applyFont="1" applyFill="1" applyBorder="1" applyAlignment="1">
      <alignment horizontal="center"/>
    </xf>
    <xf numFmtId="37" fontId="0" fillId="5" borderId="4" xfId="0" applyNumberFormat="1" applyFont="1" applyFill="1" applyBorder="1" applyAlignment="1">
      <alignment horizontal="center"/>
    </xf>
    <xf numFmtId="37" fontId="0" fillId="5" borderId="3" xfId="0" applyNumberFormat="1" applyFont="1" applyFill="1" applyBorder="1" applyAlignment="1">
      <alignment horizontal="center"/>
    </xf>
    <xf numFmtId="39" fontId="0" fillId="5" borderId="2" xfId="0" applyNumberFormat="1" applyFont="1" applyFill="1" applyBorder="1" applyAlignment="1">
      <alignment horizontal="center"/>
    </xf>
    <xf numFmtId="39" fontId="0" fillId="5" borderId="1" xfId="0" applyNumberFormat="1" applyFont="1" applyFill="1" applyBorder="1" applyAlignment="1">
      <alignment horizontal="center"/>
    </xf>
    <xf numFmtId="38" fontId="0" fillId="0" borderId="4" xfId="0" applyNumberFormat="1" applyFont="1" applyBorder="1" applyAlignment="1">
      <alignment horizontal="center"/>
    </xf>
    <xf numFmtId="38" fontId="0" fillId="5" borderId="4" xfId="0" applyNumberFormat="1" applyFont="1" applyFill="1" applyBorder="1" applyAlignment="1">
      <alignment horizontal="center"/>
    </xf>
    <xf numFmtId="10" fontId="0" fillId="0" borderId="0" xfId="1" applyNumberFormat="1" applyFont="1"/>
    <xf numFmtId="38" fontId="0" fillId="0" borderId="0" xfId="0" applyNumberFormat="1"/>
    <xf numFmtId="0" fontId="0" fillId="0" borderId="0" xfId="0"/>
    <xf numFmtId="0" fontId="0" fillId="0" borderId="0" xfId="0" applyBorder="1" applyAlignment="1">
      <alignment horizontal="center"/>
    </xf>
    <xf numFmtId="37" fontId="0" fillId="0" borderId="5" xfId="0" applyNumberFormat="1" applyFont="1" applyBorder="1" applyAlignment="1">
      <alignment horizontal="center"/>
    </xf>
    <xf numFmtId="0" fontId="4" fillId="0" borderId="0" xfId="0" applyFont="1"/>
    <xf numFmtId="0" fontId="1" fillId="0" borderId="0" xfId="0" applyFont="1"/>
    <xf numFmtId="0" fontId="0" fillId="0" borderId="0" xfId="0" applyAlignment="1">
      <alignment horizontal="center"/>
    </xf>
    <xf numFmtId="0" fontId="6" fillId="0" borderId="0" xfId="0" applyFont="1"/>
    <xf numFmtId="0" fontId="7" fillId="0" borderId="6" xfId="0" applyFont="1" applyBorder="1"/>
    <xf numFmtId="0" fontId="1" fillId="0" borderId="6" xfId="0" applyFont="1" applyBorder="1" applyAlignment="1">
      <alignment horizontal="center"/>
    </xf>
    <xf numFmtId="10" fontId="0" fillId="0" borderId="0" xfId="0" applyNumberFormat="1"/>
    <xf numFmtId="3" fontId="0" fillId="0" borderId="0" xfId="0" applyNumberFormat="1" applyAlignment="1">
      <alignment horizontal="center"/>
    </xf>
    <xf numFmtId="10" fontId="0" fillId="0" borderId="0" xfId="1" applyNumberFormat="1" applyFont="1" applyAlignment="1">
      <alignment horizontal="center"/>
    </xf>
    <xf numFmtId="0" fontId="1" fillId="0" borderId="0" xfId="0" applyFont="1" applyAlignment="1">
      <alignment wrapText="1"/>
    </xf>
    <xf numFmtId="3" fontId="0" fillId="0" borderId="9" xfId="0" applyNumberFormat="1" applyBorder="1" applyAlignment="1">
      <alignment horizontal="center"/>
    </xf>
    <xf numFmtId="0" fontId="0" fillId="0" borderId="9" xfId="0" applyBorder="1" applyAlignment="1">
      <alignment horizontal="center"/>
    </xf>
    <xf numFmtId="0" fontId="0" fillId="0" borderId="6" xfId="0" applyBorder="1"/>
    <xf numFmtId="0" fontId="0" fillId="0" borderId="6" xfId="0" applyBorder="1" applyAlignment="1">
      <alignment horizontal="center"/>
    </xf>
    <xf numFmtId="10" fontId="0" fillId="0" borderId="6" xfId="1" applyNumberFormat="1" applyFont="1" applyBorder="1" applyAlignment="1">
      <alignment horizontal="center"/>
    </xf>
    <xf numFmtId="0" fontId="1" fillId="6" borderId="9" xfId="0" applyFont="1" applyFill="1" applyBorder="1"/>
    <xf numFmtId="0" fontId="0" fillId="0" borderId="9" xfId="0" applyBorder="1"/>
    <xf numFmtId="0" fontId="6" fillId="0" borderId="7" xfId="0" applyFont="1" applyBorder="1"/>
    <xf numFmtId="3" fontId="0" fillId="0" borderId="7" xfId="0" applyNumberFormat="1" applyBorder="1" applyAlignment="1">
      <alignment horizontal="center"/>
    </xf>
    <xf numFmtId="0" fontId="0" fillId="0" borderId="7" xfId="0" applyBorder="1" applyAlignment="1">
      <alignment horizontal="center"/>
    </xf>
    <xf numFmtId="0" fontId="6" fillId="0" borderId="0" xfId="0" applyFont="1" applyBorder="1"/>
    <xf numFmtId="3" fontId="0" fillId="0" borderId="0" xfId="0" applyNumberFormat="1" applyBorder="1" applyAlignment="1">
      <alignment horizontal="center"/>
    </xf>
    <xf numFmtId="0" fontId="1" fillId="0" borderId="0" xfId="0" applyFont="1" applyBorder="1"/>
    <xf numFmtId="0" fontId="0" fillId="0" borderId="9" xfId="0" applyFont="1" applyBorder="1"/>
    <xf numFmtId="0" fontId="0" fillId="0" borderId="0" xfId="0" applyFont="1" applyBorder="1"/>
    <xf numFmtId="10" fontId="0" fillId="0" borderId="0" xfId="1" applyNumberFormat="1" applyFont="1" applyBorder="1" applyAlignment="1">
      <alignment horizontal="center"/>
    </xf>
    <xf numFmtId="0" fontId="0" fillId="0" borderId="6" xfId="0" applyFont="1" applyBorder="1"/>
    <xf numFmtId="10" fontId="0" fillId="0" borderId="6" xfId="0" applyNumberFormat="1" applyBorder="1" applyAlignment="1">
      <alignment horizontal="center"/>
    </xf>
    <xf numFmtId="10" fontId="4" fillId="0" borderId="6" xfId="0" applyNumberFormat="1" applyFont="1" applyBorder="1" applyAlignment="1">
      <alignment horizontal="center"/>
    </xf>
    <xf numFmtId="0" fontId="0" fillId="6" borderId="0" xfId="0" applyFill="1" applyBorder="1"/>
    <xf numFmtId="0" fontId="1" fillId="9" borderId="6" xfId="0" applyFont="1" applyFill="1" applyBorder="1"/>
    <xf numFmtId="0" fontId="9" fillId="0" borderId="15" xfId="0" applyFont="1" applyBorder="1"/>
    <xf numFmtId="0" fontId="1" fillId="0" borderId="16" xfId="0" applyFont="1" applyBorder="1" applyAlignment="1">
      <alignment wrapText="1"/>
    </xf>
    <xf numFmtId="0" fontId="0" fillId="0" borderId="7" xfId="0" applyBorder="1"/>
    <xf numFmtId="16" fontId="0" fillId="0" borderId="0" xfId="0" applyNumberFormat="1"/>
    <xf numFmtId="1" fontId="0" fillId="0" borderId="0" xfId="0" applyNumberFormat="1" applyAlignment="1">
      <alignment horizontal="center"/>
    </xf>
    <xf numFmtId="0" fontId="1" fillId="11" borderId="0" xfId="0" applyFont="1" applyFill="1" applyBorder="1"/>
    <xf numFmtId="0" fontId="1" fillId="10" borderId="1" xfId="0" applyFont="1" applyFill="1" applyBorder="1"/>
    <xf numFmtId="0" fontId="0" fillId="0" borderId="0" xfId="0" applyFont="1" applyBorder="1" applyAlignment="1">
      <alignment wrapText="1"/>
    </xf>
    <xf numFmtId="0" fontId="0" fillId="0" borderId="0" xfId="0" applyFont="1"/>
    <xf numFmtId="0" fontId="1" fillId="7" borderId="6" xfId="0" applyFont="1" applyFill="1" applyBorder="1"/>
    <xf numFmtId="0" fontId="1" fillId="6" borderId="6" xfId="0" applyFont="1" applyFill="1" applyBorder="1"/>
    <xf numFmtId="0" fontId="1" fillId="8" borderId="6" xfId="0" applyFont="1" applyFill="1" applyBorder="1"/>
    <xf numFmtId="0" fontId="6" fillId="0" borderId="0" xfId="0" applyFont="1" applyFill="1" applyBorder="1"/>
    <xf numFmtId="0" fontId="3" fillId="2" borderId="4" xfId="0" applyNumberFormat="1" applyFont="1" applyFill="1" applyBorder="1" applyAlignment="1">
      <alignment horizontal="center"/>
    </xf>
    <xf numFmtId="0" fontId="3" fillId="2" borderId="3" xfId="0" applyNumberFormat="1" applyFont="1" applyFill="1" applyBorder="1" applyAlignment="1">
      <alignment horizontal="center"/>
    </xf>
    <xf numFmtId="3" fontId="0" fillId="0" borderId="7" xfId="0" applyNumberFormat="1" applyBorder="1"/>
    <xf numFmtId="2" fontId="0" fillId="0" borderId="0" xfId="0" applyNumberFormat="1"/>
    <xf numFmtId="4" fontId="0" fillId="0" borderId="0" xfId="0" applyNumberFormat="1"/>
    <xf numFmtId="0" fontId="0" fillId="0" borderId="0" xfId="0" applyNumberFormat="1"/>
    <xf numFmtId="1" fontId="0" fillId="0" borderId="0" xfId="0" applyNumberFormat="1"/>
    <xf numFmtId="37" fontId="0" fillId="0" borderId="0" xfId="0" applyNumberFormat="1"/>
    <xf numFmtId="0" fontId="12" fillId="0" borderId="0" xfId="0" applyFont="1"/>
    <xf numFmtId="0" fontId="1" fillId="3" borderId="1" xfId="0" applyFont="1" applyFill="1" applyBorder="1"/>
    <xf numFmtId="0" fontId="0" fillId="3" borderId="1" xfId="0" applyFont="1" applyFill="1" applyBorder="1"/>
    <xf numFmtId="37" fontId="0" fillId="0" borderId="1" xfId="0" applyNumberFormat="1" applyFont="1" applyBorder="1" applyAlignment="1">
      <alignment horizontal="center"/>
    </xf>
    <xf numFmtId="0" fontId="1" fillId="3" borderId="1" xfId="0" applyNumberFormat="1" applyFont="1" applyFill="1" applyBorder="1"/>
    <xf numFmtId="0" fontId="0" fillId="0" borderId="0" xfId="0" applyFill="1"/>
    <xf numFmtId="164" fontId="0" fillId="0" borderId="0" xfId="1" applyNumberFormat="1" applyFont="1"/>
    <xf numFmtId="0" fontId="4" fillId="0" borderId="0" xfId="0" applyFont="1" applyAlignment="1"/>
    <xf numFmtId="0" fontId="0" fillId="0" borderId="0" xfId="0" applyAlignment="1"/>
    <xf numFmtId="0" fontId="0" fillId="6" borderId="0" xfId="0" applyFill="1"/>
    <xf numFmtId="0" fontId="1" fillId="14" borderId="0" xfId="0" applyNumberFormat="1" applyFont="1" applyFill="1" applyAlignment="1">
      <alignment horizontal="center"/>
    </xf>
    <xf numFmtId="0" fontId="1" fillId="14" borderId="0" xfId="0" applyFont="1" applyFill="1" applyAlignment="1">
      <alignment horizontal="center"/>
    </xf>
    <xf numFmtId="0" fontId="1" fillId="14" borderId="0" xfId="0" applyFont="1" applyFill="1"/>
    <xf numFmtId="3" fontId="0" fillId="3" borderId="0" xfId="0" applyNumberFormat="1" applyFill="1"/>
    <xf numFmtId="0" fontId="0" fillId="0" borderId="1" xfId="0" applyBorder="1"/>
    <xf numFmtId="10" fontId="0" fillId="0" borderId="1" xfId="1" applyNumberFormat="1" applyFont="1"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 xfId="0" applyBorder="1"/>
    <xf numFmtId="0" fontId="0" fillId="0" borderId="23" xfId="0" applyBorder="1"/>
    <xf numFmtId="10" fontId="1" fillId="15" borderId="23" xfId="1" applyNumberFormat="1" applyFont="1" applyFill="1" applyBorder="1" applyAlignment="1">
      <alignment horizontal="center"/>
    </xf>
    <xf numFmtId="0" fontId="1" fillId="2" borderId="1" xfId="0" applyFont="1" applyFill="1" applyBorder="1" applyAlignment="1">
      <alignment horizontal="center"/>
    </xf>
    <xf numFmtId="0" fontId="1" fillId="13" borderId="1" xfId="0" applyFont="1" applyFill="1" applyBorder="1" applyAlignment="1">
      <alignment horizontal="center"/>
    </xf>
    <xf numFmtId="165" fontId="0" fillId="16" borderId="1" xfId="0" applyNumberFormat="1" applyFill="1" applyBorder="1" applyAlignment="1">
      <alignment horizontal="center"/>
    </xf>
    <xf numFmtId="10" fontId="0" fillId="16" borderId="1" xfId="0" applyNumberFormat="1" applyFill="1" applyBorder="1" applyAlignment="1">
      <alignment horizontal="center"/>
    </xf>
    <xf numFmtId="0" fontId="1" fillId="7" borderId="1" xfId="0" applyFont="1" applyFill="1" applyBorder="1" applyAlignment="1">
      <alignment horizontal="center"/>
    </xf>
    <xf numFmtId="0" fontId="0" fillId="7" borderId="1" xfId="0" applyFill="1" applyBorder="1" applyAlignment="1">
      <alignment horizontal="center"/>
    </xf>
    <xf numFmtId="10" fontId="0" fillId="7" borderId="1" xfId="0" applyNumberFormat="1" applyFill="1" applyBorder="1" applyAlignment="1">
      <alignment horizontal="center"/>
    </xf>
    <xf numFmtId="10" fontId="0" fillId="0" borderId="1" xfId="0" applyNumberFormat="1" applyBorder="1" applyAlignment="1">
      <alignment horizontal="center"/>
    </xf>
    <xf numFmtId="0" fontId="0" fillId="0" borderId="1" xfId="0" applyBorder="1" applyAlignment="1">
      <alignment horizontal="center"/>
    </xf>
    <xf numFmtId="10" fontId="0" fillId="16" borderId="17" xfId="0" applyNumberFormat="1" applyFill="1" applyBorder="1" applyAlignment="1">
      <alignment horizontal="center"/>
    </xf>
    <xf numFmtId="0" fontId="0" fillId="16" borderId="1" xfId="0" applyFill="1" applyBorder="1" applyAlignment="1">
      <alignment horizontal="center"/>
    </xf>
    <xf numFmtId="0" fontId="0" fillId="7" borderId="3" xfId="0" applyFill="1" applyBorder="1" applyAlignment="1">
      <alignment horizontal="center"/>
    </xf>
    <xf numFmtId="10" fontId="0" fillId="0" borderId="3" xfId="0" applyNumberFormat="1" applyBorder="1" applyAlignment="1">
      <alignment horizontal="center"/>
    </xf>
    <xf numFmtId="165" fontId="0" fillId="16" borderId="17" xfId="0" applyNumberFormat="1" applyFill="1" applyBorder="1" applyAlignment="1">
      <alignment horizontal="center"/>
    </xf>
    <xf numFmtId="0" fontId="0" fillId="7" borderId="24" xfId="0" applyFill="1" applyBorder="1" applyAlignment="1">
      <alignment horizontal="center"/>
    </xf>
    <xf numFmtId="10" fontId="0" fillId="0" borderId="24" xfId="0" applyNumberFormat="1" applyBorder="1" applyAlignment="1">
      <alignment horizontal="center"/>
    </xf>
    <xf numFmtId="0" fontId="0" fillId="13" borderId="1" xfId="0" applyFill="1" applyBorder="1" applyAlignment="1">
      <alignment horizontal="center"/>
    </xf>
    <xf numFmtId="165" fontId="0" fillId="0" borderId="1" xfId="0" applyNumberFormat="1" applyBorder="1" applyAlignment="1">
      <alignment horizontal="center"/>
    </xf>
    <xf numFmtId="2" fontId="0" fillId="0" borderId="1" xfId="0" applyNumberFormat="1" applyBorder="1" applyAlignment="1">
      <alignment horizontal="center"/>
    </xf>
    <xf numFmtId="0" fontId="0" fillId="17" borderId="1" xfId="0" applyFill="1" applyBorder="1" applyAlignment="1">
      <alignment horizontal="center"/>
    </xf>
    <xf numFmtId="0" fontId="1" fillId="18" borderId="1" xfId="0" applyFont="1" applyFill="1" applyBorder="1" applyAlignment="1">
      <alignment horizontal="center"/>
    </xf>
    <xf numFmtId="10" fontId="1" fillId="0" borderId="1" xfId="0" applyNumberFormat="1" applyFont="1" applyBorder="1" applyAlignment="1">
      <alignment horizontal="center"/>
    </xf>
    <xf numFmtId="165" fontId="0" fillId="17" borderId="1" xfId="0" applyNumberFormat="1" applyFill="1" applyBorder="1" applyAlignment="1">
      <alignment horizontal="center"/>
    </xf>
    <xf numFmtId="10" fontId="0" fillId="17" borderId="1" xfId="0" applyNumberFormat="1" applyFill="1" applyBorder="1" applyAlignment="1">
      <alignment horizontal="center"/>
    </xf>
    <xf numFmtId="0" fontId="1" fillId="0" borderId="0" xfId="0" applyFont="1" applyAlignment="1">
      <alignment horizontal="center"/>
    </xf>
    <xf numFmtId="0" fontId="13" fillId="0" borderId="0" xfId="0" applyFont="1" applyAlignment="1">
      <alignment vertical="center"/>
    </xf>
    <xf numFmtId="0" fontId="13" fillId="0" borderId="0" xfId="0" applyFont="1"/>
    <xf numFmtId="0" fontId="13" fillId="0" borderId="20" xfId="0" applyFont="1" applyBorder="1"/>
    <xf numFmtId="0" fontId="13" fillId="0" borderId="19" xfId="0" applyFont="1" applyBorder="1"/>
    <xf numFmtId="3" fontId="0" fillId="0" borderId="20" xfId="0" applyNumberFormat="1" applyBorder="1"/>
    <xf numFmtId="10" fontId="0" fillId="0" borderId="0" xfId="1" applyNumberFormat="1" applyFont="1" applyBorder="1"/>
    <xf numFmtId="10" fontId="0" fillId="0" borderId="20" xfId="1" applyNumberFormat="1" applyFont="1" applyBorder="1"/>
    <xf numFmtId="10" fontId="0" fillId="0" borderId="20" xfId="0" applyNumberFormat="1" applyBorder="1"/>
    <xf numFmtId="1" fontId="0" fillId="0" borderId="20" xfId="0" applyNumberFormat="1" applyBorder="1"/>
    <xf numFmtId="10" fontId="0" fillId="0" borderId="0" xfId="1" applyNumberFormat="1" applyFont="1" applyBorder="1" applyAlignment="1">
      <alignment horizontal="center" vertical="center"/>
    </xf>
    <xf numFmtId="10" fontId="0" fillId="0" borderId="15" xfId="1" applyNumberFormat="1" applyFont="1" applyBorder="1"/>
    <xf numFmtId="10" fontId="0" fillId="0" borderId="22" xfId="1" applyNumberFormat="1" applyFont="1" applyBorder="1"/>
    <xf numFmtId="0" fontId="13" fillId="0" borderId="21" xfId="0" applyFont="1" applyBorder="1"/>
    <xf numFmtId="3" fontId="0" fillId="0" borderId="15" xfId="0" applyNumberFormat="1" applyBorder="1"/>
    <xf numFmtId="3" fontId="0" fillId="0" borderId="22" xfId="0" applyNumberFormat="1" applyBorder="1"/>
    <xf numFmtId="10" fontId="0" fillId="0" borderId="22" xfId="0" applyNumberFormat="1" applyBorder="1"/>
    <xf numFmtId="0" fontId="13" fillId="0" borderId="19" xfId="0" applyFont="1" applyFill="1" applyBorder="1"/>
    <xf numFmtId="0" fontId="9" fillId="0" borderId="0" xfId="0" applyFont="1"/>
    <xf numFmtId="0" fontId="1" fillId="12" borderId="6" xfId="0" applyFont="1" applyFill="1" applyBorder="1"/>
    <xf numFmtId="10" fontId="0" fillId="0" borderId="6" xfId="1" applyNumberFormat="1" applyFont="1" applyBorder="1"/>
    <xf numFmtId="10" fontId="0" fillId="0" borderId="0" xfId="0" applyNumberFormat="1" applyAlignment="1">
      <alignment horizontal="center"/>
    </xf>
    <xf numFmtId="3" fontId="0" fillId="0" borderId="1" xfId="0" applyNumberFormat="1" applyBorder="1" applyAlignment="1">
      <alignment horizontal="center"/>
    </xf>
    <xf numFmtId="0" fontId="3" fillId="4" borderId="1" xfId="0" applyFont="1" applyFill="1" applyBorder="1"/>
    <xf numFmtId="0" fontId="3" fillId="2" borderId="1" xfId="0" applyNumberFormat="1" applyFont="1" applyFill="1" applyBorder="1" applyAlignment="1">
      <alignment horizontal="center"/>
    </xf>
    <xf numFmtId="0" fontId="0" fillId="3" borderId="1" xfId="0" applyFont="1" applyFill="1" applyBorder="1" applyAlignment="1">
      <alignment wrapText="1"/>
    </xf>
    <xf numFmtId="0" fontId="0" fillId="5" borderId="2" xfId="0" applyNumberFormat="1" applyFont="1" applyFill="1" applyBorder="1" applyAlignment="1">
      <alignment horizontal="center"/>
    </xf>
    <xf numFmtId="37" fontId="1" fillId="0" borderId="4" xfId="0" applyNumberFormat="1" applyFont="1" applyBorder="1" applyAlignment="1">
      <alignment horizontal="center"/>
    </xf>
    <xf numFmtId="37" fontId="1" fillId="0" borderId="3" xfId="0" applyNumberFormat="1" applyFont="1" applyBorder="1" applyAlignment="1">
      <alignment horizontal="center"/>
    </xf>
    <xf numFmtId="37" fontId="1" fillId="5" borderId="4" xfId="0" applyNumberFormat="1" applyFont="1" applyFill="1" applyBorder="1" applyAlignment="1">
      <alignment horizontal="center" vertical="center"/>
    </xf>
    <xf numFmtId="37" fontId="1" fillId="5" borderId="3" xfId="0" applyNumberFormat="1" applyFont="1" applyFill="1" applyBorder="1" applyAlignment="1">
      <alignment horizontal="center" vertical="center"/>
    </xf>
    <xf numFmtId="9" fontId="0" fillId="0" borderId="1" xfId="0" applyNumberFormat="1" applyBorder="1" applyAlignment="1">
      <alignment horizontal="center"/>
    </xf>
    <xf numFmtId="10" fontId="0" fillId="0" borderId="1" xfId="1" applyNumberFormat="1" applyFont="1" applyBorder="1" applyAlignment="1">
      <alignment horizontal="center"/>
    </xf>
    <xf numFmtId="10" fontId="1" fillId="0" borderId="1" xfId="1" applyNumberFormat="1" applyFont="1" applyBorder="1" applyAlignment="1">
      <alignment horizontal="center"/>
    </xf>
    <xf numFmtId="3" fontId="0" fillId="0" borderId="5" xfId="0" applyNumberFormat="1" applyFont="1" applyBorder="1" applyAlignment="1">
      <alignment horizontal="center"/>
    </xf>
    <xf numFmtId="0" fontId="1" fillId="0" borderId="0" xfId="0" applyFont="1" applyBorder="1" applyAlignment="1">
      <alignment horizontal="center"/>
    </xf>
    <xf numFmtId="0" fontId="0" fillId="0" borderId="0" xfId="0" applyBorder="1"/>
    <xf numFmtId="10" fontId="1" fillId="0" borderId="0" xfId="0" applyNumberFormat="1" applyFont="1" applyFill="1" applyBorder="1" applyAlignment="1">
      <alignment horizontal="center"/>
    </xf>
    <xf numFmtId="10" fontId="1" fillId="0" borderId="0" xfId="1" applyNumberFormat="1" applyFont="1" applyFill="1" applyBorder="1" applyAlignment="1">
      <alignment horizontal="center"/>
    </xf>
    <xf numFmtId="0" fontId="0" fillId="0" borderId="15" xfId="0" applyBorder="1"/>
    <xf numFmtId="10" fontId="0" fillId="13" borderId="0" xfId="0" applyNumberFormat="1" applyFill="1" applyAlignment="1">
      <alignment horizontal="center"/>
    </xf>
    <xf numFmtId="10" fontId="16" fillId="7" borderId="6" xfId="1" applyNumberFormat="1" applyFont="1" applyFill="1" applyBorder="1" applyAlignment="1">
      <alignment horizontal="center"/>
    </xf>
    <xf numFmtId="10" fontId="16" fillId="6" borderId="6" xfId="1" applyNumberFormat="1" applyFont="1" applyFill="1" applyBorder="1" applyAlignment="1">
      <alignment horizontal="center"/>
    </xf>
    <xf numFmtId="10" fontId="16" fillId="8" borderId="6" xfId="1" applyNumberFormat="1" applyFont="1" applyFill="1" applyBorder="1" applyAlignment="1">
      <alignment horizontal="center"/>
    </xf>
    <xf numFmtId="10" fontId="16" fillId="9" borderId="6" xfId="0" applyNumberFormat="1" applyFont="1" applyFill="1" applyBorder="1" applyAlignment="1">
      <alignment horizontal="center"/>
    </xf>
    <xf numFmtId="10" fontId="16" fillId="11" borderId="0" xfId="1" applyNumberFormat="1" applyFont="1" applyFill="1" applyBorder="1" applyAlignment="1">
      <alignment horizontal="center"/>
    </xf>
    <xf numFmtId="10" fontId="16" fillId="12" borderId="6" xfId="0" applyNumberFormat="1" applyFont="1" applyFill="1" applyBorder="1"/>
    <xf numFmtId="10" fontId="16" fillId="10" borderId="1" xfId="1" applyNumberFormat="1" applyFont="1" applyFill="1" applyBorder="1"/>
    <xf numFmtId="10" fontId="1" fillId="0" borderId="0" xfId="1" applyNumberFormat="1" applyFont="1" applyBorder="1"/>
    <xf numFmtId="10" fontId="1" fillId="0" borderId="20" xfId="1" applyNumberFormat="1" applyFont="1" applyBorder="1"/>
    <xf numFmtId="10" fontId="1" fillId="0" borderId="22" xfId="0" applyNumberFormat="1" applyFont="1" applyBorder="1"/>
    <xf numFmtId="10" fontId="15" fillId="6" borderId="23" xfId="0" applyNumberFormat="1" applyFont="1" applyFill="1" applyBorder="1"/>
    <xf numFmtId="0" fontId="0" fillId="0" borderId="25" xfId="0" applyBorder="1"/>
    <xf numFmtId="0" fontId="1" fillId="0" borderId="1" xfId="0" applyFont="1" applyBorder="1"/>
    <xf numFmtId="38" fontId="0" fillId="0" borderId="1" xfId="0" applyNumberFormat="1" applyBorder="1" applyAlignment="1">
      <alignment horizontal="center"/>
    </xf>
    <xf numFmtId="38" fontId="0" fillId="0" borderId="1" xfId="0" applyNumberFormat="1" applyBorder="1" applyAlignment="1">
      <alignment horizontal="center" vertical="center"/>
    </xf>
    <xf numFmtId="10" fontId="1" fillId="0" borderId="0" xfId="0" applyNumberFormat="1" applyFont="1"/>
    <xf numFmtId="10" fontId="1" fillId="0" borderId="12" xfId="0" applyNumberFormat="1" applyFont="1" applyBorder="1" applyAlignment="1">
      <alignment horizontal="center"/>
    </xf>
    <xf numFmtId="0" fontId="6" fillId="0" borderId="17" xfId="0" applyFont="1" applyBorder="1"/>
    <xf numFmtId="0" fontId="0" fillId="0" borderId="24" xfId="0" applyBorder="1"/>
    <xf numFmtId="0" fontId="6" fillId="0" borderId="17" xfId="0" applyFont="1" applyBorder="1" applyAlignment="1">
      <alignment wrapText="1"/>
    </xf>
    <xf numFmtId="0" fontId="0" fillId="3" borderId="17" xfId="0" applyFont="1" applyFill="1" applyBorder="1"/>
    <xf numFmtId="0" fontId="0" fillId="3" borderId="1" xfId="0" applyFill="1" applyBorder="1"/>
    <xf numFmtId="37" fontId="0" fillId="0" borderId="1" xfId="0" applyNumberFormat="1" applyBorder="1" applyAlignment="1">
      <alignment horizontal="center"/>
    </xf>
    <xf numFmtId="37" fontId="1" fillId="0" borderId="1" xfId="0" applyNumberFormat="1" applyFont="1" applyBorder="1" applyAlignment="1">
      <alignment horizontal="center"/>
    </xf>
    <xf numFmtId="0" fontId="0" fillId="3" borderId="1" xfId="0" applyFill="1" applyBorder="1" applyAlignment="1">
      <alignment wrapText="1"/>
    </xf>
    <xf numFmtId="0" fontId="6" fillId="3" borderId="1" xfId="0" applyFont="1" applyFill="1" applyBorder="1"/>
    <xf numFmtId="0" fontId="1" fillId="3" borderId="28" xfId="0" applyFont="1" applyFill="1" applyBorder="1" applyAlignment="1"/>
    <xf numFmtId="0" fontId="1" fillId="3" borderId="29" xfId="0" applyFont="1" applyFill="1" applyBorder="1"/>
    <xf numFmtId="0" fontId="16" fillId="3" borderId="1" xfId="0" applyFont="1" applyFill="1" applyBorder="1"/>
    <xf numFmtId="0" fontId="18" fillId="0" borderId="0" xfId="0" applyFont="1"/>
    <xf numFmtId="10" fontId="1" fillId="0" borderId="0" xfId="0" applyNumberFormat="1" applyFont="1" applyBorder="1"/>
    <xf numFmtId="0" fontId="0" fillId="0" borderId="0" xfId="0" applyFill="1" applyBorder="1"/>
    <xf numFmtId="37" fontId="1" fillId="13" borderId="0" xfId="0" applyNumberFormat="1" applyFont="1" applyFill="1" applyBorder="1" applyAlignment="1">
      <alignment horizontal="center"/>
    </xf>
    <xf numFmtId="3" fontId="0" fillId="13" borderId="0" xfId="0" applyNumberFormat="1" applyFill="1" applyBorder="1" applyAlignment="1">
      <alignment horizontal="center"/>
    </xf>
    <xf numFmtId="37" fontId="0" fillId="0" borderId="0" xfId="0" applyNumberFormat="1" applyFont="1" applyBorder="1" applyAlignment="1">
      <alignment horizontal="center"/>
    </xf>
    <xf numFmtId="37" fontId="0" fillId="5" borderId="0" xfId="0" applyNumberFormat="1" applyFont="1" applyFill="1" applyBorder="1" applyAlignment="1">
      <alignment horizontal="center"/>
    </xf>
    <xf numFmtId="37" fontId="0" fillId="0" borderId="0" xfId="0" applyNumberFormat="1" applyFont="1" applyFill="1" applyBorder="1" applyAlignment="1">
      <alignment horizontal="center"/>
    </xf>
    <xf numFmtId="38" fontId="1" fillId="13" borderId="0" xfId="0" applyNumberFormat="1" applyFont="1" applyFill="1" applyBorder="1" applyAlignment="1">
      <alignment horizontal="center"/>
    </xf>
    <xf numFmtId="37" fontId="0" fillId="13" borderId="0" xfId="0" applyNumberFormat="1" applyFont="1" applyFill="1" applyBorder="1" applyAlignment="1">
      <alignment horizontal="center"/>
    </xf>
    <xf numFmtId="38" fontId="1" fillId="5" borderId="0" xfId="0" applyNumberFormat="1" applyFont="1" applyFill="1" applyBorder="1" applyAlignment="1">
      <alignment horizontal="center" vertical="center"/>
    </xf>
    <xf numFmtId="38" fontId="1" fillId="5" borderId="0" xfId="0" applyNumberFormat="1" applyFont="1" applyFill="1" applyBorder="1" applyAlignment="1">
      <alignment horizontal="center"/>
    </xf>
    <xf numFmtId="3" fontId="1" fillId="13" borderId="0" xfId="0" applyNumberFormat="1" applyFont="1" applyFill="1" applyBorder="1" applyAlignment="1">
      <alignment horizontal="center"/>
    </xf>
    <xf numFmtId="38" fontId="1" fillId="0" borderId="0" xfId="0" applyNumberFormat="1" applyFont="1" applyBorder="1" applyAlignment="1">
      <alignment horizontal="center"/>
    </xf>
    <xf numFmtId="4" fontId="0" fillId="13" borderId="0" xfId="0" applyNumberFormat="1" applyFill="1" applyBorder="1" applyAlignment="1">
      <alignment horizontal="center"/>
    </xf>
    <xf numFmtId="4" fontId="0" fillId="0" borderId="0" xfId="0" applyNumberFormat="1" applyBorder="1" applyAlignment="1">
      <alignment horizontal="center"/>
    </xf>
    <xf numFmtId="39" fontId="0" fillId="5" borderId="0" xfId="0" applyNumberFormat="1" applyFont="1" applyFill="1" applyBorder="1" applyAlignment="1">
      <alignment horizontal="center"/>
    </xf>
    <xf numFmtId="37" fontId="0" fillId="0" borderId="0" xfId="2" applyNumberFormat="1" applyFont="1" applyBorder="1" applyAlignment="1">
      <alignment horizontal="center"/>
    </xf>
    <xf numFmtId="39" fontId="0" fillId="0" borderId="0" xfId="0" applyNumberFormat="1" applyFont="1" applyFill="1" applyBorder="1" applyAlignment="1">
      <alignment horizontal="center"/>
    </xf>
    <xf numFmtId="0" fontId="0" fillId="13" borderId="0" xfId="0" applyFill="1" applyBorder="1"/>
    <xf numFmtId="3" fontId="0" fillId="0" borderId="0" xfId="0" applyNumberFormat="1" applyFont="1" applyBorder="1" applyAlignment="1">
      <alignment horizontal="center"/>
    </xf>
    <xf numFmtId="3" fontId="0" fillId="13" borderId="0" xfId="0" applyNumberFormat="1" applyFont="1" applyFill="1" applyBorder="1" applyAlignment="1">
      <alignment horizontal="center"/>
    </xf>
    <xf numFmtId="3" fontId="1" fillId="0" borderId="0" xfId="0" applyNumberFormat="1" applyFont="1" applyBorder="1" applyAlignment="1">
      <alignment horizontal="center"/>
    </xf>
    <xf numFmtId="3" fontId="0" fillId="13" borderId="0" xfId="0" applyNumberFormat="1" applyFill="1" applyBorder="1"/>
    <xf numFmtId="3" fontId="0" fillId="0" borderId="0" xfId="0" applyNumberFormat="1" applyBorder="1"/>
    <xf numFmtId="3" fontId="1" fillId="0" borderId="0" xfId="0" applyNumberFormat="1" applyFont="1" applyFill="1" applyBorder="1" applyAlignment="1">
      <alignment horizontal="center"/>
    </xf>
    <xf numFmtId="3" fontId="17" fillId="0" borderId="0" xfId="0" applyNumberFormat="1" applyFont="1" applyBorder="1" applyAlignment="1">
      <alignment horizontal="center"/>
    </xf>
    <xf numFmtId="0" fontId="0" fillId="13" borderId="0" xfId="0" applyFill="1" applyBorder="1" applyAlignment="1">
      <alignment horizontal="center"/>
    </xf>
    <xf numFmtId="3" fontId="0" fillId="0" borderId="0" xfId="0" applyNumberFormat="1" applyFont="1" applyFill="1" applyBorder="1" applyAlignment="1">
      <alignment horizontal="center"/>
    </xf>
    <xf numFmtId="3" fontId="0" fillId="0" borderId="0" xfId="0" applyNumberFormat="1" applyFill="1" applyBorder="1" applyAlignment="1">
      <alignment horizontal="center"/>
    </xf>
    <xf numFmtId="3" fontId="14" fillId="13" borderId="0" xfId="0" applyNumberFormat="1" applyFont="1" applyFill="1" applyBorder="1" applyAlignment="1">
      <alignment horizontal="center"/>
    </xf>
    <xf numFmtId="0" fontId="3" fillId="2" borderId="23" xfId="0" applyNumberFormat="1" applyFont="1" applyFill="1" applyBorder="1" applyAlignment="1">
      <alignment horizontal="center"/>
    </xf>
    <xf numFmtId="3" fontId="14" fillId="0" borderId="0" xfId="0" applyNumberFormat="1" applyFont="1" applyBorder="1" applyAlignment="1">
      <alignment horizontal="center"/>
    </xf>
    <xf numFmtId="3" fontId="0" fillId="13" borderId="18" xfId="0" applyNumberFormat="1" applyFill="1" applyBorder="1" applyAlignment="1">
      <alignment horizontal="center"/>
    </xf>
    <xf numFmtId="3" fontId="0" fillId="0" borderId="20" xfId="0" applyNumberFormat="1" applyBorder="1" applyAlignment="1">
      <alignment horizontal="center"/>
    </xf>
    <xf numFmtId="3" fontId="0" fillId="13" borderId="20" xfId="0" applyNumberFormat="1" applyFill="1" applyBorder="1" applyAlignment="1">
      <alignment horizontal="center"/>
    </xf>
    <xf numFmtId="37" fontId="0" fillId="13" borderId="20" xfId="0" applyNumberFormat="1" applyFont="1" applyFill="1" applyBorder="1" applyAlignment="1">
      <alignment horizontal="center"/>
    </xf>
    <xf numFmtId="37" fontId="0" fillId="0" borderId="20" xfId="0" applyNumberFormat="1" applyFont="1" applyFill="1" applyBorder="1" applyAlignment="1">
      <alignment horizontal="center"/>
    </xf>
    <xf numFmtId="38" fontId="1" fillId="5" borderId="20" xfId="0" applyNumberFormat="1" applyFont="1" applyFill="1" applyBorder="1" applyAlignment="1">
      <alignment horizontal="center" vertical="center"/>
    </xf>
    <xf numFmtId="37" fontId="0" fillId="5" borderId="20" xfId="0" applyNumberFormat="1" applyFont="1" applyFill="1" applyBorder="1" applyAlignment="1">
      <alignment horizontal="center"/>
    </xf>
    <xf numFmtId="37" fontId="0" fillId="0" borderId="20" xfId="0" applyNumberFormat="1" applyFont="1" applyBorder="1" applyAlignment="1">
      <alignment horizontal="center"/>
    </xf>
    <xf numFmtId="38" fontId="1" fillId="5" borderId="20" xfId="0" applyNumberFormat="1" applyFont="1" applyFill="1" applyBorder="1" applyAlignment="1">
      <alignment horizontal="center"/>
    </xf>
    <xf numFmtId="3" fontId="1" fillId="13" borderId="20" xfId="0" applyNumberFormat="1" applyFont="1" applyFill="1" applyBorder="1" applyAlignment="1">
      <alignment horizontal="center"/>
    </xf>
    <xf numFmtId="38" fontId="1" fillId="0" borderId="20" xfId="0" applyNumberFormat="1" applyFont="1" applyBorder="1" applyAlignment="1">
      <alignment horizontal="center"/>
    </xf>
    <xf numFmtId="4" fontId="0" fillId="13" borderId="20" xfId="0" applyNumberFormat="1" applyFill="1" applyBorder="1" applyAlignment="1">
      <alignment horizontal="center"/>
    </xf>
    <xf numFmtId="4" fontId="0" fillId="0" borderId="20" xfId="0" applyNumberFormat="1" applyBorder="1" applyAlignment="1">
      <alignment horizontal="center"/>
    </xf>
    <xf numFmtId="39" fontId="0" fillId="5" borderId="20" xfId="0" applyNumberFormat="1" applyFont="1" applyFill="1" applyBorder="1" applyAlignment="1">
      <alignment horizontal="center"/>
    </xf>
    <xf numFmtId="39" fontId="0" fillId="0" borderId="20" xfId="0" applyNumberFormat="1" applyFont="1" applyFill="1" applyBorder="1" applyAlignment="1">
      <alignment horizontal="center"/>
    </xf>
    <xf numFmtId="37" fontId="0" fillId="13" borderId="21" xfId="2" applyNumberFormat="1" applyFont="1" applyFill="1" applyBorder="1" applyAlignment="1">
      <alignment horizontal="center"/>
    </xf>
    <xf numFmtId="39" fontId="0" fillId="5" borderId="15" xfId="0" applyNumberFormat="1" applyFont="1" applyFill="1" applyBorder="1" applyAlignment="1">
      <alignment horizontal="center"/>
    </xf>
    <xf numFmtId="39" fontId="0" fillId="5" borderId="22" xfId="0" applyNumberFormat="1" applyFont="1" applyFill="1" applyBorder="1" applyAlignment="1">
      <alignment horizontal="center"/>
    </xf>
    <xf numFmtId="37" fontId="17" fillId="0" borderId="21" xfId="0" applyNumberFormat="1" applyFont="1" applyFill="1" applyBorder="1" applyAlignment="1">
      <alignment horizontal="center"/>
    </xf>
    <xf numFmtId="37" fontId="17" fillId="0" borderId="15" xfId="0" applyNumberFormat="1" applyFont="1" applyFill="1" applyBorder="1" applyAlignment="1">
      <alignment horizontal="center"/>
    </xf>
    <xf numFmtId="0" fontId="0" fillId="13" borderId="20" xfId="0" applyFill="1" applyBorder="1"/>
    <xf numFmtId="3" fontId="0" fillId="13" borderId="20" xfId="0" applyNumberFormat="1" applyFont="1" applyFill="1" applyBorder="1" applyAlignment="1">
      <alignment horizontal="center"/>
    </xf>
    <xf numFmtId="3" fontId="1" fillId="0" borderId="20" xfId="0" applyNumberFormat="1" applyFont="1" applyBorder="1" applyAlignment="1">
      <alignment horizontal="center"/>
    </xf>
    <xf numFmtId="3" fontId="0" fillId="13" borderId="20" xfId="0" applyNumberFormat="1" applyFill="1" applyBorder="1"/>
    <xf numFmtId="3" fontId="1" fillId="0" borderId="20" xfId="0" applyNumberFormat="1" applyFont="1" applyFill="1" applyBorder="1" applyAlignment="1">
      <alignment horizontal="center"/>
    </xf>
    <xf numFmtId="3" fontId="17" fillId="0" borderId="20" xfId="0" applyNumberFormat="1" applyFont="1" applyBorder="1" applyAlignment="1">
      <alignment horizontal="center"/>
    </xf>
    <xf numFmtId="3" fontId="0" fillId="0" borderId="20" xfId="0" applyNumberFormat="1" applyFill="1" applyBorder="1" applyAlignment="1">
      <alignment horizontal="center"/>
    </xf>
    <xf numFmtId="3" fontId="14" fillId="13" borderId="20" xfId="0" applyNumberFormat="1" applyFont="1" applyFill="1" applyBorder="1" applyAlignment="1">
      <alignment horizontal="center"/>
    </xf>
    <xf numFmtId="37" fontId="17" fillId="0" borderId="22" xfId="0" applyNumberFormat="1" applyFont="1" applyFill="1" applyBorder="1" applyAlignment="1">
      <alignment horizontal="center"/>
    </xf>
    <xf numFmtId="0" fontId="20" fillId="15" borderId="1" xfId="0" applyFont="1" applyFill="1" applyBorder="1" applyAlignment="1">
      <alignment horizontal="center" vertical="center"/>
    </xf>
    <xf numFmtId="0" fontId="21" fillId="20" borderId="1" xfId="0" applyFont="1" applyFill="1" applyBorder="1" applyAlignment="1">
      <alignment horizontal="center" vertical="center"/>
    </xf>
    <xf numFmtId="0" fontId="22" fillId="20" borderId="1" xfId="0" applyFont="1" applyFill="1" applyBorder="1" applyAlignment="1">
      <alignment horizontal="left" vertical="center" wrapText="1"/>
    </xf>
    <xf numFmtId="40" fontId="21" fillId="0" borderId="1" xfId="0" applyNumberFormat="1" applyFont="1" applyBorder="1" applyAlignment="1">
      <alignment horizontal="center" vertical="center"/>
    </xf>
    <xf numFmtId="166" fontId="21" fillId="0" borderId="1" xfId="0" applyNumberFormat="1" applyFont="1" applyBorder="1" applyAlignment="1">
      <alignment horizontal="center" vertical="center"/>
    </xf>
    <xf numFmtId="167" fontId="23" fillId="0" borderId="1" xfId="0" applyNumberFormat="1" applyFont="1" applyBorder="1" applyAlignment="1">
      <alignment horizontal="center"/>
    </xf>
    <xf numFmtId="168" fontId="23" fillId="0" borderId="1" xfId="0" applyNumberFormat="1" applyFont="1" applyBorder="1" applyAlignment="1">
      <alignment horizontal="center"/>
    </xf>
    <xf numFmtId="0" fontId="24" fillId="20" borderId="1" xfId="0" applyFont="1" applyFill="1" applyBorder="1" applyAlignment="1">
      <alignment horizontal="left" vertical="center" wrapText="1"/>
    </xf>
    <xf numFmtId="0" fontId="13" fillId="0" borderId="1" xfId="0" applyFont="1" applyBorder="1" applyAlignment="1">
      <alignment horizontal="center" vertical="center"/>
    </xf>
    <xf numFmtId="40" fontId="13" fillId="0" borderId="1" xfId="0" applyNumberFormat="1" applyFont="1" applyBorder="1" applyAlignment="1">
      <alignment horizontal="center" vertical="center"/>
    </xf>
    <xf numFmtId="168" fontId="13" fillId="0" borderId="1" xfId="0" applyNumberFormat="1" applyFont="1" applyBorder="1" applyAlignment="1">
      <alignment horizontal="center"/>
    </xf>
    <xf numFmtId="0" fontId="13" fillId="15" borderId="1" xfId="0" applyFont="1" applyFill="1" applyBorder="1" applyAlignment="1">
      <alignment horizontal="center"/>
    </xf>
    <xf numFmtId="0" fontId="13" fillId="0" borderId="0" xfId="0" applyFont="1" applyAlignment="1">
      <alignment horizontal="center"/>
    </xf>
    <xf numFmtId="0" fontId="13" fillId="15" borderId="1" xfId="0" applyFont="1" applyFill="1" applyBorder="1" applyAlignment="1">
      <alignment horizontal="center" vertical="center"/>
    </xf>
    <xf numFmtId="0" fontId="13" fillId="20" borderId="1" xfId="0" applyFont="1" applyFill="1" applyBorder="1" applyAlignment="1">
      <alignment horizontal="center" vertical="center"/>
    </xf>
    <xf numFmtId="0" fontId="13" fillId="0" borderId="0" xfId="0" applyFont="1" applyAlignment="1">
      <alignment horizontal="center" vertical="center"/>
    </xf>
    <xf numFmtId="0" fontId="1" fillId="15" borderId="1" xfId="0" applyFont="1" applyFill="1" applyBorder="1" applyAlignment="1">
      <alignment horizontal="center"/>
    </xf>
    <xf numFmtId="38" fontId="0" fillId="0" borderId="0" xfId="0" applyNumberFormat="1" applyAlignment="1">
      <alignment horizontal="center" vertical="center"/>
    </xf>
    <xf numFmtId="2" fontId="0" fillId="0" borderId="1" xfId="0" applyNumberFormat="1" applyBorder="1" applyAlignment="1">
      <alignment horizontal="center" vertical="center"/>
    </xf>
    <xf numFmtId="0" fontId="1" fillId="15" borderId="1" xfId="0" applyFont="1" applyFill="1" applyBorder="1" applyAlignment="1">
      <alignment horizontal="center" vertical="center"/>
    </xf>
    <xf numFmtId="37" fontId="2" fillId="0" borderId="1" xfId="4" applyNumberFormat="1" applyFill="1" applyBorder="1" applyAlignment="1">
      <alignment horizontal="center"/>
    </xf>
    <xf numFmtId="37" fontId="0" fillId="0" borderId="1" xfId="3" applyNumberFormat="1" applyFont="1" applyBorder="1" applyAlignment="1">
      <alignment horizontal="center"/>
    </xf>
    <xf numFmtId="37" fontId="0" fillId="0" borderId="0" xfId="3" applyNumberFormat="1" applyFont="1" applyBorder="1" applyAlignment="1">
      <alignment horizontal="center"/>
    </xf>
    <xf numFmtId="4" fontId="0" fillId="0" borderId="1" xfId="0" applyNumberFormat="1" applyBorder="1" applyAlignment="1">
      <alignment horizontal="center"/>
    </xf>
    <xf numFmtId="0" fontId="1" fillId="15" borderId="1" xfId="0" applyFont="1" applyFill="1" applyBorder="1" applyAlignment="1">
      <alignment horizontal="left" wrapText="1"/>
    </xf>
    <xf numFmtId="169" fontId="0" fillId="0" borderId="1" xfId="0" applyNumberFormat="1" applyBorder="1" applyAlignment="1">
      <alignment horizontal="center" vertical="center"/>
    </xf>
    <xf numFmtId="0" fontId="0" fillId="15" borderId="1" xfId="0" applyFill="1" applyBorder="1" applyAlignment="1">
      <alignment horizontal="left"/>
    </xf>
    <xf numFmtId="0" fontId="1" fillId="15" borderId="1" xfId="0" applyFont="1" applyFill="1" applyBorder="1" applyAlignment="1">
      <alignment horizontal="left"/>
    </xf>
    <xf numFmtId="0" fontId="1" fillId="20" borderId="1" xfId="0" applyFont="1" applyFill="1" applyBorder="1" applyAlignment="1">
      <alignment horizontal="center"/>
    </xf>
    <xf numFmtId="0" fontId="0" fillId="15" borderId="2" xfId="0" applyFill="1" applyBorder="1" applyAlignment="1">
      <alignment horizontal="center"/>
    </xf>
    <xf numFmtId="0" fontId="0" fillId="15" borderId="25" xfId="0" applyFill="1" applyBorder="1" applyAlignment="1">
      <alignment horizontal="center"/>
    </xf>
    <xf numFmtId="0" fontId="0" fillId="15" borderId="23" xfId="0" applyFill="1" applyBorder="1" applyAlignment="1">
      <alignment horizontal="center"/>
    </xf>
    <xf numFmtId="0" fontId="0" fillId="8" borderId="1" xfId="0" applyFill="1" applyBorder="1" applyAlignment="1">
      <alignment horizontal="center"/>
    </xf>
    <xf numFmtId="0" fontId="0" fillId="18" borderId="2" xfId="0" applyFill="1" applyBorder="1" applyAlignment="1">
      <alignment horizontal="center"/>
    </xf>
    <xf numFmtId="0" fontId="0" fillId="18" borderId="25" xfId="0" applyFill="1" applyBorder="1" applyAlignment="1">
      <alignment horizontal="center"/>
    </xf>
    <xf numFmtId="0" fontId="0" fillId="18" borderId="23" xfId="0" applyFill="1" applyBorder="1" applyAlignment="1">
      <alignment horizontal="center"/>
    </xf>
    <xf numFmtId="2" fontId="0" fillId="21" borderId="1" xfId="0" applyNumberFormat="1" applyFill="1" applyBorder="1" applyAlignment="1">
      <alignment horizontal="center"/>
    </xf>
    <xf numFmtId="0" fontId="0" fillId="20" borderId="1" xfId="0" applyFill="1" applyBorder="1" applyAlignment="1">
      <alignment horizontal="center"/>
    </xf>
    <xf numFmtId="40" fontId="0" fillId="0" borderId="0" xfId="0" applyNumberFormat="1"/>
    <xf numFmtId="0" fontId="16" fillId="15" borderId="1" xfId="0" applyFont="1" applyFill="1" applyBorder="1"/>
    <xf numFmtId="40" fontId="0" fillId="0" borderId="1" xfId="0" applyNumberFormat="1" applyBorder="1" applyAlignment="1">
      <alignment horizontal="center"/>
    </xf>
    <xf numFmtId="168" fontId="0" fillId="0" borderId="1" xfId="0" applyNumberFormat="1" applyBorder="1" applyAlignment="1">
      <alignment horizontal="center"/>
    </xf>
    <xf numFmtId="0" fontId="16" fillId="15" borderId="1" xfId="0" applyFont="1" applyFill="1" applyBorder="1" applyAlignment="1">
      <alignment horizontal="center"/>
    </xf>
    <xf numFmtId="171" fontId="26" fillId="0" borderId="10" xfId="3" applyNumberFormat="1" applyFont="1" applyBorder="1" applyAlignment="1">
      <alignment horizontal="center" vertical="center"/>
    </xf>
    <xf numFmtId="0" fontId="0" fillId="0" borderId="0" xfId="0"/>
    <xf numFmtId="0" fontId="25" fillId="0" borderId="0" xfId="0" applyFont="1" applyAlignment="1">
      <alignment horizontal="center" vertical="center"/>
    </xf>
    <xf numFmtId="0" fontId="19" fillId="0" borderId="0" xfId="0" applyFont="1"/>
    <xf numFmtId="0" fontId="25" fillId="0" borderId="0" xfId="0" applyFont="1" applyAlignment="1">
      <alignment horizontal="left" vertical="center"/>
    </xf>
    <xf numFmtId="0" fontId="26" fillId="0" borderId="9" xfId="0" applyFont="1" applyBorder="1" applyAlignment="1">
      <alignment horizontal="center" vertical="center"/>
    </xf>
    <xf numFmtId="0" fontId="26" fillId="0" borderId="10" xfId="0" applyFont="1" applyBorder="1" applyAlignment="1">
      <alignment horizontal="center" vertical="center"/>
    </xf>
    <xf numFmtId="171" fontId="25" fillId="0" borderId="0" xfId="0" applyNumberFormat="1" applyFont="1" applyAlignment="1">
      <alignment horizontal="center" vertical="center"/>
    </xf>
    <xf numFmtId="2" fontId="25" fillId="0" borderId="0" xfId="0" applyNumberFormat="1" applyFont="1" applyAlignment="1">
      <alignment horizontal="center" vertical="center"/>
    </xf>
    <xf numFmtId="2" fontId="25" fillId="0" borderId="12" xfId="0" applyNumberFormat="1" applyFont="1" applyBorder="1" applyAlignment="1">
      <alignment horizontal="center" vertical="center"/>
    </xf>
    <xf numFmtId="172" fontId="25" fillId="0" borderId="6" xfId="0" applyNumberFormat="1" applyFont="1" applyBorder="1" applyAlignment="1">
      <alignment horizontal="center" vertical="center"/>
    </xf>
    <xf numFmtId="2" fontId="25" fillId="0" borderId="6" xfId="0" applyNumberFormat="1" applyFont="1" applyBorder="1" applyAlignment="1">
      <alignment horizontal="center" vertical="center"/>
    </xf>
    <xf numFmtId="2" fontId="25" fillId="0" borderId="14" xfId="0" applyNumberFormat="1" applyFont="1" applyBorder="1" applyAlignment="1">
      <alignment horizontal="center" vertical="center"/>
    </xf>
    <xf numFmtId="0" fontId="26" fillId="0" borderId="0" xfId="0" applyFont="1" applyAlignment="1">
      <alignment horizontal="left" vertical="center"/>
    </xf>
    <xf numFmtId="2" fontId="26" fillId="0" borderId="0" xfId="0" applyNumberFormat="1" applyFont="1" applyAlignment="1">
      <alignment horizontal="center" vertical="center"/>
    </xf>
    <xf numFmtId="8" fontId="25" fillId="0" borderId="0" xfId="0" applyNumberFormat="1" applyFont="1" applyAlignment="1">
      <alignment horizontal="center" vertical="center"/>
    </xf>
    <xf numFmtId="43" fontId="25" fillId="0" borderId="0" xfId="0" applyNumberFormat="1" applyFont="1" applyAlignment="1">
      <alignment horizontal="center" vertical="center"/>
    </xf>
    <xf numFmtId="2" fontId="25" fillId="0" borderId="9" xfId="0" applyNumberFormat="1" applyFont="1" applyBorder="1" applyAlignment="1">
      <alignment horizontal="center" vertical="center"/>
    </xf>
    <xf numFmtId="2" fontId="25" fillId="0" borderId="10" xfId="0" applyNumberFormat="1" applyFont="1" applyBorder="1" applyAlignment="1">
      <alignment horizontal="center" vertical="center"/>
    </xf>
    <xf numFmtId="4" fontId="25" fillId="0" borderId="12" xfId="0" applyNumberFormat="1" applyFont="1" applyBorder="1" applyAlignment="1">
      <alignment horizontal="center" vertical="center"/>
    </xf>
    <xf numFmtId="10" fontId="26" fillId="0" borderId="12" xfId="0" applyNumberFormat="1" applyFont="1" applyBorder="1" applyAlignment="1">
      <alignment horizontal="center" vertical="center"/>
    </xf>
    <xf numFmtId="0" fontId="25" fillId="0" borderId="0" xfId="0" applyFont="1" applyAlignment="1">
      <alignment vertical="center"/>
    </xf>
    <xf numFmtId="169" fontId="31" fillId="0" borderId="12" xfId="0" applyNumberFormat="1" applyFont="1" applyBorder="1" applyAlignment="1">
      <alignment horizontal="center"/>
    </xf>
    <xf numFmtId="0" fontId="27" fillId="0" borderId="0" xfId="0" applyFont="1" applyAlignment="1">
      <alignment vertical="center"/>
    </xf>
    <xf numFmtId="0" fontId="32" fillId="0" borderId="0" xfId="0" applyFont="1" applyAlignment="1">
      <alignment vertical="center"/>
    </xf>
    <xf numFmtId="10" fontId="25" fillId="0" borderId="12" xfId="0" applyNumberFormat="1" applyFont="1" applyBorder="1" applyAlignment="1">
      <alignment horizontal="center" vertical="center"/>
    </xf>
    <xf numFmtId="49" fontId="27" fillId="0" borderId="0" xfId="0" applyNumberFormat="1" applyFont="1" applyAlignment="1">
      <alignment vertical="center"/>
    </xf>
    <xf numFmtId="2" fontId="26" fillId="0" borderId="12" xfId="0" applyNumberFormat="1" applyFont="1" applyBorder="1" applyAlignment="1">
      <alignment horizontal="center" vertical="center"/>
    </xf>
    <xf numFmtId="0" fontId="26" fillId="0" borderId="12" xfId="0" applyFont="1" applyBorder="1" applyAlignment="1">
      <alignment horizontal="center" vertical="center"/>
    </xf>
    <xf numFmtId="0" fontId="26" fillId="0" borderId="0" xfId="0" applyFont="1" applyAlignment="1">
      <alignment vertical="center" wrapText="1"/>
    </xf>
    <xf numFmtId="164" fontId="26" fillId="0" borderId="0" xfId="0" applyNumberFormat="1" applyFont="1" applyAlignment="1">
      <alignment horizontal="center" vertical="center"/>
    </xf>
    <xf numFmtId="164" fontId="26" fillId="0" borderId="20" xfId="0" applyNumberFormat="1" applyFont="1" applyBorder="1" applyAlignment="1">
      <alignment horizontal="center" vertical="center"/>
    </xf>
    <xf numFmtId="2" fontId="25" fillId="0" borderId="20" xfId="0" applyNumberFormat="1" applyFont="1" applyBorder="1" applyAlignment="1">
      <alignment horizontal="center" vertical="center"/>
    </xf>
    <xf numFmtId="2" fontId="28" fillId="0" borderId="32" xfId="0" applyNumberFormat="1" applyFont="1" applyBorder="1" applyAlignment="1">
      <alignment horizontal="center" vertical="center"/>
    </xf>
    <xf numFmtId="2" fontId="25" fillId="0" borderId="15" xfId="0" applyNumberFormat="1" applyFont="1" applyBorder="1" applyAlignment="1">
      <alignment horizontal="center" vertical="center"/>
    </xf>
    <xf numFmtId="2" fontId="25" fillId="0" borderId="22" xfId="0" applyNumberFormat="1" applyFont="1" applyBorder="1" applyAlignment="1">
      <alignment horizontal="center" vertical="center"/>
    </xf>
    <xf numFmtId="43" fontId="25" fillId="0" borderId="20" xfId="0" applyNumberFormat="1" applyFont="1" applyBorder="1" applyAlignment="1">
      <alignment horizontal="center" vertical="center"/>
    </xf>
    <xf numFmtId="2" fontId="26" fillId="0" borderId="7" xfId="0" applyNumberFormat="1" applyFont="1" applyBorder="1" applyAlignment="1">
      <alignment horizontal="center" vertical="center"/>
    </xf>
    <xf numFmtId="43" fontId="25" fillId="0" borderId="7" xfId="0" applyNumberFormat="1" applyFont="1" applyBorder="1" applyAlignment="1">
      <alignment horizontal="center" vertical="center"/>
    </xf>
    <xf numFmtId="10" fontId="25" fillId="0" borderId="7" xfId="0" applyNumberFormat="1" applyFont="1" applyBorder="1" applyAlignment="1">
      <alignment horizontal="center" vertical="center"/>
    </xf>
    <xf numFmtId="43" fontId="25" fillId="0" borderId="18" xfId="0" applyNumberFormat="1" applyFont="1" applyBorder="1" applyAlignment="1">
      <alignment horizontal="center" vertical="center"/>
    </xf>
    <xf numFmtId="2" fontId="26" fillId="0" borderId="15" xfId="0" applyNumberFormat="1" applyFont="1" applyBorder="1" applyAlignment="1">
      <alignment horizontal="center" vertical="center"/>
    </xf>
    <xf numFmtId="43" fontId="25" fillId="0" borderId="15" xfId="0" applyNumberFormat="1" applyFont="1" applyBorder="1" applyAlignment="1">
      <alignment horizontal="center" vertical="center"/>
    </xf>
    <xf numFmtId="10" fontId="25" fillId="0" borderId="15" xfId="0" applyNumberFormat="1" applyFont="1" applyBorder="1" applyAlignment="1">
      <alignment horizontal="center" vertical="center"/>
    </xf>
    <xf numFmtId="43" fontId="25" fillId="0" borderId="22" xfId="0" applyNumberFormat="1" applyFont="1" applyBorder="1" applyAlignment="1">
      <alignment horizontal="center" vertical="center"/>
    </xf>
    <xf numFmtId="168" fontId="25" fillId="0" borderId="0" xfId="0" applyNumberFormat="1" applyFont="1" applyAlignment="1">
      <alignment horizontal="center" vertical="center"/>
    </xf>
    <xf numFmtId="168" fontId="25" fillId="0" borderId="20" xfId="0" applyNumberFormat="1" applyFont="1" applyBorder="1" applyAlignment="1">
      <alignment horizontal="center" vertical="center"/>
    </xf>
    <xf numFmtId="168" fontId="26" fillId="0" borderId="32" xfId="0" applyNumberFormat="1" applyFont="1" applyBorder="1" applyAlignment="1">
      <alignment horizontal="center" vertical="center"/>
    </xf>
    <xf numFmtId="170" fontId="25" fillId="0" borderId="15" xfId="0" applyNumberFormat="1" applyFont="1" applyBorder="1" applyAlignment="1">
      <alignment horizontal="center" vertical="center"/>
    </xf>
    <xf numFmtId="0" fontId="25" fillId="0" borderId="15" xfId="0" applyFont="1" applyBorder="1" applyAlignment="1">
      <alignment horizontal="center" vertical="center"/>
    </xf>
    <xf numFmtId="37" fontId="25" fillId="0" borderId="0" xfId="0" applyNumberFormat="1" applyFont="1" applyAlignment="1">
      <alignment horizontal="center" vertical="center"/>
    </xf>
    <xf numFmtId="0" fontId="1" fillId="6" borderId="15" xfId="0" applyFont="1" applyFill="1" applyBorder="1" applyAlignment="1">
      <alignment horizontal="center"/>
    </xf>
    <xf numFmtId="0" fontId="0" fillId="6" borderId="15" xfId="0" applyFill="1" applyBorder="1" applyAlignment="1">
      <alignment horizontal="center"/>
    </xf>
    <xf numFmtId="0" fontId="9" fillId="0" borderId="0" xfId="0" applyFont="1" applyAlignment="1">
      <alignment horizontal="center"/>
    </xf>
    <xf numFmtId="0" fontId="9" fillId="0" borderId="15" xfId="0" applyFont="1" applyBorder="1" applyAlignment="1">
      <alignment horizontal="center"/>
    </xf>
    <xf numFmtId="0" fontId="13" fillId="14" borderId="4" xfId="0" applyFont="1" applyFill="1" applyBorder="1" applyAlignment="1">
      <alignment horizontal="center" vertical="center"/>
    </xf>
    <xf numFmtId="0" fontId="13" fillId="14" borderId="7" xfId="0" applyFont="1" applyFill="1" applyBorder="1" applyAlignment="1">
      <alignment horizontal="center" vertical="center"/>
    </xf>
    <xf numFmtId="0" fontId="13" fillId="14" borderId="18" xfId="0" applyFont="1" applyFill="1" applyBorder="1" applyAlignment="1">
      <alignment horizontal="center" vertical="center"/>
    </xf>
    <xf numFmtId="0" fontId="13" fillId="14" borderId="21" xfId="0" applyFont="1" applyFill="1" applyBorder="1" applyAlignment="1">
      <alignment horizontal="center" vertical="center"/>
    </xf>
    <xf numFmtId="0" fontId="13" fillId="14" borderId="15" xfId="0" applyFont="1" applyFill="1" applyBorder="1" applyAlignment="1">
      <alignment horizontal="center" vertical="center"/>
    </xf>
    <xf numFmtId="0" fontId="13" fillId="14" borderId="22" xfId="0" applyFont="1" applyFill="1" applyBorder="1" applyAlignment="1">
      <alignment horizontal="center" vertical="center"/>
    </xf>
    <xf numFmtId="0" fontId="11" fillId="0" borderId="0" xfId="0" applyFont="1" applyBorder="1" applyAlignment="1">
      <alignment horizontal="center"/>
    </xf>
    <xf numFmtId="0" fontId="8" fillId="0" borderId="8" xfId="0" applyFont="1" applyBorder="1" applyAlignment="1">
      <alignment horizontal="center" wrapText="1"/>
    </xf>
    <xf numFmtId="0" fontId="8" fillId="0" borderId="9" xfId="0" applyFont="1" applyBorder="1" applyAlignment="1">
      <alignment horizontal="center" wrapText="1"/>
    </xf>
    <xf numFmtId="0" fontId="5" fillId="0" borderId="11" xfId="0" applyFont="1" applyBorder="1" applyAlignment="1">
      <alignment horizontal="center" wrapText="1"/>
    </xf>
    <xf numFmtId="0" fontId="5" fillId="0" borderId="0" xfId="0" applyFont="1" applyBorder="1" applyAlignment="1">
      <alignment horizontal="center" wrapText="1"/>
    </xf>
    <xf numFmtId="0" fontId="8" fillId="0" borderId="11" xfId="0" applyFont="1" applyBorder="1" applyAlignment="1">
      <alignment horizontal="center" wrapText="1"/>
    </xf>
    <xf numFmtId="0" fontId="8" fillId="0" borderId="0" xfId="0" applyFont="1" applyBorder="1" applyAlignment="1">
      <alignment horizontal="center" wrapText="1"/>
    </xf>
    <xf numFmtId="10" fontId="1" fillId="0" borderId="9" xfId="1" applyNumberFormat="1" applyFont="1" applyBorder="1" applyAlignment="1">
      <alignment horizontal="center"/>
    </xf>
    <xf numFmtId="10" fontId="1" fillId="0" borderId="10" xfId="1" applyNumberFormat="1" applyFont="1" applyBorder="1" applyAlignment="1">
      <alignment horizontal="center"/>
    </xf>
    <xf numFmtId="10" fontId="1" fillId="0" borderId="0" xfId="0" applyNumberFormat="1" applyFont="1" applyBorder="1" applyAlignment="1">
      <alignment horizontal="center"/>
    </xf>
    <xf numFmtId="10" fontId="1" fillId="0" borderId="12" xfId="0" applyNumberFormat="1" applyFont="1" applyBorder="1" applyAlignment="1">
      <alignment horizontal="center"/>
    </xf>
    <xf numFmtId="0" fontId="0" fillId="0" borderId="21" xfId="0" applyBorder="1" applyAlignment="1">
      <alignment horizontal="center"/>
    </xf>
    <xf numFmtId="0" fontId="0" fillId="0" borderId="15" xfId="0" applyBorder="1" applyAlignment="1">
      <alignment horizontal="center"/>
    </xf>
    <xf numFmtId="0" fontId="5" fillId="0" borderId="13" xfId="0" applyFont="1" applyBorder="1" applyAlignment="1">
      <alignment horizontal="center" wrapText="1"/>
    </xf>
    <xf numFmtId="0" fontId="5" fillId="0" borderId="6" xfId="0" applyFont="1" applyBorder="1" applyAlignment="1">
      <alignment horizontal="center" wrapText="1"/>
    </xf>
    <xf numFmtId="9" fontId="1" fillId="0" borderId="0" xfId="0" applyNumberFormat="1" applyFont="1" applyBorder="1" applyAlignment="1">
      <alignment horizontal="center"/>
    </xf>
    <xf numFmtId="9" fontId="1" fillId="0" borderId="12" xfId="0" applyNumberFormat="1" applyFont="1" applyBorder="1" applyAlignment="1">
      <alignment horizontal="center"/>
    </xf>
    <xf numFmtId="0" fontId="10" fillId="0" borderId="0" xfId="0" applyFont="1" applyAlignment="1">
      <alignment horizontal="center"/>
    </xf>
    <xf numFmtId="10" fontId="1" fillId="0" borderId="6" xfId="0" applyNumberFormat="1" applyFont="1" applyBorder="1" applyAlignment="1">
      <alignment horizontal="center"/>
    </xf>
    <xf numFmtId="10" fontId="1" fillId="0" borderId="14" xfId="0" applyNumberFormat="1" applyFont="1" applyBorder="1" applyAlignment="1">
      <alignment horizontal="center"/>
    </xf>
    <xf numFmtId="0" fontId="1" fillId="0" borderId="19" xfId="0" applyFont="1" applyBorder="1" applyAlignment="1">
      <alignment horizontal="center" wrapText="1"/>
    </xf>
    <xf numFmtId="0" fontId="1" fillId="0" borderId="0" xfId="0" applyFont="1" applyBorder="1" applyAlignment="1">
      <alignment horizontal="center" wrapText="1"/>
    </xf>
    <xf numFmtId="0" fontId="0" fillId="0" borderId="2" xfId="0" applyBorder="1" applyAlignment="1">
      <alignment horizontal="center"/>
    </xf>
    <xf numFmtId="0" fontId="0" fillId="0" borderId="25" xfId="0" applyBorder="1" applyAlignment="1">
      <alignment horizontal="center"/>
    </xf>
    <xf numFmtId="0" fontId="0" fillId="0" borderId="19" xfId="0" applyBorder="1" applyAlignment="1">
      <alignment horizontal="center"/>
    </xf>
    <xf numFmtId="0" fontId="0" fillId="0" borderId="0" xfId="0" applyBorder="1" applyAlignment="1">
      <alignment horizontal="center"/>
    </xf>
    <xf numFmtId="0" fontId="9" fillId="6" borderId="2" xfId="0" applyFont="1" applyFill="1" applyBorder="1" applyAlignment="1">
      <alignment horizontal="center"/>
    </xf>
    <xf numFmtId="0" fontId="9" fillId="6" borderId="25" xfId="0" applyFont="1" applyFill="1" applyBorder="1" applyAlignment="1">
      <alignment horizontal="center"/>
    </xf>
    <xf numFmtId="0" fontId="9" fillId="6" borderId="23" xfId="0" applyFont="1" applyFill="1" applyBorder="1" applyAlignment="1">
      <alignment horizontal="center"/>
    </xf>
    <xf numFmtId="0" fontId="11" fillId="0" borderId="26" xfId="0" applyFont="1" applyBorder="1" applyAlignment="1">
      <alignment horizontal="center"/>
    </xf>
    <xf numFmtId="0" fontId="11" fillId="0" borderId="27" xfId="0" applyFont="1" applyBorder="1" applyAlignment="1">
      <alignment horizontal="center"/>
    </xf>
    <xf numFmtId="0" fontId="11" fillId="0" borderId="28" xfId="0" applyFont="1" applyBorder="1" applyAlignment="1">
      <alignment horizontal="center"/>
    </xf>
    <xf numFmtId="10" fontId="1" fillId="0" borderId="0" xfId="1" applyNumberFormat="1" applyFont="1" applyBorder="1" applyAlignment="1">
      <alignment horizontal="center"/>
    </xf>
    <xf numFmtId="10" fontId="1" fillId="0" borderId="12" xfId="1" applyNumberFormat="1" applyFont="1" applyBorder="1" applyAlignment="1">
      <alignment horizontal="center"/>
    </xf>
    <xf numFmtId="0" fontId="26" fillId="0" borderId="7" xfId="0" applyFont="1" applyBorder="1" applyAlignment="1">
      <alignment horizontal="center" vertical="center"/>
    </xf>
    <xf numFmtId="0" fontId="0" fillId="0" borderId="0" xfId="0"/>
    <xf numFmtId="49" fontId="27" fillId="0" borderId="0" xfId="0" applyNumberFormat="1" applyFont="1" applyAlignment="1">
      <alignment vertical="center" wrapText="1"/>
    </xf>
    <xf numFmtId="0" fontId="27" fillId="0" borderId="0" xfId="0" applyFont="1" applyAlignment="1">
      <alignment vertical="center" wrapText="1"/>
    </xf>
    <xf numFmtId="0" fontId="28" fillId="22" borderId="2" xfId="0" applyFont="1" applyFill="1" applyBorder="1" applyAlignment="1">
      <alignment horizontal="center" vertical="center"/>
    </xf>
    <xf numFmtId="0" fontId="28" fillId="22" borderId="25" xfId="0" applyFont="1" applyFill="1" applyBorder="1" applyAlignment="1">
      <alignment horizontal="center" vertical="center"/>
    </xf>
    <xf numFmtId="0" fontId="28" fillId="22" borderId="23" xfId="0" applyFont="1" applyFill="1" applyBorder="1" applyAlignment="1">
      <alignment horizontal="center" vertical="center"/>
    </xf>
    <xf numFmtId="0" fontId="26" fillId="0" borderId="18" xfId="0" applyFont="1" applyBorder="1" applyAlignment="1">
      <alignment horizontal="center" vertical="center"/>
    </xf>
    <xf numFmtId="0" fontId="25" fillId="0" borderId="6" xfId="0" applyFont="1" applyBorder="1" applyAlignment="1">
      <alignment horizontal="left" vertical="center"/>
    </xf>
    <xf numFmtId="0" fontId="29" fillId="0" borderId="6" xfId="0" applyFont="1" applyBorder="1"/>
    <xf numFmtId="0" fontId="25" fillId="0" borderId="0" xfId="0" applyFont="1" applyAlignment="1">
      <alignment vertical="center" wrapText="1"/>
    </xf>
    <xf numFmtId="0" fontId="27" fillId="0" borderId="0" xfId="0" applyFont="1" applyAlignment="1">
      <alignment horizontal="left" vertical="center"/>
    </xf>
    <xf numFmtId="0" fontId="13" fillId="18" borderId="1" xfId="0" applyFont="1" applyFill="1" applyBorder="1" applyAlignment="1">
      <alignment horizontal="center"/>
    </xf>
    <xf numFmtId="0" fontId="13" fillId="2" borderId="1" xfId="0" applyFont="1" applyFill="1" applyBorder="1" applyAlignment="1">
      <alignment horizontal="center"/>
    </xf>
    <xf numFmtId="0" fontId="1" fillId="15" borderId="1" xfId="0" applyFont="1" applyFill="1" applyBorder="1" applyAlignment="1">
      <alignment horizontal="left" vertical="center"/>
    </xf>
    <xf numFmtId="0" fontId="1" fillId="15" borderId="1" xfId="0" applyFont="1" applyFill="1" applyBorder="1" applyAlignment="1">
      <alignment horizontal="center" wrapText="1"/>
    </xf>
    <xf numFmtId="171" fontId="25" fillId="0" borderId="0" xfId="0" applyNumberFormat="1" applyFont="1" applyBorder="1" applyAlignment="1">
      <alignment horizontal="center" vertical="center"/>
    </xf>
    <xf numFmtId="2" fontId="25" fillId="0" borderId="0" xfId="0" applyNumberFormat="1" applyFont="1" applyBorder="1" applyAlignment="1">
      <alignment horizontal="center" vertical="center"/>
    </xf>
    <xf numFmtId="0" fontId="25" fillId="0" borderId="12" xfId="0" applyFont="1" applyBorder="1" applyAlignment="1">
      <alignment horizontal="center" vertical="center"/>
    </xf>
    <xf numFmtId="0" fontId="25" fillId="0" borderId="14" xfId="0" applyFont="1" applyBorder="1" applyAlignment="1">
      <alignment horizontal="center" vertical="center"/>
    </xf>
    <xf numFmtId="1" fontId="25" fillId="0" borderId="0" xfId="0" applyNumberFormat="1" applyFont="1" applyBorder="1" applyAlignment="1">
      <alignment horizontal="center" vertical="center"/>
    </xf>
    <xf numFmtId="3" fontId="35" fillId="0" borderId="0" xfId="0" applyNumberFormat="1" applyFont="1"/>
    <xf numFmtId="0" fontId="26" fillId="3" borderId="11" xfId="0" applyFont="1" applyFill="1" applyBorder="1" applyAlignment="1">
      <alignment horizontal="left" vertical="center"/>
    </xf>
    <xf numFmtId="0" fontId="25" fillId="3" borderId="11" xfId="0" applyFont="1" applyFill="1" applyBorder="1" applyAlignment="1">
      <alignment horizontal="left" vertical="center"/>
    </xf>
    <xf numFmtId="0" fontId="26" fillId="3" borderId="11" xfId="0" applyFont="1" applyFill="1" applyBorder="1" applyAlignment="1">
      <alignment horizontal="left" vertical="center" wrapText="1"/>
    </xf>
    <xf numFmtId="0" fontId="25" fillId="3" borderId="11" xfId="0" applyFont="1" applyFill="1" applyBorder="1" applyAlignment="1">
      <alignment vertical="center"/>
    </xf>
    <xf numFmtId="0" fontId="26" fillId="3" borderId="13" xfId="0" applyFont="1" applyFill="1" applyBorder="1" applyAlignment="1">
      <alignment horizontal="left" vertical="center"/>
    </xf>
    <xf numFmtId="0" fontId="26" fillId="3" borderId="0" xfId="0" applyFont="1" applyFill="1" applyAlignment="1">
      <alignment horizontal="left" vertical="center"/>
    </xf>
    <xf numFmtId="0" fontId="25" fillId="3" borderId="0" xfId="0" applyFont="1" applyFill="1" applyAlignment="1">
      <alignment horizontal="center" vertical="center"/>
    </xf>
    <xf numFmtId="0" fontId="26" fillId="3" borderId="0" xfId="0" applyFont="1" applyFill="1" applyAlignment="1">
      <alignment vertical="center" wrapText="1"/>
    </xf>
    <xf numFmtId="0" fontId="25" fillId="3" borderId="13" xfId="0" applyFont="1" applyFill="1" applyBorder="1" applyAlignment="1">
      <alignment horizontal="left" vertical="center"/>
    </xf>
    <xf numFmtId="0" fontId="25" fillId="3" borderId="0" xfId="0" applyFont="1" applyFill="1" applyAlignment="1">
      <alignment horizontal="left" vertical="center"/>
    </xf>
    <xf numFmtId="1" fontId="25" fillId="3" borderId="0" xfId="0" applyNumberFormat="1" applyFont="1" applyFill="1" applyBorder="1" applyAlignment="1">
      <alignment horizontal="center" vertical="center"/>
    </xf>
    <xf numFmtId="171" fontId="25" fillId="3" borderId="0" xfId="0" applyNumberFormat="1" applyFont="1" applyFill="1" applyBorder="1" applyAlignment="1">
      <alignment horizontal="center" vertical="center"/>
    </xf>
    <xf numFmtId="0" fontId="25" fillId="3" borderId="8" xfId="0" applyFont="1" applyFill="1" applyBorder="1" applyAlignment="1">
      <alignment horizontal="left" vertical="center" wrapText="1"/>
    </xf>
    <xf numFmtId="0" fontId="25" fillId="3" borderId="13" xfId="0" applyFont="1" applyFill="1" applyBorder="1" applyAlignment="1">
      <alignment horizontal="left" vertical="center" wrapText="1"/>
    </xf>
    <xf numFmtId="0" fontId="26" fillId="3" borderId="8" xfId="0" applyFont="1" applyFill="1" applyBorder="1" applyAlignment="1">
      <alignment horizontal="center" vertical="center"/>
    </xf>
    <xf numFmtId="10" fontId="26" fillId="3" borderId="14" xfId="1" applyNumberFormat="1" applyFont="1" applyFill="1" applyBorder="1" applyAlignment="1"/>
    <xf numFmtId="0" fontId="28" fillId="22" borderId="11" xfId="0" applyFont="1" applyFill="1" applyBorder="1" applyAlignment="1">
      <alignment horizontal="left" vertical="center"/>
    </xf>
    <xf numFmtId="0" fontId="29" fillId="22" borderId="0" xfId="0" applyFont="1" applyFill="1" applyBorder="1"/>
    <xf numFmtId="0" fontId="25" fillId="22" borderId="12" xfId="0" applyFont="1" applyFill="1" applyBorder="1" applyAlignment="1">
      <alignment horizontal="center" vertical="center"/>
    </xf>
    <xf numFmtId="0" fontId="26" fillId="22" borderId="8" xfId="0" applyFont="1" applyFill="1" applyBorder="1" applyAlignment="1">
      <alignment horizontal="left" vertical="center"/>
    </xf>
    <xf numFmtId="0" fontId="29" fillId="22" borderId="9" xfId="0" applyFont="1" applyFill="1" applyBorder="1"/>
    <xf numFmtId="0" fontId="26" fillId="22" borderId="13" xfId="0" applyFont="1" applyFill="1" applyBorder="1" applyAlignment="1">
      <alignment horizontal="left" vertical="center"/>
    </xf>
    <xf numFmtId="0" fontId="29" fillId="22" borderId="6" xfId="0" applyFont="1" applyFill="1" applyBorder="1"/>
    <xf numFmtId="0" fontId="25" fillId="22" borderId="8" xfId="0" applyFont="1" applyFill="1" applyBorder="1" applyAlignment="1">
      <alignment horizontal="left" vertical="center"/>
    </xf>
    <xf numFmtId="0" fontId="25" fillId="22" borderId="11" xfId="0" applyFont="1" applyFill="1" applyBorder="1" applyAlignment="1">
      <alignment horizontal="left" vertical="center"/>
    </xf>
    <xf numFmtId="3" fontId="25" fillId="3" borderId="12" xfId="0" applyNumberFormat="1" applyFont="1" applyFill="1" applyBorder="1" applyAlignment="1">
      <alignment horizontal="center"/>
    </xf>
    <xf numFmtId="3" fontId="25" fillId="0" borderId="0" xfId="0" applyNumberFormat="1" applyFont="1" applyBorder="1" applyAlignment="1">
      <alignment horizontal="center"/>
    </xf>
    <xf numFmtId="3" fontId="25" fillId="0" borderId="12" xfId="0" applyNumberFormat="1" applyFont="1" applyBorder="1" applyAlignment="1">
      <alignment horizontal="center"/>
    </xf>
    <xf numFmtId="37" fontId="25" fillId="3" borderId="0" xfId="0" applyNumberFormat="1" applyFont="1" applyFill="1" applyBorder="1" applyAlignment="1">
      <alignment horizontal="center"/>
    </xf>
    <xf numFmtId="2" fontId="26" fillId="25" borderId="10" xfId="0" applyNumberFormat="1" applyFont="1" applyFill="1" applyBorder="1" applyAlignment="1">
      <alignment horizontal="center" vertical="center"/>
    </xf>
    <xf numFmtId="2" fontId="26" fillId="25" borderId="14" xfId="0" applyNumberFormat="1" applyFont="1" applyFill="1" applyBorder="1" applyAlignment="1">
      <alignment horizontal="center" vertical="center"/>
    </xf>
    <xf numFmtId="2" fontId="26" fillId="25" borderId="6" xfId="0" applyNumberFormat="1" applyFont="1" applyFill="1" applyBorder="1" applyAlignment="1">
      <alignment horizontal="center" vertical="center"/>
    </xf>
    <xf numFmtId="0" fontId="30" fillId="25" borderId="0" xfId="0" applyFont="1" applyFill="1" applyAlignment="1">
      <alignment vertical="center" wrapText="1"/>
    </xf>
    <xf numFmtId="0" fontId="29" fillId="14" borderId="0" xfId="0" applyFont="1" applyFill="1"/>
    <xf numFmtId="0" fontId="34" fillId="0" borderId="0" xfId="5" applyAlignment="1">
      <alignment vertical="center" wrapText="1"/>
    </xf>
    <xf numFmtId="0" fontId="9" fillId="0" borderId="0" xfId="0" applyFont="1"/>
    <xf numFmtId="0" fontId="36" fillId="0" borderId="0" xfId="0" applyFont="1" applyAlignment="1">
      <alignment vertical="center" wrapText="1"/>
    </xf>
    <xf numFmtId="0" fontId="1" fillId="3" borderId="33" xfId="0" applyFont="1" applyFill="1" applyBorder="1" applyAlignment="1">
      <alignment horizontal="center" vertical="center"/>
    </xf>
    <xf numFmtId="0" fontId="1" fillId="3" borderId="34" xfId="0" applyFont="1" applyFill="1" applyBorder="1" applyAlignment="1">
      <alignment horizontal="center" vertical="center"/>
    </xf>
    <xf numFmtId="0" fontId="0" fillId="3" borderId="35" xfId="0" applyFill="1" applyBorder="1" applyAlignment="1">
      <alignment horizontal="center" vertical="center"/>
    </xf>
    <xf numFmtId="0" fontId="0" fillId="3" borderId="36" xfId="0" applyFill="1" applyBorder="1" applyAlignment="1">
      <alignment horizontal="center" vertical="center"/>
    </xf>
    <xf numFmtId="0" fontId="25" fillId="3" borderId="11" xfId="0" applyFont="1" applyFill="1" applyBorder="1" applyAlignment="1">
      <alignment horizontal="center" vertical="center"/>
    </xf>
    <xf numFmtId="43" fontId="26" fillId="0" borderId="12" xfId="0" applyNumberFormat="1" applyFont="1" applyBorder="1" applyAlignment="1">
      <alignment horizontal="center" vertical="center"/>
    </xf>
    <xf numFmtId="2" fontId="25" fillId="0" borderId="10" xfId="0" applyNumberFormat="1" applyFont="1" applyBorder="1" applyAlignment="1">
      <alignment horizontal="center"/>
    </xf>
    <xf numFmtId="0" fontId="26" fillId="3" borderId="4" xfId="0" applyFont="1" applyFill="1" applyBorder="1" applyAlignment="1">
      <alignment horizontal="center" vertical="center"/>
    </xf>
    <xf numFmtId="2" fontId="26" fillId="26" borderId="19" xfId="0" applyNumberFormat="1" applyFont="1" applyFill="1" applyBorder="1" applyAlignment="1">
      <alignment horizontal="center" vertical="center"/>
    </xf>
    <xf numFmtId="10" fontId="26" fillId="3" borderId="19" xfId="0" applyNumberFormat="1" applyFont="1" applyFill="1" applyBorder="1" applyAlignment="1">
      <alignment horizontal="center" vertical="center"/>
    </xf>
    <xf numFmtId="10" fontId="26" fillId="3" borderId="21" xfId="0" applyNumberFormat="1" applyFont="1" applyFill="1" applyBorder="1" applyAlignment="1">
      <alignment horizontal="center" vertical="center"/>
    </xf>
    <xf numFmtId="10" fontId="26" fillId="3" borderId="4" xfId="0" applyNumberFormat="1" applyFont="1" applyFill="1" applyBorder="1" applyAlignment="1">
      <alignment horizontal="left" vertical="center"/>
    </xf>
    <xf numFmtId="10" fontId="26" fillId="3" borderId="21" xfId="0" applyNumberFormat="1" applyFont="1" applyFill="1" applyBorder="1" applyAlignment="1">
      <alignment horizontal="left" vertical="center"/>
    </xf>
    <xf numFmtId="2" fontId="26" fillId="3" borderId="19" xfId="0" applyNumberFormat="1" applyFont="1" applyFill="1" applyBorder="1" applyAlignment="1">
      <alignment horizontal="center" vertical="center"/>
    </xf>
    <xf numFmtId="0" fontId="26" fillId="3" borderId="19" xfId="0" applyFont="1" applyFill="1" applyBorder="1" applyAlignment="1">
      <alignment horizontal="center" vertical="center"/>
    </xf>
    <xf numFmtId="0" fontId="9" fillId="22" borderId="26" xfId="0" applyFont="1" applyFill="1" applyBorder="1" applyAlignment="1">
      <alignment horizontal="center"/>
    </xf>
    <xf numFmtId="0" fontId="0" fillId="22" borderId="28" xfId="0" applyFill="1" applyBorder="1" applyAlignment="1">
      <alignment horizontal="center"/>
    </xf>
    <xf numFmtId="0" fontId="13" fillId="0" borderId="24" xfId="0" applyFont="1" applyBorder="1" applyAlignment="1">
      <alignment horizontal="center"/>
    </xf>
    <xf numFmtId="0" fontId="13" fillId="0" borderId="24" xfId="0" applyFont="1" applyBorder="1" applyAlignment="1">
      <alignment horizontal="center" vertical="center"/>
    </xf>
    <xf numFmtId="14" fontId="0" fillId="0" borderId="1" xfId="0" applyNumberFormat="1" applyBorder="1" applyAlignment="1">
      <alignment horizontal="left"/>
    </xf>
    <xf numFmtId="4" fontId="0" fillId="0" borderId="1" xfId="0" applyNumberFormat="1" applyBorder="1" applyAlignment="1">
      <alignment horizontal="center" vertical="center"/>
    </xf>
    <xf numFmtId="0" fontId="0" fillId="0" borderId="0" xfId="0" applyAlignment="1">
      <alignment horizontal="left"/>
    </xf>
    <xf numFmtId="0" fontId="16" fillId="27" borderId="1" xfId="0" applyFont="1" applyFill="1" applyBorder="1" applyAlignment="1">
      <alignment horizontal="center"/>
    </xf>
    <xf numFmtId="0" fontId="37" fillId="0" borderId="0" xfId="0" applyFont="1" applyAlignment="1">
      <alignment horizontal="center"/>
    </xf>
    <xf numFmtId="0" fontId="16" fillId="27" borderId="1" xfId="0" applyFont="1" applyFill="1" applyBorder="1" applyAlignment="1">
      <alignment horizontal="center" vertical="center"/>
    </xf>
    <xf numFmtId="0" fontId="37" fillId="27" borderId="8" xfId="0" applyFont="1" applyFill="1" applyBorder="1" applyAlignment="1">
      <alignment horizontal="center"/>
    </xf>
    <xf numFmtId="14" fontId="37" fillId="27" borderId="10" xfId="0" applyNumberFormat="1" applyFont="1" applyFill="1" applyBorder="1" applyAlignment="1">
      <alignment horizontal="center"/>
    </xf>
    <xf numFmtId="0" fontId="16" fillId="0" borderId="37" xfId="0" applyFont="1" applyBorder="1" applyAlignment="1">
      <alignment horizontal="center"/>
    </xf>
    <xf numFmtId="0" fontId="16" fillId="0" borderId="38" xfId="0" applyFont="1" applyBorder="1" applyAlignment="1">
      <alignment horizontal="center"/>
    </xf>
    <xf numFmtId="0" fontId="16" fillId="0" borderId="39" xfId="0" applyFont="1" applyBorder="1" applyAlignment="1">
      <alignment horizontal="center"/>
    </xf>
    <xf numFmtId="0" fontId="16" fillId="0" borderId="0" xfId="0" applyFont="1" applyAlignment="1">
      <alignment horizontal="center" vertical="center"/>
    </xf>
    <xf numFmtId="180" fontId="2" fillId="23" borderId="1" xfId="6" applyNumberFormat="1" applyBorder="1" applyAlignment="1">
      <alignment horizontal="center"/>
    </xf>
    <xf numFmtId="180" fontId="2" fillId="24" borderId="1" xfId="7" applyNumberFormat="1" applyBorder="1" applyAlignment="1">
      <alignment horizontal="center"/>
    </xf>
    <xf numFmtId="0" fontId="37" fillId="27" borderId="11" xfId="0" applyFont="1" applyFill="1" applyBorder="1" applyAlignment="1">
      <alignment horizontal="center"/>
    </xf>
    <xf numFmtId="14" fontId="37" fillId="27" borderId="12" xfId="0" applyNumberFormat="1" applyFont="1" applyFill="1" applyBorder="1" applyAlignment="1">
      <alignment horizontal="center"/>
    </xf>
    <xf numFmtId="0" fontId="37" fillId="0" borderId="40" xfId="0" applyFont="1" applyBorder="1" applyAlignment="1">
      <alignment horizontal="center" vertical="center"/>
    </xf>
    <xf numFmtId="0" fontId="37" fillId="0" borderId="41" xfId="0" applyFont="1" applyBorder="1" applyAlignment="1">
      <alignment horizontal="center" wrapText="1"/>
    </xf>
    <xf numFmtId="0" fontId="37" fillId="0" borderId="41" xfId="0" applyFont="1" applyBorder="1" applyAlignment="1">
      <alignment horizontal="center"/>
    </xf>
    <xf numFmtId="14" fontId="2" fillId="23" borderId="1" xfId="6" applyNumberFormat="1" applyBorder="1" applyAlignment="1">
      <alignment horizontal="left"/>
    </xf>
    <xf numFmtId="0" fontId="2" fillId="23" borderId="1" xfId="6" applyBorder="1" applyAlignment="1">
      <alignment horizontal="center"/>
    </xf>
    <xf numFmtId="14" fontId="2" fillId="24" borderId="1" xfId="7" applyNumberFormat="1" applyBorder="1" applyAlignment="1">
      <alignment horizontal="left"/>
    </xf>
    <xf numFmtId="0" fontId="2" fillId="24" borderId="1" xfId="7" applyBorder="1" applyAlignment="1">
      <alignment horizontal="center"/>
    </xf>
    <xf numFmtId="0" fontId="37" fillId="27" borderId="13" xfId="0" applyFont="1" applyFill="1" applyBorder="1" applyAlignment="1">
      <alignment horizontal="center"/>
    </xf>
    <xf numFmtId="14" fontId="37" fillId="27" borderId="14" xfId="0" applyNumberFormat="1" applyFont="1" applyFill="1" applyBorder="1" applyAlignment="1">
      <alignment horizontal="center"/>
    </xf>
    <xf numFmtId="0" fontId="37" fillId="0" borderId="42" xfId="0" applyFont="1" applyBorder="1" applyAlignment="1">
      <alignment horizontal="center" vertical="center"/>
    </xf>
    <xf numFmtId="0" fontId="0" fillId="0" borderId="41" xfId="0" applyBorder="1"/>
    <xf numFmtId="0" fontId="37" fillId="0" borderId="43" xfId="0" applyFont="1" applyBorder="1" applyAlignment="1">
      <alignment horizontal="center" vertical="center"/>
    </xf>
    <xf numFmtId="0" fontId="0" fillId="0" borderId="40"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1" xfId="0" applyBorder="1" applyAlignment="1">
      <alignment horizontal="center" vertical="center"/>
    </xf>
    <xf numFmtId="0" fontId="34" fillId="0" borderId="1" xfId="5" applyBorder="1" applyAlignment="1">
      <alignment horizontal="center" vertical="center"/>
    </xf>
    <xf numFmtId="0" fontId="0" fillId="0" borderId="1" xfId="0" applyBorder="1" applyAlignment="1">
      <alignment horizontal="center" vertical="center" wrapText="1"/>
    </xf>
    <xf numFmtId="4" fontId="2" fillId="24" borderId="1" xfId="7" applyNumberFormat="1" applyBorder="1" applyAlignment="1">
      <alignment horizontal="center"/>
    </xf>
    <xf numFmtId="0" fontId="2" fillId="24" borderId="2" xfId="7" applyBorder="1" applyAlignment="1">
      <alignment horizontal="center"/>
    </xf>
    <xf numFmtId="0" fontId="38" fillId="0" borderId="44" xfId="0" applyFont="1" applyBorder="1" applyAlignment="1">
      <alignment horizontal="center" readingOrder="1"/>
    </xf>
    <xf numFmtId="0" fontId="38" fillId="0" borderId="45" xfId="0" applyFont="1" applyBorder="1" applyAlignment="1">
      <alignment horizontal="center" readingOrder="1"/>
    </xf>
    <xf numFmtId="0" fontId="39" fillId="0" borderId="0" xfId="0" applyFont="1"/>
    <xf numFmtId="0" fontId="38" fillId="0" borderId="1" xfId="0" applyFont="1" applyBorder="1" applyAlignment="1">
      <alignment horizontal="center" readingOrder="1"/>
    </xf>
    <xf numFmtId="0" fontId="39" fillId="12" borderId="46" xfId="0" applyFont="1" applyFill="1" applyBorder="1" applyAlignment="1">
      <alignment horizontal="center" wrapText="1"/>
    </xf>
    <xf numFmtId="0" fontId="39" fillId="12" borderId="47" xfId="0" applyFont="1" applyFill="1" applyBorder="1" applyAlignment="1">
      <alignment horizontal="center" wrapText="1"/>
    </xf>
    <xf numFmtId="0" fontId="39" fillId="12" borderId="48" xfId="0" applyFont="1" applyFill="1" applyBorder="1" applyAlignment="1">
      <alignment horizontal="center" wrapText="1"/>
    </xf>
    <xf numFmtId="0" fontId="40" fillId="0" borderId="41" xfId="0" applyFont="1" applyBorder="1" applyAlignment="1">
      <alignment horizontal="center" vertical="center" readingOrder="1"/>
    </xf>
    <xf numFmtId="0" fontId="40" fillId="0" borderId="0" xfId="0" applyFont="1" applyAlignment="1">
      <alignment horizontal="center" vertical="center" readingOrder="1"/>
    </xf>
    <xf numFmtId="0" fontId="40" fillId="0" borderId="1" xfId="0" applyFont="1" applyBorder="1" applyAlignment="1">
      <alignment horizontal="center" vertical="center" readingOrder="1"/>
    </xf>
    <xf numFmtId="0" fontId="40" fillId="0" borderId="1" xfId="0" applyFont="1" applyBorder="1" applyAlignment="1">
      <alignment horizontal="center" vertical="center" wrapText="1" readingOrder="1"/>
    </xf>
    <xf numFmtId="0" fontId="1" fillId="0" borderId="0" xfId="0" applyFont="1" applyAlignment="1">
      <alignment horizontal="center" vertical="center" readingOrder="1"/>
    </xf>
    <xf numFmtId="0" fontId="39" fillId="12" borderId="49" xfId="0" applyFont="1" applyFill="1" applyBorder="1" applyAlignment="1">
      <alignment horizontal="center" wrapText="1"/>
    </xf>
    <xf numFmtId="0" fontId="39" fillId="12" borderId="0" xfId="0" applyFont="1" applyFill="1" applyAlignment="1">
      <alignment horizontal="center" wrapText="1"/>
    </xf>
    <xf numFmtId="0" fontId="39" fillId="12" borderId="50" xfId="0" applyFont="1" applyFill="1" applyBorder="1" applyAlignment="1">
      <alignment horizontal="center" wrapText="1"/>
    </xf>
    <xf numFmtId="0" fontId="39" fillId="0" borderId="41" xfId="0" applyFont="1" applyBorder="1" applyAlignment="1">
      <alignment horizontal="center" readingOrder="1"/>
    </xf>
    <xf numFmtId="4" fontId="39" fillId="0" borderId="41" xfId="0" applyNumberFormat="1" applyFont="1" applyBorder="1" applyAlignment="1">
      <alignment horizontal="center" vertical="center" readingOrder="1"/>
    </xf>
    <xf numFmtId="0" fontId="39" fillId="0" borderId="41" xfId="0" applyFont="1" applyBorder="1" applyAlignment="1">
      <alignment horizontal="center" vertical="center" readingOrder="1"/>
    </xf>
    <xf numFmtId="0" fontId="39" fillId="0" borderId="0" xfId="0" applyFont="1" applyAlignment="1">
      <alignment horizontal="center" vertical="center"/>
    </xf>
    <xf numFmtId="0" fontId="39" fillId="0" borderId="1" xfId="0" applyFont="1" applyBorder="1" applyAlignment="1">
      <alignment horizontal="center" vertical="center" readingOrder="1"/>
    </xf>
    <xf numFmtId="4" fontId="39" fillId="0" borderId="1" xfId="0" applyNumberFormat="1" applyFont="1" applyBorder="1" applyAlignment="1">
      <alignment horizontal="center" vertical="center" readingOrder="1"/>
    </xf>
    <xf numFmtId="10" fontId="39" fillId="0" borderId="41" xfId="0" applyNumberFormat="1" applyFont="1" applyBorder="1" applyAlignment="1">
      <alignment horizontal="center" vertical="center" readingOrder="1"/>
    </xf>
    <xf numFmtId="10" fontId="39" fillId="0" borderId="1" xfId="0" applyNumberFormat="1" applyFont="1" applyBorder="1" applyAlignment="1">
      <alignment horizontal="center" vertical="center" readingOrder="1"/>
    </xf>
    <xf numFmtId="0" fontId="0" fillId="0" borderId="49" xfId="0" applyBorder="1"/>
    <xf numFmtId="0" fontId="0" fillId="0" borderId="50" xfId="0" applyBorder="1"/>
    <xf numFmtId="0" fontId="0" fillId="0" borderId="54" xfId="0" applyBorder="1" applyAlignment="1">
      <alignment horizontal="center"/>
    </xf>
    <xf numFmtId="0" fontId="0" fillId="0" borderId="47" xfId="0" applyBorder="1" applyAlignment="1">
      <alignment horizontal="center"/>
    </xf>
    <xf numFmtId="10" fontId="0" fillId="0" borderId="12" xfId="0" applyNumberFormat="1" applyBorder="1"/>
    <xf numFmtId="0" fontId="0" fillId="0" borderId="11" xfId="0" applyBorder="1" applyAlignment="1">
      <alignment horizontal="center"/>
    </xf>
    <xf numFmtId="0" fontId="0" fillId="0" borderId="0" xfId="0" applyAlignment="1">
      <alignment horizontal="center"/>
    </xf>
    <xf numFmtId="0" fontId="0" fillId="0" borderId="12" xfId="0" applyBorder="1"/>
    <xf numFmtId="0" fontId="0" fillId="0" borderId="13" xfId="0" applyBorder="1" applyAlignment="1">
      <alignment horizontal="center"/>
    </xf>
    <xf numFmtId="0" fontId="0" fillId="0" borderId="6" xfId="0" applyBorder="1" applyAlignment="1">
      <alignment horizontal="center"/>
    </xf>
    <xf numFmtId="0" fontId="39" fillId="0" borderId="46" xfId="0" applyFont="1" applyBorder="1" applyAlignment="1">
      <alignment horizontal="center" vertical="center" wrapText="1"/>
    </xf>
    <xf numFmtId="0" fontId="39" fillId="0" borderId="47" xfId="0" applyFont="1" applyBorder="1" applyAlignment="1">
      <alignment horizontal="center" vertical="center" wrapText="1"/>
    </xf>
    <xf numFmtId="0" fontId="39" fillId="0" borderId="55" xfId="0" applyFont="1" applyBorder="1" applyAlignment="1">
      <alignment horizontal="center" vertical="center" wrapText="1"/>
    </xf>
    <xf numFmtId="0" fontId="39" fillId="0" borderId="56" xfId="0" applyFont="1" applyBorder="1" applyAlignment="1">
      <alignment horizontal="center" vertical="center" wrapText="1"/>
    </xf>
    <xf numFmtId="0" fontId="39" fillId="0" borderId="48" xfId="0" applyFont="1" applyBorder="1" applyAlignment="1">
      <alignment horizontal="center" vertical="center" wrapText="1"/>
    </xf>
    <xf numFmtId="10" fontId="39" fillId="0" borderId="47" xfId="0" applyNumberFormat="1" applyFont="1" applyBorder="1" applyAlignment="1">
      <alignment horizontal="center" vertical="center"/>
    </xf>
    <xf numFmtId="10" fontId="39" fillId="0" borderId="48" xfId="0" applyNumberFormat="1" applyFont="1" applyBorder="1" applyAlignment="1">
      <alignment horizontal="center" vertical="center"/>
    </xf>
    <xf numFmtId="0" fontId="39" fillId="0" borderId="41" xfId="0" applyFont="1" applyBorder="1" applyAlignment="1">
      <alignment horizontal="center" wrapText="1" readingOrder="1"/>
    </xf>
    <xf numFmtId="4" fontId="39" fillId="0" borderId="41" xfId="0" applyNumberFormat="1" applyFont="1" applyBorder="1" applyAlignment="1">
      <alignment horizontal="center" vertical="center" wrapText="1" readingOrder="1"/>
    </xf>
    <xf numFmtId="10" fontId="39" fillId="0" borderId="41" xfId="0" applyNumberFormat="1" applyFont="1" applyBorder="1" applyAlignment="1">
      <alignment horizontal="center" vertical="center" wrapText="1" readingOrder="1"/>
    </xf>
    <xf numFmtId="0" fontId="39" fillId="0" borderId="0" xfId="0" applyFont="1" applyAlignment="1">
      <alignment horizontal="center" vertical="center" wrapText="1"/>
    </xf>
    <xf numFmtId="0" fontId="39" fillId="0" borderId="1" xfId="0" applyFont="1" applyBorder="1" applyAlignment="1">
      <alignment horizontal="center" vertical="center" wrapText="1" readingOrder="1"/>
    </xf>
    <xf numFmtId="4" fontId="39" fillId="0" borderId="1" xfId="0" applyNumberFormat="1" applyFont="1" applyBorder="1" applyAlignment="1">
      <alignment horizontal="center" vertical="center" wrapText="1" readingOrder="1"/>
    </xf>
    <xf numFmtId="10" fontId="39" fillId="0" borderId="1" xfId="0" applyNumberFormat="1" applyFont="1" applyBorder="1" applyAlignment="1">
      <alignment horizontal="center" vertical="center" wrapText="1" readingOrder="1"/>
    </xf>
    <xf numFmtId="0" fontId="0" fillId="0" borderId="0" xfId="0" applyAlignment="1">
      <alignment wrapText="1"/>
    </xf>
    <xf numFmtId="0" fontId="0" fillId="0" borderId="57" xfId="0" applyBorder="1" applyAlignment="1">
      <alignment horizontal="center" wrapText="1"/>
    </xf>
    <xf numFmtId="0" fontId="0" fillId="0" borderId="56" xfId="0" applyBorder="1" applyAlignment="1">
      <alignment horizontal="center" wrapText="1"/>
    </xf>
    <xf numFmtId="10" fontId="0" fillId="0" borderId="55" xfId="0" applyNumberFormat="1" applyBorder="1" applyAlignment="1">
      <alignment horizontal="center" wrapText="1"/>
    </xf>
    <xf numFmtId="0" fontId="0" fillId="0" borderId="55" xfId="0" applyBorder="1" applyAlignment="1">
      <alignment horizontal="center" wrapText="1"/>
    </xf>
    <xf numFmtId="0" fontId="0" fillId="0" borderId="57" xfId="0" applyBorder="1" applyAlignment="1">
      <alignment horizontal="center"/>
    </xf>
    <xf numFmtId="0" fontId="0" fillId="0" borderId="56" xfId="0" applyBorder="1" applyAlignment="1">
      <alignment horizontal="center"/>
    </xf>
    <xf numFmtId="0" fontId="0" fillId="12" borderId="49" xfId="0" applyFill="1" applyBorder="1" applyAlignment="1">
      <alignment horizontal="center" wrapText="1"/>
    </xf>
    <xf numFmtId="0" fontId="0" fillId="12" borderId="0" xfId="0" applyFill="1" applyAlignment="1">
      <alignment horizontal="center" wrapText="1"/>
    </xf>
    <xf numFmtId="0" fontId="0" fillId="12" borderId="50" xfId="0" applyFill="1" applyBorder="1" applyAlignment="1">
      <alignment horizontal="center" wrapText="1"/>
    </xf>
    <xf numFmtId="0" fontId="39" fillId="0" borderId="40" xfId="0" applyFont="1" applyBorder="1" applyAlignment="1">
      <alignment horizontal="center" readingOrder="1"/>
    </xf>
    <xf numFmtId="4" fontId="39" fillId="0" borderId="40" xfId="0" applyNumberFormat="1" applyFont="1" applyBorder="1" applyAlignment="1">
      <alignment horizontal="center" vertical="center" readingOrder="1"/>
    </xf>
    <xf numFmtId="0" fontId="39" fillId="0" borderId="41" xfId="0" applyFont="1" applyBorder="1" applyAlignment="1">
      <alignment horizontal="center"/>
    </xf>
    <xf numFmtId="0" fontId="39" fillId="0" borderId="41" xfId="0" applyFont="1" applyBorder="1" applyAlignment="1">
      <alignment horizontal="center" vertical="center"/>
    </xf>
    <xf numFmtId="0" fontId="39" fillId="0" borderId="1" xfId="0" applyFont="1" applyBorder="1" applyAlignment="1">
      <alignment horizontal="center" vertical="center"/>
    </xf>
    <xf numFmtId="166" fontId="39" fillId="0" borderId="1" xfId="0" applyNumberFormat="1" applyFont="1" applyBorder="1" applyAlignment="1">
      <alignment horizontal="center" vertical="center"/>
    </xf>
    <xf numFmtId="0" fontId="0" fillId="12" borderId="58" xfId="0" applyFill="1" applyBorder="1" applyAlignment="1">
      <alignment horizontal="center" wrapText="1"/>
    </xf>
    <xf numFmtId="0" fontId="0" fillId="12" borderId="59" xfId="0" applyFill="1" applyBorder="1" applyAlignment="1">
      <alignment horizontal="center" wrapText="1"/>
    </xf>
    <xf numFmtId="0" fontId="0" fillId="12" borderId="60" xfId="0" applyFill="1" applyBorder="1" applyAlignment="1">
      <alignment horizontal="center" wrapText="1"/>
    </xf>
    <xf numFmtId="0" fontId="34" fillId="0" borderId="0" xfId="5"/>
    <xf numFmtId="0" fontId="39" fillId="0" borderId="46" xfId="0" applyFont="1" applyBorder="1" applyAlignment="1">
      <alignment horizontal="center" vertical="center"/>
    </xf>
    <xf numFmtId="0" fontId="39" fillId="0" borderId="47" xfId="0" applyFont="1" applyBorder="1" applyAlignment="1">
      <alignment horizontal="center" vertical="center"/>
    </xf>
    <xf numFmtId="0" fontId="39" fillId="0" borderId="55" xfId="0" applyFont="1" applyBorder="1" applyAlignment="1">
      <alignment horizontal="center" vertical="center"/>
    </xf>
    <xf numFmtId="0" fontId="39" fillId="0" borderId="56" xfId="0" applyFont="1" applyBorder="1" applyAlignment="1">
      <alignment horizontal="center" vertical="center"/>
    </xf>
    <xf numFmtId="0" fontId="0" fillId="0" borderId="0" xfId="0" applyAlignment="1">
      <alignment vertical="center"/>
    </xf>
    <xf numFmtId="0" fontId="39" fillId="0" borderId="57" xfId="0" applyFont="1" applyBorder="1" applyAlignment="1">
      <alignment horizontal="center" vertical="center"/>
    </xf>
    <xf numFmtId="0" fontId="13" fillId="0" borderId="61" xfId="0" applyFont="1" applyBorder="1" applyAlignment="1">
      <alignment horizontal="center"/>
    </xf>
    <xf numFmtId="0" fontId="13" fillId="0" borderId="62" xfId="0" applyFont="1" applyBorder="1" applyAlignment="1">
      <alignment horizontal="center"/>
    </xf>
    <xf numFmtId="0" fontId="13" fillId="0" borderId="63" xfId="0" applyFont="1" applyBorder="1" applyAlignment="1">
      <alignment horizontal="center"/>
    </xf>
    <xf numFmtId="0" fontId="0" fillId="0" borderId="30" xfId="0" applyBorder="1" applyAlignment="1">
      <alignment horizontal="center"/>
    </xf>
    <xf numFmtId="10" fontId="0" fillId="0" borderId="31" xfId="1" applyNumberFormat="1" applyFont="1" applyBorder="1" applyAlignment="1">
      <alignment horizontal="center"/>
    </xf>
    <xf numFmtId="9" fontId="0" fillId="0" borderId="0" xfId="0" applyNumberFormat="1"/>
    <xf numFmtId="0" fontId="0" fillId="0" borderId="64" xfId="0" applyBorder="1" applyAlignment="1">
      <alignment horizontal="center"/>
    </xf>
    <xf numFmtId="38" fontId="0" fillId="0" borderId="65" xfId="0" applyNumberFormat="1" applyBorder="1" applyAlignment="1">
      <alignment horizontal="center"/>
    </xf>
    <xf numFmtId="0" fontId="0" fillId="0" borderId="46" xfId="0" applyBorder="1" applyAlignment="1">
      <alignment horizontal="center"/>
    </xf>
    <xf numFmtId="0" fontId="0" fillId="0" borderId="49" xfId="0" applyBorder="1" applyAlignment="1">
      <alignment horizontal="center" wrapText="1"/>
    </xf>
    <xf numFmtId="2" fontId="0" fillId="0" borderId="50" xfId="0" applyNumberFormat="1" applyBorder="1" applyAlignment="1">
      <alignment horizontal="center"/>
    </xf>
    <xf numFmtId="0" fontId="0" fillId="0" borderId="58" xfId="0" applyBorder="1" applyAlignment="1">
      <alignment horizontal="center" wrapText="1"/>
    </xf>
    <xf numFmtId="2" fontId="0" fillId="0" borderId="60" xfId="0" applyNumberFormat="1" applyBorder="1" applyAlignment="1">
      <alignment horizontal="center"/>
    </xf>
    <xf numFmtId="0" fontId="1" fillId="0" borderId="66" xfId="0" applyFont="1" applyBorder="1" applyAlignment="1">
      <alignment horizontal="center"/>
    </xf>
    <xf numFmtId="0" fontId="1" fillId="0" borderId="11" xfId="0" applyFont="1" applyBorder="1"/>
    <xf numFmtId="1" fontId="14" fillId="0" borderId="0" xfId="0" applyNumberFormat="1" applyFont="1"/>
    <xf numFmtId="0" fontId="14" fillId="0" borderId="0" xfId="0" applyFont="1"/>
    <xf numFmtId="0" fontId="0" fillId="0" borderId="11" xfId="0" applyBorder="1"/>
    <xf numFmtId="0" fontId="0" fillId="0" borderId="12" xfId="0" applyBorder="1" applyAlignment="1">
      <alignment wrapText="1"/>
    </xf>
    <xf numFmtId="10" fontId="0" fillId="0" borderId="12" xfId="1" applyNumberFormat="1" applyFont="1" applyBorder="1" applyAlignment="1">
      <alignment wrapText="1"/>
    </xf>
    <xf numFmtId="0" fontId="0" fillId="0" borderId="13" xfId="0" applyBorder="1"/>
    <xf numFmtId="1" fontId="0" fillId="0" borderId="6" xfId="0" applyNumberFormat="1" applyBorder="1"/>
    <xf numFmtId="10" fontId="2" fillId="0" borderId="12" xfId="1" applyNumberFormat="1" applyFont="1" applyBorder="1" applyAlignment="1"/>
    <xf numFmtId="0" fontId="1" fillId="0" borderId="43" xfId="0" applyFont="1" applyBorder="1"/>
    <xf numFmtId="0" fontId="1" fillId="0" borderId="41" xfId="0" applyFont="1" applyBorder="1"/>
    <xf numFmtId="0" fontId="1" fillId="0" borderId="66" xfId="0" applyFont="1" applyBorder="1"/>
    <xf numFmtId="2" fontId="1" fillId="0" borderId="50" xfId="0" applyNumberFormat="1" applyFont="1" applyBorder="1"/>
    <xf numFmtId="0" fontId="0" fillId="3" borderId="46" xfId="0" applyFill="1" applyBorder="1" applyAlignment="1">
      <alignment horizontal="center" wrapText="1"/>
    </xf>
    <xf numFmtId="0" fontId="0" fillId="3" borderId="47" xfId="0" applyFill="1" applyBorder="1" applyAlignment="1">
      <alignment horizontal="center" wrapText="1"/>
    </xf>
    <xf numFmtId="0" fontId="0" fillId="3" borderId="48" xfId="0" applyFill="1" applyBorder="1" applyAlignment="1">
      <alignment horizontal="center" wrapText="1"/>
    </xf>
    <xf numFmtId="0" fontId="0" fillId="3" borderId="49" xfId="0" applyFill="1" applyBorder="1" applyAlignment="1">
      <alignment horizontal="center" wrapText="1"/>
    </xf>
    <xf numFmtId="0" fontId="0" fillId="3" borderId="0" xfId="0" applyFill="1" applyAlignment="1">
      <alignment horizontal="center" wrapText="1"/>
    </xf>
    <xf numFmtId="0" fontId="0" fillId="3" borderId="50" xfId="0" applyFill="1" applyBorder="1" applyAlignment="1">
      <alignment horizontal="center" wrapText="1"/>
    </xf>
    <xf numFmtId="0" fontId="0" fillId="3" borderId="58" xfId="0" applyFill="1" applyBorder="1" applyAlignment="1">
      <alignment horizontal="center" wrapText="1"/>
    </xf>
    <xf numFmtId="0" fontId="0" fillId="3" borderId="59" xfId="0" applyFill="1" applyBorder="1" applyAlignment="1">
      <alignment horizontal="center" wrapText="1"/>
    </xf>
    <xf numFmtId="0" fontId="0" fillId="3" borderId="60" xfId="0" applyFill="1" applyBorder="1" applyAlignment="1">
      <alignment horizontal="center" wrapText="1"/>
    </xf>
    <xf numFmtId="0" fontId="1" fillId="3" borderId="66" xfId="0" applyFont="1" applyFill="1" applyBorder="1" applyAlignment="1">
      <alignment wrapText="1"/>
    </xf>
    <xf numFmtId="0" fontId="1" fillId="3" borderId="57" xfId="0" applyFont="1" applyFill="1" applyBorder="1"/>
    <xf numFmtId="0" fontId="1" fillId="3" borderId="26" xfId="0" applyFont="1" applyFill="1" applyBorder="1"/>
    <xf numFmtId="0" fontId="1" fillId="3" borderId="28" xfId="0" applyFont="1" applyFill="1" applyBorder="1"/>
    <xf numFmtId="0" fontId="1" fillId="3" borderId="69" xfId="0" applyFont="1" applyFill="1" applyBorder="1"/>
    <xf numFmtId="0" fontId="42" fillId="3" borderId="8" xfId="0" applyFont="1" applyFill="1" applyBorder="1"/>
    <xf numFmtId="0" fontId="42" fillId="3" borderId="9" xfId="0" applyFont="1" applyFill="1" applyBorder="1"/>
    <xf numFmtId="0" fontId="42" fillId="3" borderId="10" xfId="0" applyFont="1" applyFill="1" applyBorder="1" applyAlignment="1">
      <alignment wrapText="1"/>
    </xf>
    <xf numFmtId="0" fontId="41" fillId="3" borderId="46" xfId="0" applyFont="1" applyFill="1" applyBorder="1" applyAlignment="1">
      <alignment horizontal="center" wrapText="1"/>
    </xf>
    <xf numFmtId="0" fontId="41" fillId="3" borderId="47" xfId="0" applyFont="1" applyFill="1" applyBorder="1" applyAlignment="1">
      <alignment horizontal="center" wrapText="1"/>
    </xf>
    <xf numFmtId="0" fontId="41" fillId="3" borderId="48" xfId="0" applyFont="1" applyFill="1" applyBorder="1" applyAlignment="1">
      <alignment horizontal="center" wrapText="1"/>
    </xf>
    <xf numFmtId="0" fontId="41" fillId="3" borderId="49" xfId="0" applyFont="1" applyFill="1" applyBorder="1" applyAlignment="1">
      <alignment horizontal="center" wrapText="1"/>
    </xf>
    <xf numFmtId="0" fontId="41" fillId="3" borderId="0" xfId="0" applyFont="1" applyFill="1" applyAlignment="1">
      <alignment horizontal="center" wrapText="1"/>
    </xf>
    <xf numFmtId="0" fontId="41" fillId="3" borderId="50" xfId="0" applyFont="1" applyFill="1" applyBorder="1" applyAlignment="1">
      <alignment horizontal="center" wrapText="1"/>
    </xf>
    <xf numFmtId="0" fontId="41" fillId="3" borderId="58" xfId="0" applyFont="1" applyFill="1" applyBorder="1" applyAlignment="1">
      <alignment horizontal="center" wrapText="1"/>
    </xf>
    <xf numFmtId="0" fontId="41" fillId="3" borderId="59" xfId="0" applyFont="1" applyFill="1" applyBorder="1" applyAlignment="1">
      <alignment horizontal="center" wrapText="1"/>
    </xf>
    <xf numFmtId="0" fontId="41" fillId="3" borderId="60" xfId="0" applyFont="1" applyFill="1" applyBorder="1" applyAlignment="1">
      <alignment horizontal="center" wrapText="1"/>
    </xf>
    <xf numFmtId="0" fontId="1" fillId="3" borderId="13" xfId="0" applyFont="1" applyFill="1" applyBorder="1"/>
    <xf numFmtId="10" fontId="1" fillId="3" borderId="6" xfId="1" applyNumberFormat="1" applyFont="1" applyFill="1" applyBorder="1" applyAlignment="1"/>
    <xf numFmtId="10" fontId="1" fillId="3" borderId="14" xfId="1" applyNumberFormat="1" applyFont="1" applyFill="1" applyBorder="1" applyAlignment="1"/>
    <xf numFmtId="0" fontId="1" fillId="3" borderId="8" xfId="0" applyFont="1" applyFill="1" applyBorder="1"/>
    <xf numFmtId="0" fontId="1" fillId="3" borderId="9" xfId="0" applyFont="1" applyFill="1" applyBorder="1"/>
    <xf numFmtId="0" fontId="1" fillId="3" borderId="10" xfId="0" applyFont="1" applyFill="1" applyBorder="1"/>
    <xf numFmtId="0" fontId="1" fillId="3" borderId="11" xfId="0" applyFont="1" applyFill="1" applyBorder="1"/>
    <xf numFmtId="3" fontId="1" fillId="3" borderId="0" xfId="0" applyNumberFormat="1" applyFont="1" applyFill="1"/>
    <xf numFmtId="1" fontId="1" fillId="3" borderId="0" xfId="0" applyNumberFormat="1" applyFont="1" applyFill="1"/>
    <xf numFmtId="1" fontId="1" fillId="3" borderId="12" xfId="0" applyNumberFormat="1" applyFont="1" applyFill="1" applyBorder="1"/>
    <xf numFmtId="0" fontId="1" fillId="3" borderId="12" xfId="0" applyFont="1" applyFill="1" applyBorder="1"/>
    <xf numFmtId="10" fontId="0" fillId="15" borderId="67" xfId="1" applyNumberFormat="1" applyFont="1" applyFill="1" applyBorder="1" applyAlignment="1">
      <alignment wrapText="1"/>
    </xf>
    <xf numFmtId="10" fontId="0" fillId="15" borderId="56" xfId="0" applyNumberFormat="1" applyFill="1" applyBorder="1"/>
    <xf numFmtId="10" fontId="0" fillId="15" borderId="68" xfId="0" applyNumberFormat="1" applyFill="1" applyBorder="1"/>
    <xf numFmtId="9" fontId="0" fillId="15" borderId="70" xfId="0" applyNumberFormat="1" applyFill="1" applyBorder="1"/>
    <xf numFmtId="10" fontId="0" fillId="15" borderId="66" xfId="0" applyNumberFormat="1" applyFill="1" applyBorder="1"/>
    <xf numFmtId="10" fontId="0" fillId="15" borderId="48" xfId="0" applyNumberFormat="1" applyFill="1" applyBorder="1" applyAlignment="1">
      <alignment horizontal="center"/>
    </xf>
    <xf numFmtId="10" fontId="1" fillId="15" borderId="56" xfId="0" applyNumberFormat="1" applyFont="1" applyFill="1" applyBorder="1" applyAlignment="1">
      <alignment horizontal="center"/>
    </xf>
    <xf numFmtId="10" fontId="40" fillId="28" borderId="55" xfId="0" applyNumberFormat="1" applyFont="1" applyFill="1" applyBorder="1" applyAlignment="1">
      <alignment horizontal="center" vertical="center"/>
    </xf>
    <xf numFmtId="10" fontId="40" fillId="28" borderId="56" xfId="0" applyNumberFormat="1" applyFont="1" applyFill="1" applyBorder="1" applyAlignment="1">
      <alignment horizontal="center" vertical="center"/>
    </xf>
    <xf numFmtId="10" fontId="1" fillId="15" borderId="55" xfId="0" applyNumberFormat="1" applyFont="1" applyFill="1" applyBorder="1" applyAlignment="1">
      <alignment horizontal="center"/>
    </xf>
    <xf numFmtId="0" fontId="1" fillId="15" borderId="55" xfId="0" applyFont="1" applyFill="1" applyBorder="1" applyAlignment="1">
      <alignment horizontal="center"/>
    </xf>
    <xf numFmtId="0" fontId="1" fillId="15" borderId="56" xfId="0" applyFont="1" applyFill="1" applyBorder="1" applyAlignment="1">
      <alignment horizontal="center"/>
    </xf>
    <xf numFmtId="0" fontId="1" fillId="22" borderId="51" xfId="0" applyFont="1" applyFill="1" applyBorder="1" applyAlignment="1">
      <alignment horizontal="center"/>
    </xf>
    <xf numFmtId="0" fontId="1" fillId="22" borderId="52" xfId="0" applyFont="1" applyFill="1" applyBorder="1" applyAlignment="1">
      <alignment horizontal="center"/>
    </xf>
    <xf numFmtId="0" fontId="1" fillId="22" borderId="53" xfId="0" applyFont="1" applyFill="1" applyBorder="1" applyAlignment="1">
      <alignment horizontal="center"/>
    </xf>
    <xf numFmtId="10" fontId="1" fillId="22" borderId="14" xfId="0" applyNumberFormat="1" applyFont="1" applyFill="1" applyBorder="1"/>
    <xf numFmtId="0" fontId="37" fillId="22" borderId="41" xfId="0" applyFont="1" applyFill="1" applyBorder="1" applyAlignment="1">
      <alignment horizontal="center"/>
    </xf>
    <xf numFmtId="181" fontId="37" fillId="22" borderId="41" xfId="0" applyNumberFormat="1" applyFont="1" applyFill="1" applyBorder="1" applyAlignment="1">
      <alignment horizontal="center"/>
    </xf>
    <xf numFmtId="2" fontId="37" fillId="22" borderId="41" xfId="0" applyNumberFormat="1" applyFont="1" applyFill="1" applyBorder="1" applyAlignment="1">
      <alignment horizontal="center"/>
    </xf>
    <xf numFmtId="182" fontId="37" fillId="22" borderId="41" xfId="0" applyNumberFormat="1" applyFont="1" applyFill="1" applyBorder="1" applyAlignment="1">
      <alignment horizontal="center"/>
    </xf>
    <xf numFmtId="0" fontId="0" fillId="22" borderId="57" xfId="0" applyFill="1" applyBorder="1"/>
    <xf numFmtId="0" fontId="0" fillId="22" borderId="72" xfId="0" applyFill="1" applyBorder="1"/>
    <xf numFmtId="0" fontId="0" fillId="22" borderId="58" xfId="0" applyFill="1" applyBorder="1"/>
    <xf numFmtId="0" fontId="41" fillId="22" borderId="71" xfId="0" applyFont="1" applyFill="1" applyBorder="1"/>
    <xf numFmtId="10" fontId="1" fillId="15" borderId="66" xfId="0" applyNumberFormat="1" applyFont="1" applyFill="1" applyBorder="1"/>
    <xf numFmtId="0" fontId="16" fillId="22" borderId="57" xfId="0" applyFont="1" applyFill="1" applyBorder="1" applyAlignment="1">
      <alignment horizontal="center"/>
    </xf>
    <xf numFmtId="0" fontId="16" fillId="22" borderId="55" xfId="0" applyFont="1" applyFill="1" applyBorder="1" applyAlignment="1">
      <alignment horizontal="center"/>
    </xf>
    <xf numFmtId="0" fontId="16" fillId="22" borderId="56" xfId="0" applyFont="1" applyFill="1" applyBorder="1" applyAlignment="1">
      <alignment horizontal="center"/>
    </xf>
    <xf numFmtId="0" fontId="1" fillId="15" borderId="0" xfId="0" applyFont="1" applyFill="1"/>
    <xf numFmtId="0" fontId="26" fillId="3" borderId="8" xfId="0" applyFont="1" applyFill="1" applyBorder="1" applyAlignment="1">
      <alignment horizontal="right" vertical="center"/>
    </xf>
    <xf numFmtId="0" fontId="26" fillId="0" borderId="9" xfId="0" applyFont="1" applyBorder="1" applyAlignment="1">
      <alignment horizontal="center" vertical="center"/>
    </xf>
    <xf numFmtId="0" fontId="25" fillId="0" borderId="10" xfId="0" applyFont="1" applyBorder="1" applyAlignment="1">
      <alignment horizontal="right" vertical="center"/>
    </xf>
    <xf numFmtId="0" fontId="29" fillId="3" borderId="11" xfId="0" applyFont="1" applyFill="1" applyBorder="1" applyAlignment="1">
      <alignment horizontal="right"/>
    </xf>
    <xf numFmtId="0" fontId="26" fillId="0" borderId="0" xfId="0" applyFont="1" applyBorder="1" applyAlignment="1">
      <alignment horizontal="right" vertical="center"/>
    </xf>
    <xf numFmtId="0" fontId="25" fillId="3" borderId="11" xfId="0" applyFont="1" applyFill="1" applyBorder="1" applyAlignment="1">
      <alignment horizontal="right" vertical="center"/>
    </xf>
    <xf numFmtId="2" fontId="25" fillId="0" borderId="0" xfId="0" applyNumberFormat="1" applyFont="1" applyBorder="1" applyAlignment="1">
      <alignment horizontal="right" vertical="center"/>
    </xf>
    <xf numFmtId="0" fontId="27" fillId="0" borderId="12" xfId="0" applyFont="1" applyBorder="1" applyAlignment="1">
      <alignment horizontal="right" vertical="center"/>
    </xf>
    <xf numFmtId="4" fontId="25" fillId="0" borderId="0" xfId="0" applyNumberFormat="1" applyFont="1" applyBorder="1" applyAlignment="1">
      <alignment horizontal="right" vertical="center"/>
    </xf>
    <xf numFmtId="0" fontId="29" fillId="0" borderId="12" xfId="0" applyFont="1" applyBorder="1" applyAlignment="1">
      <alignment horizontal="right"/>
    </xf>
    <xf numFmtId="0" fontId="26" fillId="3" borderId="13" xfId="0" applyFont="1" applyFill="1" applyBorder="1" applyAlignment="1">
      <alignment horizontal="right" vertical="center"/>
    </xf>
    <xf numFmtId="2" fontId="26" fillId="0" borderId="6" xfId="0" applyNumberFormat="1" applyFont="1" applyBorder="1" applyAlignment="1">
      <alignment horizontal="right" vertical="center"/>
    </xf>
    <xf numFmtId="2" fontId="33" fillId="0" borderId="14" xfId="0" applyNumberFormat="1" applyFont="1" applyBorder="1" applyAlignment="1">
      <alignment horizontal="right" vertical="center"/>
    </xf>
    <xf numFmtId="0" fontId="26" fillId="0" borderId="12" xfId="0" applyFont="1" applyBorder="1"/>
    <xf numFmtId="0" fontId="0" fillId="0" borderId="8" xfId="0" applyBorder="1"/>
    <xf numFmtId="0" fontId="1" fillId="15" borderId="61" xfId="0" applyFont="1" applyFill="1" applyBorder="1" applyAlignment="1">
      <alignment horizontal="center"/>
    </xf>
    <xf numFmtId="170" fontId="0" fillId="0" borderId="63" xfId="0" applyNumberFormat="1" applyBorder="1" applyAlignment="1">
      <alignment horizontal="center"/>
    </xf>
    <xf numFmtId="0" fontId="1" fillId="15" borderId="30" xfId="0" applyFont="1" applyFill="1" applyBorder="1" applyAlignment="1">
      <alignment horizontal="center"/>
    </xf>
    <xf numFmtId="170" fontId="0" fillId="0" borderId="31" xfId="0" applyNumberFormat="1" applyBorder="1" applyAlignment="1">
      <alignment horizontal="center"/>
    </xf>
    <xf numFmtId="0" fontId="0" fillId="0" borderId="14" xfId="0" applyBorder="1"/>
    <xf numFmtId="40" fontId="0" fillId="0" borderId="10" xfId="0" applyNumberFormat="1" applyBorder="1"/>
    <xf numFmtId="170" fontId="0" fillId="0" borderId="12" xfId="0" applyNumberFormat="1" applyBorder="1"/>
    <xf numFmtId="2" fontId="1" fillId="0" borderId="12" xfId="0" applyNumberFormat="1" applyFont="1" applyBorder="1"/>
    <xf numFmtId="0" fontId="0" fillId="18" borderId="1" xfId="0" applyFill="1" applyBorder="1" applyAlignment="1">
      <alignment horizontal="center" vertical="center"/>
    </xf>
    <xf numFmtId="0" fontId="16" fillId="0" borderId="1" xfId="0" applyFont="1" applyBorder="1" applyAlignment="1">
      <alignment horizontal="center"/>
    </xf>
    <xf numFmtId="9" fontId="4" fillId="0" borderId="0" xfId="0" applyNumberFormat="1" applyFont="1"/>
  </cellXfs>
  <cellStyles count="8">
    <cellStyle name="20% - Accent5" xfId="4" builtinId="46"/>
    <cellStyle name="40% - Accent1" xfId="6" builtinId="31"/>
    <cellStyle name="40% - Accent5" xfId="7" builtinId="47"/>
    <cellStyle name="Comma" xfId="3" builtinId="3"/>
    <cellStyle name="Comma 2" xfId="2" xr:uid="{1C759A06-842E-485E-86CD-0D085A0796D6}"/>
    <cellStyle name="Hyperlink" xfId="5" builtinId="8"/>
    <cellStyle name="Normal" xfId="0" builtinId="0"/>
    <cellStyle name="Percent" xfId="1" builtinId="5"/>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GP VS DSEX Return </a:t>
            </a:r>
          </a:p>
        </c:rich>
      </c:tx>
      <c:overlay val="0"/>
      <c:spPr>
        <a:noFill/>
        <a:ln>
          <a:noFill/>
        </a:ln>
        <a:effectLst/>
      </c:spPr>
    </c:title>
    <c:autoTitleDeleted val="0"/>
    <c:plotArea>
      <c:layout/>
      <c:scatterChart>
        <c:scatterStyle val="lineMarker"/>
        <c:varyColors val="0"/>
        <c:ser>
          <c:idx val="1"/>
          <c:order val="0"/>
          <c:tx>
            <c:v>DSEX Return VS GP</c:v>
          </c:tx>
          <c:spPr>
            <a:ln w="25400" cap="flat" cmpd="sng" algn="ctr">
              <a:noFill/>
              <a:prstDash val="sysDot"/>
              <a:round/>
            </a:ln>
            <a:effectLst/>
          </c:spPr>
          <c:marker>
            <c:symbol val="circle"/>
            <c:size val="5"/>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trendline>
            <c:spPr>
              <a:ln w="9525" cap="rnd">
                <a:solidFill>
                  <a:schemeClr val="accent5"/>
                </a:solidFill>
              </a:ln>
              <a:effectLst/>
            </c:spPr>
            <c:trendlineType val="linear"/>
            <c:dispRSqr val="0"/>
            <c:dispEq val="0"/>
          </c:trendline>
          <c:trendline>
            <c:spPr>
              <a:ln w="9525" cap="rnd">
                <a:solidFill>
                  <a:schemeClr val="accent5"/>
                </a:solidFill>
              </a:ln>
              <a:effectLst/>
            </c:spPr>
            <c:trendlineType val="linear"/>
            <c:dispRSqr val="0"/>
            <c:dispEq val="0"/>
          </c:trendline>
          <c:trendline>
            <c:spPr>
              <a:ln w="9525" cap="rnd">
                <a:solidFill>
                  <a:schemeClr val="accent5"/>
                </a:solidFill>
              </a:ln>
              <a:effectLst/>
            </c:spPr>
            <c:trendlineType val="linear"/>
            <c:dispRSqr val="1"/>
            <c:dispEq val="1"/>
            <c:trendlineLbl>
              <c:layout>
                <c:manualLayout>
                  <c:x val="0.22808683289588802"/>
                  <c:y val="-0.2619681393992417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rendlineLbl>
          </c:trendline>
          <c:xVal>
            <c:numRef>
              <c:f>'[2]Return (Daily)'!$K$2:$K$1188</c:f>
              <c:numCache>
                <c:formatCode>0.000%</c:formatCode>
                <c:ptCount val="1187"/>
                <c:pt idx="0">
                  <c:v>3.6608247834244434E-3</c:v>
                </c:pt>
                <c:pt idx="1">
                  <c:v>-1.6898220107286477E-3</c:v>
                </c:pt>
                <c:pt idx="2">
                  <c:v>-1.3094892196001684E-3</c:v>
                </c:pt>
                <c:pt idx="3">
                  <c:v>2.2196002644560675E-2</c:v>
                </c:pt>
                <c:pt idx="4">
                  <c:v>9.5994873701223948E-3</c:v>
                </c:pt>
                <c:pt idx="5">
                  <c:v>-6.604262473017819E-3</c:v>
                </c:pt>
                <c:pt idx="6">
                  <c:v>1.1244346878816813E-2</c:v>
                </c:pt>
                <c:pt idx="7">
                  <c:v>1.5061906277748838E-2</c:v>
                </c:pt>
                <c:pt idx="8">
                  <c:v>9.0444955369217706E-3</c:v>
                </c:pt>
                <c:pt idx="9">
                  <c:v>6.2666261224959552E-3</c:v>
                </c:pt>
                <c:pt idx="10">
                  <c:v>-2.5415878292261995E-2</c:v>
                </c:pt>
                <c:pt idx="11">
                  <c:v>-9.7357355261997736E-3</c:v>
                </c:pt>
                <c:pt idx="12">
                  <c:v>2.4728694131563866E-3</c:v>
                </c:pt>
                <c:pt idx="13">
                  <c:v>-7.9960325963840395E-3</c:v>
                </c:pt>
                <c:pt idx="14">
                  <c:v>-1.3689778862063462E-2</c:v>
                </c:pt>
                <c:pt idx="15">
                  <c:v>-3.7999635043084456E-3</c:v>
                </c:pt>
                <c:pt idx="16">
                  <c:v>-6.4115463621745583E-3</c:v>
                </c:pt>
                <c:pt idx="17">
                  <c:v>-8.2868834481656384E-3</c:v>
                </c:pt>
                <c:pt idx="18">
                  <c:v>-1.0725427492435324E-2</c:v>
                </c:pt>
                <c:pt idx="19">
                  <c:v>-1.2377445716896807E-3</c:v>
                </c:pt>
                <c:pt idx="20">
                  <c:v>5.8557850915090803E-3</c:v>
                </c:pt>
                <c:pt idx="21">
                  <c:v>1.6266303182648212E-3</c:v>
                </c:pt>
                <c:pt idx="22">
                  <c:v>-5.3667684976577146E-4</c:v>
                </c:pt>
                <c:pt idx="23">
                  <c:v>-7.8252694568732295E-3</c:v>
                </c:pt>
                <c:pt idx="24">
                  <c:v>-4.4486387087880885E-3</c:v>
                </c:pt>
                <c:pt idx="25">
                  <c:v>1.0832826270438023E-2</c:v>
                </c:pt>
                <c:pt idx="26">
                  <c:v>1.0551487130918691E-3</c:v>
                </c:pt>
                <c:pt idx="27">
                  <c:v>-4.3567571797481497E-3</c:v>
                </c:pt>
                <c:pt idx="28">
                  <c:v>1.3333756249578776E-2</c:v>
                </c:pt>
                <c:pt idx="29">
                  <c:v>-1.4665723851530088E-2</c:v>
                </c:pt>
                <c:pt idx="30">
                  <c:v>5.6874705609866183E-4</c:v>
                </c:pt>
                <c:pt idx="31">
                  <c:v>-1.5538927167532246E-2</c:v>
                </c:pt>
                <c:pt idx="32">
                  <c:v>-5.8304241786618638E-3</c:v>
                </c:pt>
                <c:pt idx="33">
                  <c:v>4.8611618349780894E-3</c:v>
                </c:pt>
                <c:pt idx="34">
                  <c:v>-1.5379316087907768E-2</c:v>
                </c:pt>
                <c:pt idx="35">
                  <c:v>-1.0142641433083521E-2</c:v>
                </c:pt>
                <c:pt idx="36">
                  <c:v>-7.2791519434629581E-3</c:v>
                </c:pt>
                <c:pt idx="37">
                  <c:v>-8.5993908150246989E-3</c:v>
                </c:pt>
                <c:pt idx="38">
                  <c:v>-4.4037498875657555E-3</c:v>
                </c:pt>
                <c:pt idx="39">
                  <c:v>5.8791053567439633E-3</c:v>
                </c:pt>
                <c:pt idx="40">
                  <c:v>4.8257999398861884E-3</c:v>
                </c:pt>
                <c:pt idx="41">
                  <c:v>1.8029471680718334E-3</c:v>
                </c:pt>
                <c:pt idx="42">
                  <c:v>-6.4726054591487392E-3</c:v>
                </c:pt>
                <c:pt idx="43">
                  <c:v>4.1686369410216528E-3</c:v>
                </c:pt>
                <c:pt idx="44">
                  <c:v>8.4488552530448402E-3</c:v>
                </c:pt>
                <c:pt idx="45">
                  <c:v>1.9354935414848118E-3</c:v>
                </c:pt>
                <c:pt idx="46">
                  <c:v>-8.307552235755411E-3</c:v>
                </c:pt>
                <c:pt idx="47">
                  <c:v>-1.249190356573382E-2</c:v>
                </c:pt>
                <c:pt idx="48">
                  <c:v>-1.0831982663019546E-2</c:v>
                </c:pt>
                <c:pt idx="49">
                  <c:v>6.3729286611917679E-3</c:v>
                </c:pt>
                <c:pt idx="50">
                  <c:v>1.164885203031929E-3</c:v>
                </c:pt>
                <c:pt idx="51">
                  <c:v>-1.0034795013559417E-2</c:v>
                </c:pt>
                <c:pt idx="52">
                  <c:v>9.250614362844134E-3</c:v>
                </c:pt>
                <c:pt idx="53">
                  <c:v>-1.175461562768032E-2</c:v>
                </c:pt>
                <c:pt idx="54">
                  <c:v>-1.5875356946757013E-2</c:v>
                </c:pt>
                <c:pt idx="55">
                  <c:v>-1.5187672435970079E-3</c:v>
                </c:pt>
                <c:pt idx="56">
                  <c:v>3.8954238121362561E-3</c:v>
                </c:pt>
                <c:pt idx="57">
                  <c:v>-3.0790429752007853E-3</c:v>
                </c:pt>
                <c:pt idx="58">
                  <c:v>1.9036029689090128E-3</c:v>
                </c:pt>
                <c:pt idx="59">
                  <c:v>6.6496053755602524E-3</c:v>
                </c:pt>
                <c:pt idx="60">
                  <c:v>-1.8947552816304114E-3</c:v>
                </c:pt>
                <c:pt idx="61">
                  <c:v>1.3852970759068217E-2</c:v>
                </c:pt>
                <c:pt idx="62">
                  <c:v>1.2685292071875853E-2</c:v>
                </c:pt>
                <c:pt idx="63">
                  <c:v>-1.2043113245591153E-3</c:v>
                </c:pt>
                <c:pt idx="64">
                  <c:v>1.2289462013630903E-2</c:v>
                </c:pt>
                <c:pt idx="65">
                  <c:v>2.6437406045811684E-3</c:v>
                </c:pt>
                <c:pt idx="66">
                  <c:v>-8.2722826480963185E-4</c:v>
                </c:pt>
                <c:pt idx="67">
                  <c:v>-5.8197342401448138E-3</c:v>
                </c:pt>
                <c:pt idx="68">
                  <c:v>-1.6623892278654351E-3</c:v>
                </c:pt>
                <c:pt idx="69">
                  <c:v>3.4101701567530451E-3</c:v>
                </c:pt>
                <c:pt idx="70">
                  <c:v>9.5771225643661584E-3</c:v>
                </c:pt>
                <c:pt idx="71">
                  <c:v>6.5469527509429692E-3</c:v>
                </c:pt>
                <c:pt idx="72">
                  <c:v>-5.3517463347088068E-3</c:v>
                </c:pt>
                <c:pt idx="73">
                  <c:v>-1.3044217655291401E-3</c:v>
                </c:pt>
                <c:pt idx="74">
                  <c:v>-1.0547200757386688E-2</c:v>
                </c:pt>
                <c:pt idx="75">
                  <c:v>-1.1531375430438917E-2</c:v>
                </c:pt>
                <c:pt idx="76">
                  <c:v>-2.6887061581396532E-3</c:v>
                </c:pt>
                <c:pt idx="77">
                  <c:v>-9.0731087002858812E-3</c:v>
                </c:pt>
                <c:pt idx="78">
                  <c:v>1.7033409143516476E-2</c:v>
                </c:pt>
                <c:pt idx="79">
                  <c:v>1.7043458764620212E-2</c:v>
                </c:pt>
                <c:pt idx="80">
                  <c:v>1.0140663248069615E-2</c:v>
                </c:pt>
                <c:pt idx="81">
                  <c:v>-6.3014926660751591E-3</c:v>
                </c:pt>
                <c:pt idx="82">
                  <c:v>-4.2503683590329189E-3</c:v>
                </c:pt>
                <c:pt idx="83">
                  <c:v>-6.9009131979733684E-3</c:v>
                </c:pt>
                <c:pt idx="84">
                  <c:v>5.2368124236803482E-3</c:v>
                </c:pt>
                <c:pt idx="85">
                  <c:v>1.7717248798517105E-2</c:v>
                </c:pt>
                <c:pt idx="86">
                  <c:v>9.7612469873284979E-3</c:v>
                </c:pt>
                <c:pt idx="87">
                  <c:v>4.9268102032526961E-3</c:v>
                </c:pt>
                <c:pt idx="88">
                  <c:v>1.1992253257684382E-2</c:v>
                </c:pt>
                <c:pt idx="89">
                  <c:v>3.0448122886903572E-3</c:v>
                </c:pt>
                <c:pt idx="90">
                  <c:v>1.0805578602188781E-2</c:v>
                </c:pt>
                <c:pt idx="91">
                  <c:v>7.3096093705204979E-5</c:v>
                </c:pt>
                <c:pt idx="92">
                  <c:v>-9.099091275135418E-4</c:v>
                </c:pt>
                <c:pt idx="93">
                  <c:v>-3.1570390131108184E-4</c:v>
                </c:pt>
                <c:pt idx="94">
                  <c:v>6.4681151908361212E-3</c:v>
                </c:pt>
                <c:pt idx="95">
                  <c:v>1.0805678451273115E-2</c:v>
                </c:pt>
                <c:pt idx="96">
                  <c:v>1.1012507636412039E-3</c:v>
                </c:pt>
                <c:pt idx="97">
                  <c:v>1.6773360413725236E-2</c:v>
                </c:pt>
                <c:pt idx="98">
                  <c:v>5.9071018820922028E-3</c:v>
                </c:pt>
                <c:pt idx="99">
                  <c:v>5.5679678570763613E-3</c:v>
                </c:pt>
                <c:pt idx="100">
                  <c:v>-2.8720313733254788E-4</c:v>
                </c:pt>
                <c:pt idx="101">
                  <c:v>1.4380807932412587E-3</c:v>
                </c:pt>
                <c:pt idx="102">
                  <c:v>1.3673431718837836E-2</c:v>
                </c:pt>
                <c:pt idx="103">
                  <c:v>1.0594235277658903E-2</c:v>
                </c:pt>
                <c:pt idx="104">
                  <c:v>4.8199905005932298E-3</c:v>
                </c:pt>
                <c:pt idx="105">
                  <c:v>3.7262698819906515E-3</c:v>
                </c:pt>
                <c:pt idx="106">
                  <c:v>-1.6155527184235186E-2</c:v>
                </c:pt>
                <c:pt idx="107">
                  <c:v>-4.693489196810452E-3</c:v>
                </c:pt>
                <c:pt idx="108">
                  <c:v>7.8359555160780747E-3</c:v>
                </c:pt>
                <c:pt idx="109">
                  <c:v>-9.1917067684577081E-3</c:v>
                </c:pt>
                <c:pt idx="110">
                  <c:v>1.2629127857747724E-2</c:v>
                </c:pt>
                <c:pt idx="111">
                  <c:v>3.1662168274548819E-3</c:v>
                </c:pt>
                <c:pt idx="112">
                  <c:v>9.4966761633428209E-3</c:v>
                </c:pt>
                <c:pt idx="113">
                  <c:v>-5.2734608232826163E-3</c:v>
                </c:pt>
                <c:pt idx="114">
                  <c:v>4.5218821825847577E-3</c:v>
                </c:pt>
                <c:pt idx="115">
                  <c:v>6.5740676855141622E-3</c:v>
                </c:pt>
                <c:pt idx="116">
                  <c:v>4.8771398423976819E-3</c:v>
                </c:pt>
                <c:pt idx="117">
                  <c:v>-1.3407066498793418E-2</c:v>
                </c:pt>
                <c:pt idx="118">
                  <c:v>-8.7426553007909913E-3</c:v>
                </c:pt>
                <c:pt idx="119">
                  <c:v>-3.5787126768770383E-3</c:v>
                </c:pt>
                <c:pt idx="120">
                  <c:v>-1.0194101715317427E-2</c:v>
                </c:pt>
                <c:pt idx="121">
                  <c:v>-3.374072130164163E-3</c:v>
                </c:pt>
                <c:pt idx="122">
                  <c:v>1.3075984609127733E-3</c:v>
                </c:pt>
                <c:pt idx="123">
                  <c:v>3.9193271821671427E-3</c:v>
                </c:pt>
                <c:pt idx="124">
                  <c:v>-3.080718583871378E-3</c:v>
                </c:pt>
                <c:pt idx="125">
                  <c:v>2.1062451108757596E-3</c:v>
                </c:pt>
                <c:pt idx="126">
                  <c:v>-1.1287120522789351E-2</c:v>
                </c:pt>
                <c:pt idx="127">
                  <c:v>-7.996586372569392E-3</c:v>
                </c:pt>
                <c:pt idx="128">
                  <c:v>-9.545753785385247E-3</c:v>
                </c:pt>
                <c:pt idx="129">
                  <c:v>3.9328638919033931E-3</c:v>
                </c:pt>
                <c:pt idx="130">
                  <c:v>2.079368318472774E-2</c:v>
                </c:pt>
                <c:pt idx="131">
                  <c:v>-3.0153098008170787E-2</c:v>
                </c:pt>
                <c:pt idx="132">
                  <c:v>-2.6064169421130545E-3</c:v>
                </c:pt>
                <c:pt idx="133">
                  <c:v>1.6988650693567919E-3</c:v>
                </c:pt>
                <c:pt idx="134">
                  <c:v>7.7939454078146397E-3</c:v>
                </c:pt>
                <c:pt idx="135">
                  <c:v>-3.5861755969868181E-3</c:v>
                </c:pt>
                <c:pt idx="136">
                  <c:v>-3.4667328919659735E-3</c:v>
                </c:pt>
                <c:pt idx="137">
                  <c:v>-8.5437406290099771E-3</c:v>
                </c:pt>
                <c:pt idx="138">
                  <c:v>4.599203635924809E-3</c:v>
                </c:pt>
                <c:pt idx="139">
                  <c:v>-9.9293773780629868E-3</c:v>
                </c:pt>
                <c:pt idx="140">
                  <c:v>-8.1566555324996681E-4</c:v>
                </c:pt>
                <c:pt idx="141">
                  <c:v>-3.6234972298483381E-3</c:v>
                </c:pt>
                <c:pt idx="142">
                  <c:v>-5.8194301569846063E-3</c:v>
                </c:pt>
                <c:pt idx="143">
                  <c:v>-4.5023571163727016E-3</c:v>
                </c:pt>
                <c:pt idx="144">
                  <c:v>-1.6373888739816822E-3</c:v>
                </c:pt>
                <c:pt idx="145">
                  <c:v>-5.1305333962067268E-3</c:v>
                </c:pt>
                <c:pt idx="146">
                  <c:v>-7.2847835842837494E-3</c:v>
                </c:pt>
                <c:pt idx="147">
                  <c:v>-6.8296693902093475E-3</c:v>
                </c:pt>
                <c:pt idx="148">
                  <c:v>1.7667266481267152E-3</c:v>
                </c:pt>
                <c:pt idx="149">
                  <c:v>1.970754922548501E-3</c:v>
                </c:pt>
                <c:pt idx="150">
                  <c:v>-2.0917120480304918E-3</c:v>
                </c:pt>
                <c:pt idx="151">
                  <c:v>-1.6310643799745117E-3</c:v>
                </c:pt>
                <c:pt idx="152">
                  <c:v>-2.6766759401896101E-3</c:v>
                </c:pt>
                <c:pt idx="153">
                  <c:v>9.4932885326826089E-4</c:v>
                </c:pt>
                <c:pt idx="154">
                  <c:v>3.3327624790979726E-3</c:v>
                </c:pt>
                <c:pt idx="155">
                  <c:v>2.6102759599950787E-3</c:v>
                </c:pt>
                <c:pt idx="156">
                  <c:v>-3.5257704212084962E-3</c:v>
                </c:pt>
                <c:pt idx="157">
                  <c:v>-1.0869231241934507E-3</c:v>
                </c:pt>
                <c:pt idx="158">
                  <c:v>-5.6234873682659003E-4</c:v>
                </c:pt>
                <c:pt idx="159">
                  <c:v>9.3171758775434377E-4</c:v>
                </c:pt>
                <c:pt idx="160">
                  <c:v>-3.1616541713345159E-3</c:v>
                </c:pt>
                <c:pt idx="161">
                  <c:v>-7.0039670009813815E-4</c:v>
                </c:pt>
                <c:pt idx="162">
                  <c:v>1.8289631849266463E-3</c:v>
                </c:pt>
                <c:pt idx="163">
                  <c:v>3.2254341930644248E-3</c:v>
                </c:pt>
                <c:pt idx="164">
                  <c:v>1.608568759090323E-3</c:v>
                </c:pt>
                <c:pt idx="165">
                  <c:v>3.1906834362753766E-3</c:v>
                </c:pt>
                <c:pt idx="166">
                  <c:v>-5.6726031714310343E-3</c:v>
                </c:pt>
                <c:pt idx="167">
                  <c:v>1.4047484345713901E-3</c:v>
                </c:pt>
                <c:pt idx="168">
                  <c:v>4.9094070013921964E-4</c:v>
                </c:pt>
                <c:pt idx="169">
                  <c:v>-5.0874696159689536E-3</c:v>
                </c:pt>
                <c:pt idx="170">
                  <c:v>-3.0896435834519842E-3</c:v>
                </c:pt>
                <c:pt idx="171">
                  <c:v>-1.9915003906770812E-3</c:v>
                </c:pt>
                <c:pt idx="172">
                  <c:v>-3.9085857905157839E-3</c:v>
                </c:pt>
                <c:pt idx="173">
                  <c:v>6.2923237089180795E-3</c:v>
                </c:pt>
                <c:pt idx="174">
                  <c:v>2.0251245604732127E-3</c:v>
                </c:pt>
                <c:pt idx="175">
                  <c:v>4.6150562363831416E-3</c:v>
                </c:pt>
                <c:pt idx="176">
                  <c:v>1.5272203434224529E-3</c:v>
                </c:pt>
                <c:pt idx="177">
                  <c:v>-2.0679581795818303E-3</c:v>
                </c:pt>
                <c:pt idx="178">
                  <c:v>-1.5983789789179026E-3</c:v>
                </c:pt>
                <c:pt idx="179">
                  <c:v>2.4524984707949837E-3</c:v>
                </c:pt>
                <c:pt idx="180">
                  <c:v>-5.1908303021441782E-4</c:v>
                </c:pt>
                <c:pt idx="181">
                  <c:v>2.2853311032406953E-3</c:v>
                </c:pt>
                <c:pt idx="182">
                  <c:v>-4.6802322781946959E-4</c:v>
                </c:pt>
                <c:pt idx="183">
                  <c:v>3.4342942399716581E-3</c:v>
                </c:pt>
                <c:pt idx="184">
                  <c:v>1.6260540314525507E-3</c:v>
                </c:pt>
                <c:pt idx="185">
                  <c:v>-2.5679740808390861E-3</c:v>
                </c:pt>
                <c:pt idx="186">
                  <c:v>1.7640027388463597E-3</c:v>
                </c:pt>
                <c:pt idx="187">
                  <c:v>4.4139303018646547E-3</c:v>
                </c:pt>
                <c:pt idx="188">
                  <c:v>2.9149759805968678E-4</c:v>
                </c:pt>
                <c:pt idx="189">
                  <c:v>3.8410893165436999E-3</c:v>
                </c:pt>
                <c:pt idx="190">
                  <c:v>2.5914842848482333E-3</c:v>
                </c:pt>
                <c:pt idx="191">
                  <c:v>7.6283469372162571E-5</c:v>
                </c:pt>
                <c:pt idx="192">
                  <c:v>-2.7133945326367481E-3</c:v>
                </c:pt>
                <c:pt idx="193">
                  <c:v>-7.0954335816741931E-4</c:v>
                </c:pt>
                <c:pt idx="194">
                  <c:v>-7.0588963966142781E-3</c:v>
                </c:pt>
                <c:pt idx="195">
                  <c:v>-2.0686697931716624E-3</c:v>
                </c:pt>
                <c:pt idx="196">
                  <c:v>-4.8783113123772592E-3</c:v>
                </c:pt>
                <c:pt idx="197">
                  <c:v>1.3068171976373666E-3</c:v>
                </c:pt>
                <c:pt idx="198">
                  <c:v>1.2059011437653755E-2</c:v>
                </c:pt>
                <c:pt idx="199">
                  <c:v>-1.6723318528659714E-3</c:v>
                </c:pt>
                <c:pt idx="200">
                  <c:v>-1.6210853700441286E-3</c:v>
                </c:pt>
                <c:pt idx="201">
                  <c:v>-1.9604493893499164E-4</c:v>
                </c:pt>
                <c:pt idx="202">
                  <c:v>-8.191466628677313E-3</c:v>
                </c:pt>
                <c:pt idx="203">
                  <c:v>1.8187078109932475E-3</c:v>
                </c:pt>
                <c:pt idx="204">
                  <c:v>-1.1135128053971766E-3</c:v>
                </c:pt>
                <c:pt idx="205">
                  <c:v>-1.5503458463811404E-3</c:v>
                </c:pt>
                <c:pt idx="206">
                  <c:v>-1.5001096233946409E-4</c:v>
                </c:pt>
                <c:pt idx="207">
                  <c:v>-3.5529765281248071E-3</c:v>
                </c:pt>
                <c:pt idx="208">
                  <c:v>3.2972678685094792E-4</c:v>
                </c:pt>
                <c:pt idx="209">
                  <c:v>9.1153188427104404E-3</c:v>
                </c:pt>
                <c:pt idx="210">
                  <c:v>-2.8428924787127219E-4</c:v>
                </c:pt>
                <c:pt idx="211">
                  <c:v>-9.7250443832026523E-3</c:v>
                </c:pt>
                <c:pt idx="212">
                  <c:v>2.565180743479889E-3</c:v>
                </c:pt>
                <c:pt idx="213">
                  <c:v>-3.1332662147004475E-3</c:v>
                </c:pt>
                <c:pt idx="214">
                  <c:v>2.3337897101713301E-2</c:v>
                </c:pt>
                <c:pt idx="215">
                  <c:v>-3.7213386671869353E-3</c:v>
                </c:pt>
                <c:pt idx="216">
                  <c:v>-8.1926442325371829E-3</c:v>
                </c:pt>
                <c:pt idx="217">
                  <c:v>-2.9030497505244668E-5</c:v>
                </c:pt>
                <c:pt idx="218">
                  <c:v>-5.7419729757813842E-3</c:v>
                </c:pt>
                <c:pt idx="219">
                  <c:v>-7.9318566653368006E-3</c:v>
                </c:pt>
                <c:pt idx="220">
                  <c:v>2.3574209967374138E-3</c:v>
                </c:pt>
                <c:pt idx="221">
                  <c:v>4.6348093211379116E-3</c:v>
                </c:pt>
                <c:pt idx="222">
                  <c:v>1.8006428391226237E-3</c:v>
                </c:pt>
                <c:pt idx="223">
                  <c:v>-1.0292538967359155E-3</c:v>
                </c:pt>
                <c:pt idx="224">
                  <c:v>1.0656934590414613E-2</c:v>
                </c:pt>
                <c:pt idx="225">
                  <c:v>1.3628938519858469E-3</c:v>
                </c:pt>
                <c:pt idx="226">
                  <c:v>-1.1822809846120608E-2</c:v>
                </c:pt>
                <c:pt idx="227">
                  <c:v>-9.090111834303749E-3</c:v>
                </c:pt>
                <c:pt idx="228">
                  <c:v>4.95931454643328E-4</c:v>
                </c:pt>
                <c:pt idx="229">
                  <c:v>-1.0831932408439826E-2</c:v>
                </c:pt>
                <c:pt idx="230">
                  <c:v>-1.0318691845320527E-2</c:v>
                </c:pt>
                <c:pt idx="231">
                  <c:v>7.3946298170435298E-3</c:v>
                </c:pt>
                <c:pt idx="232">
                  <c:v>3.3312131844323023E-3</c:v>
                </c:pt>
                <c:pt idx="233">
                  <c:v>-6.571768208766593E-3</c:v>
                </c:pt>
                <c:pt idx="234">
                  <c:v>3.214623621934809E-3</c:v>
                </c:pt>
                <c:pt idx="235">
                  <c:v>-5.7508023070536041E-3</c:v>
                </c:pt>
                <c:pt idx="236">
                  <c:v>-3.3438831542101921E-3</c:v>
                </c:pt>
                <c:pt idx="237">
                  <c:v>2.14221799143266E-2</c:v>
                </c:pt>
                <c:pt idx="238">
                  <c:v>1.0212716851944581E-2</c:v>
                </c:pt>
                <c:pt idx="239">
                  <c:v>6.6913979910314669E-3</c:v>
                </c:pt>
                <c:pt idx="240">
                  <c:v>2.9400099255978862E-2</c:v>
                </c:pt>
                <c:pt idx="241">
                  <c:v>2.425217361126708E-2</c:v>
                </c:pt>
                <c:pt idx="242">
                  <c:v>-4.2245727916161657E-2</c:v>
                </c:pt>
                <c:pt idx="243">
                  <c:v>-1.0675481982827084E-2</c:v>
                </c:pt>
                <c:pt idx="244">
                  <c:v>-1.3732002739532678E-2</c:v>
                </c:pt>
                <c:pt idx="245">
                  <c:v>1.3272480190833047E-2</c:v>
                </c:pt>
                <c:pt idx="246">
                  <c:v>-1.6141179692581553E-2</c:v>
                </c:pt>
                <c:pt idx="247">
                  <c:v>-1.0953291912847773E-2</c:v>
                </c:pt>
                <c:pt idx="248">
                  <c:v>-9.2714071666579745E-3</c:v>
                </c:pt>
                <c:pt idx="249">
                  <c:v>-1.4106157207353087E-3</c:v>
                </c:pt>
                <c:pt idx="250">
                  <c:v>-8.9486283810951139E-3</c:v>
                </c:pt>
                <c:pt idx="251">
                  <c:v>1.8567709018225909E-2</c:v>
                </c:pt>
                <c:pt idx="252">
                  <c:v>-2.2192815076119699E-3</c:v>
                </c:pt>
                <c:pt idx="253">
                  <c:v>-2.3344280541429008E-2</c:v>
                </c:pt>
                <c:pt idx="254">
                  <c:v>1.5749937201938735E-3</c:v>
                </c:pt>
                <c:pt idx="255">
                  <c:v>-2.3682981012443038E-2</c:v>
                </c:pt>
                <c:pt idx="256">
                  <c:v>-6.7934927549115898E-3</c:v>
                </c:pt>
                <c:pt idx="257">
                  <c:v>-2.5943718268598426E-3</c:v>
                </c:pt>
                <c:pt idx="258">
                  <c:v>-1.6975478121715182E-2</c:v>
                </c:pt>
                <c:pt idx="259">
                  <c:v>-7.1738122105379221E-3</c:v>
                </c:pt>
                <c:pt idx="260">
                  <c:v>3.0501407022787141E-3</c:v>
                </c:pt>
                <c:pt idx="261">
                  <c:v>4.3799158540052119E-3</c:v>
                </c:pt>
                <c:pt idx="262">
                  <c:v>7.2232154460549758E-3</c:v>
                </c:pt>
                <c:pt idx="263">
                  <c:v>2.2071247535906391E-3</c:v>
                </c:pt>
                <c:pt idx="264">
                  <c:v>-7.8442055559048152E-3</c:v>
                </c:pt>
                <c:pt idx="265">
                  <c:v>2.1981252931417838E-3</c:v>
                </c:pt>
                <c:pt idx="266">
                  <c:v>1.9516625955884326E-3</c:v>
                </c:pt>
                <c:pt idx="267">
                  <c:v>1.3018825694461666E-2</c:v>
                </c:pt>
                <c:pt idx="268">
                  <c:v>-1.7300760214011945E-2</c:v>
                </c:pt>
                <c:pt idx="269">
                  <c:v>-1.8156251796893619E-3</c:v>
                </c:pt>
                <c:pt idx="270">
                  <c:v>-8.2000926290759502E-3</c:v>
                </c:pt>
                <c:pt idx="271">
                  <c:v>-2.9618985097462636E-3</c:v>
                </c:pt>
                <c:pt idx="272">
                  <c:v>-1.2232057638839056E-4</c:v>
                </c:pt>
                <c:pt idx="273">
                  <c:v>8.2877198955653153E-3</c:v>
                </c:pt>
                <c:pt idx="274">
                  <c:v>1.2474981444938082E-2</c:v>
                </c:pt>
                <c:pt idx="275">
                  <c:v>-2.4807365717414154E-3</c:v>
                </c:pt>
                <c:pt idx="276">
                  <c:v>1.6579394181517326E-2</c:v>
                </c:pt>
                <c:pt idx="277">
                  <c:v>-1.8966434310349611E-2</c:v>
                </c:pt>
                <c:pt idx="278">
                  <c:v>-1.0411237834365594E-2</c:v>
                </c:pt>
                <c:pt idx="279">
                  <c:v>-2.1740087807257669E-2</c:v>
                </c:pt>
                <c:pt idx="280">
                  <c:v>-8.219702760227654E-3</c:v>
                </c:pt>
                <c:pt idx="281">
                  <c:v>3.4539839656928528E-3</c:v>
                </c:pt>
                <c:pt idx="282">
                  <c:v>1.2607999243856582E-3</c:v>
                </c:pt>
                <c:pt idx="283">
                  <c:v>5.4463683462097734E-2</c:v>
                </c:pt>
                <c:pt idx="284">
                  <c:v>3.5450628591225941E-2</c:v>
                </c:pt>
                <c:pt idx="285">
                  <c:v>1.7338027799338018E-2</c:v>
                </c:pt>
                <c:pt idx="286">
                  <c:v>1.0125992572630693E-2</c:v>
                </c:pt>
                <c:pt idx="287">
                  <c:v>2.0760864820961178E-3</c:v>
                </c:pt>
                <c:pt idx="288">
                  <c:v>-1.1389731044005535E-2</c:v>
                </c:pt>
                <c:pt idx="289">
                  <c:v>-1.5407349939504766E-2</c:v>
                </c:pt>
                <c:pt idx="290">
                  <c:v>1.1740234692561691E-2</c:v>
                </c:pt>
                <c:pt idx="291">
                  <c:v>-1.756540897824288E-2</c:v>
                </c:pt>
                <c:pt idx="292">
                  <c:v>-6.6823024763184025E-3</c:v>
                </c:pt>
                <c:pt idx="293">
                  <c:v>-3.336390171687631E-4</c:v>
                </c:pt>
                <c:pt idx="294">
                  <c:v>-3.9605722400385401E-3</c:v>
                </c:pt>
                <c:pt idx="295">
                  <c:v>-1.1074895168314391E-2</c:v>
                </c:pt>
                <c:pt idx="296">
                  <c:v>-4.6830454094536345E-3</c:v>
                </c:pt>
                <c:pt idx="297">
                  <c:v>5.3947881530307384E-3</c:v>
                </c:pt>
                <c:pt idx="298">
                  <c:v>1.2199957799460037E-2</c:v>
                </c:pt>
                <c:pt idx="299">
                  <c:v>2.3022643026215928E-2</c:v>
                </c:pt>
                <c:pt idx="300">
                  <c:v>6.301273924710582E-3</c:v>
                </c:pt>
                <c:pt idx="301">
                  <c:v>-2.8419859543901138E-3</c:v>
                </c:pt>
                <c:pt idx="302">
                  <c:v>9.9364099933618721E-3</c:v>
                </c:pt>
                <c:pt idx="303">
                  <c:v>1.1614242327121715E-2</c:v>
                </c:pt>
                <c:pt idx="304">
                  <c:v>4.1473586210465374E-3</c:v>
                </c:pt>
                <c:pt idx="305">
                  <c:v>-4.5651042212913051E-3</c:v>
                </c:pt>
                <c:pt idx="306">
                  <c:v>1.6032533934722926E-2</c:v>
                </c:pt>
                <c:pt idx="307">
                  <c:v>8.5134071018657664E-3</c:v>
                </c:pt>
                <c:pt idx="308">
                  <c:v>6.8087031790999841E-3</c:v>
                </c:pt>
                <c:pt idx="309">
                  <c:v>2.5995952678685708E-3</c:v>
                </c:pt>
                <c:pt idx="310">
                  <c:v>-7.0252198931037846E-3</c:v>
                </c:pt>
                <c:pt idx="311">
                  <c:v>-2.5094895862769362E-2</c:v>
                </c:pt>
                <c:pt idx="312">
                  <c:v>2.4787677748703274E-3</c:v>
                </c:pt>
                <c:pt idx="313">
                  <c:v>-4.4135050204572313E-3</c:v>
                </c:pt>
                <c:pt idx="314">
                  <c:v>2.2728878855073908E-3</c:v>
                </c:pt>
                <c:pt idx="315">
                  <c:v>-3.1093153794011785E-3</c:v>
                </c:pt>
                <c:pt idx="316">
                  <c:v>4.4811830476252368E-3</c:v>
                </c:pt>
                <c:pt idx="317">
                  <c:v>-9.5380080623163055E-3</c:v>
                </c:pt>
                <c:pt idx="318">
                  <c:v>-5.9579852820440538E-3</c:v>
                </c:pt>
                <c:pt idx="319">
                  <c:v>-3.5388901438127007E-4</c:v>
                </c:pt>
                <c:pt idx="320">
                  <c:v>-1.0928860010053887E-2</c:v>
                </c:pt>
                <c:pt idx="321">
                  <c:v>-4.1808422867629647E-3</c:v>
                </c:pt>
                <c:pt idx="322">
                  <c:v>-2.2432586245020425E-2</c:v>
                </c:pt>
                <c:pt idx="323">
                  <c:v>-1.8055505300863528E-3</c:v>
                </c:pt>
                <c:pt idx="324">
                  <c:v>-1.0423193844192769E-2</c:v>
                </c:pt>
                <c:pt idx="325">
                  <c:v>-1.431858769384986E-2</c:v>
                </c:pt>
                <c:pt idx="326">
                  <c:v>1.0086468058045917E-3</c:v>
                </c:pt>
                <c:pt idx="327">
                  <c:v>-5.2242399108732851E-3</c:v>
                </c:pt>
                <c:pt idx="328">
                  <c:v>-6.0259061565547389E-3</c:v>
                </c:pt>
                <c:pt idx="329">
                  <c:v>-3.0382293059927346E-4</c:v>
                </c:pt>
                <c:pt idx="330">
                  <c:v>1.9832076429264767E-2</c:v>
                </c:pt>
                <c:pt idx="331">
                  <c:v>5.5509297807383451E-3</c:v>
                </c:pt>
                <c:pt idx="332">
                  <c:v>2.6859663643756804E-3</c:v>
                </c:pt>
                <c:pt idx="333">
                  <c:v>9.279729200794451E-3</c:v>
                </c:pt>
                <c:pt idx="334">
                  <c:v>-1.084250318607205E-2</c:v>
                </c:pt>
                <c:pt idx="335">
                  <c:v>-9.6989319459457324E-3</c:v>
                </c:pt>
                <c:pt idx="336">
                  <c:v>-7.2706511338586077E-3</c:v>
                </c:pt>
                <c:pt idx="337">
                  <c:v>-2.0785377785671466E-3</c:v>
                </c:pt>
                <c:pt idx="338">
                  <c:v>-1.3373191504865933E-2</c:v>
                </c:pt>
                <c:pt idx="339">
                  <c:v>-1.8719976171426289E-3</c:v>
                </c:pt>
                <c:pt idx="340">
                  <c:v>-7.2506779124281717E-4</c:v>
                </c:pt>
                <c:pt idx="341">
                  <c:v>-1.4549572056363314E-2</c:v>
                </c:pt>
                <c:pt idx="342">
                  <c:v>1.1726810348992034E-2</c:v>
                </c:pt>
                <c:pt idx="343">
                  <c:v>3.4694810321187486E-3</c:v>
                </c:pt>
                <c:pt idx="344">
                  <c:v>6.5662902551233415E-3</c:v>
                </c:pt>
                <c:pt idx="345">
                  <c:v>-3.9886277246077295E-3</c:v>
                </c:pt>
                <c:pt idx="346">
                  <c:v>-2.9333734833419944E-3</c:v>
                </c:pt>
                <c:pt idx="347">
                  <c:v>2.7157503106192138E-3</c:v>
                </c:pt>
                <c:pt idx="348">
                  <c:v>-1.2290916445421018E-2</c:v>
                </c:pt>
                <c:pt idx="349">
                  <c:v>-1.8053877199301072E-2</c:v>
                </c:pt>
                <c:pt idx="350">
                  <c:v>1.1763143286255717E-2</c:v>
                </c:pt>
                <c:pt idx="351">
                  <c:v>1.0058306530675409E-2</c:v>
                </c:pt>
                <c:pt idx="352">
                  <c:v>-1.4265272352430469E-2</c:v>
                </c:pt>
                <c:pt idx="353">
                  <c:v>-1.1695632066809236E-2</c:v>
                </c:pt>
                <c:pt idx="354">
                  <c:v>-1.0160509264141027E-3</c:v>
                </c:pt>
                <c:pt idx="355">
                  <c:v>-5.4554111285726181E-3</c:v>
                </c:pt>
                <c:pt idx="356">
                  <c:v>-8.5022588509489072E-3</c:v>
                </c:pt>
                <c:pt idx="357">
                  <c:v>-8.8945091906110774E-3</c:v>
                </c:pt>
                <c:pt idx="358">
                  <c:v>-8.6569555670159559E-3</c:v>
                </c:pt>
                <c:pt idx="359">
                  <c:v>5.7085631709601348E-3</c:v>
                </c:pt>
                <c:pt idx="360">
                  <c:v>-7.1430306465324334E-3</c:v>
                </c:pt>
                <c:pt idx="361">
                  <c:v>-5.7420963940751912E-2</c:v>
                </c:pt>
                <c:pt idx="362">
                  <c:v>-6.8549841889683494E-3</c:v>
                </c:pt>
                <c:pt idx="363">
                  <c:v>-6.3930869823425329E-4</c:v>
                </c:pt>
                <c:pt idx="364">
                  <c:v>9.6793930494369906E-3</c:v>
                </c:pt>
                <c:pt idx="365">
                  <c:v>-3.4176725070960146E-3</c:v>
                </c:pt>
                <c:pt idx="366">
                  <c:v>1.9183011427332808E-3</c:v>
                </c:pt>
                <c:pt idx="367">
                  <c:v>1.1815793540411068E-2</c:v>
                </c:pt>
                <c:pt idx="368">
                  <c:v>6.16511307890244E-3</c:v>
                </c:pt>
                <c:pt idx="369">
                  <c:v>-1.1870430091832085E-2</c:v>
                </c:pt>
                <c:pt idx="370">
                  <c:v>7.9585332387621666E-3</c:v>
                </c:pt>
                <c:pt idx="371">
                  <c:v>3.7914883496066309E-3</c:v>
                </c:pt>
                <c:pt idx="372">
                  <c:v>3.8779771472445823E-3</c:v>
                </c:pt>
                <c:pt idx="373">
                  <c:v>8.3256360669512475E-3</c:v>
                </c:pt>
                <c:pt idx="374">
                  <c:v>1.1897426098863795E-2</c:v>
                </c:pt>
                <c:pt idx="375">
                  <c:v>-5.6176306202034842E-3</c:v>
                </c:pt>
                <c:pt idx="376">
                  <c:v>2.4904208477907197E-3</c:v>
                </c:pt>
                <c:pt idx="377">
                  <c:v>9.4048809249149823E-3</c:v>
                </c:pt>
                <c:pt idx="378">
                  <c:v>2.4944144711374072E-3</c:v>
                </c:pt>
                <c:pt idx="379">
                  <c:v>1.2545598550604442E-2</c:v>
                </c:pt>
                <c:pt idx="380">
                  <c:v>-1.7603591656747408E-2</c:v>
                </c:pt>
                <c:pt idx="381">
                  <c:v>-8.443898768268121E-3</c:v>
                </c:pt>
                <c:pt idx="382">
                  <c:v>1.9269504818171246E-3</c:v>
                </c:pt>
                <c:pt idx="383">
                  <c:v>8.1418030701383426E-3</c:v>
                </c:pt>
                <c:pt idx="384">
                  <c:v>1.3828705108217099E-2</c:v>
                </c:pt>
                <c:pt idx="385">
                  <c:v>3.0679657754940637E-2</c:v>
                </c:pt>
                <c:pt idx="386">
                  <c:v>-2.1553437768415895E-2</c:v>
                </c:pt>
                <c:pt idx="387">
                  <c:v>-2.3292178920497619E-3</c:v>
                </c:pt>
                <c:pt idx="388">
                  <c:v>-1.9987652289782387E-3</c:v>
                </c:pt>
                <c:pt idx="389">
                  <c:v>-2.3386281564979905E-3</c:v>
                </c:pt>
                <c:pt idx="390">
                  <c:v>-1.0247889217920858E-2</c:v>
                </c:pt>
                <c:pt idx="391">
                  <c:v>-1.7014783777373643E-2</c:v>
                </c:pt>
                <c:pt idx="392">
                  <c:v>-4.9013330044811454E-5</c:v>
                </c:pt>
                <c:pt idx="393">
                  <c:v>-4.8273225195852865E-3</c:v>
                </c:pt>
                <c:pt idx="394">
                  <c:v>-1.7999198988526421E-3</c:v>
                </c:pt>
                <c:pt idx="395">
                  <c:v>1.4137494992971789E-4</c:v>
                </c:pt>
                <c:pt idx="396">
                  <c:v>-9.541550470564264E-4</c:v>
                </c:pt>
                <c:pt idx="397">
                  <c:v>3.9783326610869363E-3</c:v>
                </c:pt>
                <c:pt idx="398">
                  <c:v>-2.026802856078147E-3</c:v>
                </c:pt>
                <c:pt idx="399">
                  <c:v>-2.6925139643777518E-3</c:v>
                </c:pt>
                <c:pt idx="400">
                  <c:v>4.169776677594994E-3</c:v>
                </c:pt>
                <c:pt idx="401">
                  <c:v>1.2408180254439571E-3</c:v>
                </c:pt>
                <c:pt idx="402">
                  <c:v>3.5219679985063479E-3</c:v>
                </c:pt>
                <c:pt idx="403">
                  <c:v>3.0550318358122386E-3</c:v>
                </c:pt>
                <c:pt idx="404">
                  <c:v>-4.1990312359247994E-3</c:v>
                </c:pt>
                <c:pt idx="405">
                  <c:v>1.559087023963901E-3</c:v>
                </c:pt>
                <c:pt idx="406">
                  <c:v>9.7438863054843949E-4</c:v>
                </c:pt>
                <c:pt idx="407">
                  <c:v>-7.1932148149080888E-3</c:v>
                </c:pt>
                <c:pt idx="408">
                  <c:v>-7.8019530634253487E-3</c:v>
                </c:pt>
                <c:pt idx="409">
                  <c:v>-2.8572629102062708E-3</c:v>
                </c:pt>
                <c:pt idx="410">
                  <c:v>8.0351274058712008E-3</c:v>
                </c:pt>
                <c:pt idx="411">
                  <c:v>2.0624423278559068E-3</c:v>
                </c:pt>
                <c:pt idx="412">
                  <c:v>-4.7872415319797357E-3</c:v>
                </c:pt>
                <c:pt idx="413">
                  <c:v>-6.137020210030153E-3</c:v>
                </c:pt>
                <c:pt idx="414">
                  <c:v>-7.5366881162909349E-3</c:v>
                </c:pt>
                <c:pt idx="415">
                  <c:v>-6.0762710818840215E-4</c:v>
                </c:pt>
                <c:pt idx="416">
                  <c:v>2.4178338434899249E-3</c:v>
                </c:pt>
                <c:pt idx="417">
                  <c:v>-3.1698969205614658E-3</c:v>
                </c:pt>
                <c:pt idx="418">
                  <c:v>-1.2651233803112616E-3</c:v>
                </c:pt>
                <c:pt idx="419">
                  <c:v>7.1083913428289236E-3</c:v>
                </c:pt>
                <c:pt idx="420">
                  <c:v>2.8539584683755503E-3</c:v>
                </c:pt>
                <c:pt idx="421">
                  <c:v>6.3070461531240518E-3</c:v>
                </c:pt>
                <c:pt idx="422">
                  <c:v>6.5741588598533518E-4</c:v>
                </c:pt>
                <c:pt idx="423">
                  <c:v>3.0332860756154822E-3</c:v>
                </c:pt>
                <c:pt idx="424">
                  <c:v>2.1058132693809073E-2</c:v>
                </c:pt>
                <c:pt idx="425">
                  <c:v>8.1339573730856429E-3</c:v>
                </c:pt>
                <c:pt idx="426">
                  <c:v>-3.8348472017850632E-3</c:v>
                </c:pt>
                <c:pt idx="427">
                  <c:v>-7.9980324329158581E-3</c:v>
                </c:pt>
                <c:pt idx="428">
                  <c:v>1.9349860321553392E-2</c:v>
                </c:pt>
                <c:pt idx="429">
                  <c:v>-1.8465255407270953E-2</c:v>
                </c:pt>
                <c:pt idx="430">
                  <c:v>-8.1887063365404522E-3</c:v>
                </c:pt>
                <c:pt idx="431">
                  <c:v>-1.4615444678691358E-2</c:v>
                </c:pt>
                <c:pt idx="432">
                  <c:v>-4.265323988909886E-3</c:v>
                </c:pt>
                <c:pt idx="433">
                  <c:v>-2.0492059212821045E-2</c:v>
                </c:pt>
                <c:pt idx="434">
                  <c:v>-4.0230643553766932E-3</c:v>
                </c:pt>
                <c:pt idx="435">
                  <c:v>-1.1044750592968944E-2</c:v>
                </c:pt>
                <c:pt idx="436">
                  <c:v>-4.8476578362754985E-3</c:v>
                </c:pt>
                <c:pt idx="437">
                  <c:v>4.2987310721638305E-3</c:v>
                </c:pt>
                <c:pt idx="438">
                  <c:v>3.9514327518830328E-3</c:v>
                </c:pt>
                <c:pt idx="439">
                  <c:v>-1.8781007443289255E-3</c:v>
                </c:pt>
                <c:pt idx="440">
                  <c:v>-3.2915820559360487E-3</c:v>
                </c:pt>
                <c:pt idx="441">
                  <c:v>1.1980423987090205E-5</c:v>
                </c:pt>
                <c:pt idx="442">
                  <c:v>-8.4839216965437725E-4</c:v>
                </c:pt>
                <c:pt idx="443">
                  <c:v>3.1325236102521803E-3</c:v>
                </c:pt>
                <c:pt idx="444">
                  <c:v>8.4690474856994324E-3</c:v>
                </c:pt>
                <c:pt idx="445">
                  <c:v>1.1692082461723041E-2</c:v>
                </c:pt>
                <c:pt idx="446">
                  <c:v>7.3553231991954071E-3</c:v>
                </c:pt>
                <c:pt idx="447">
                  <c:v>-1.1058953114249426E-2</c:v>
                </c:pt>
                <c:pt idx="448">
                  <c:v>-4.5710155095619598E-3</c:v>
                </c:pt>
                <c:pt idx="449">
                  <c:v>1.6580291965251348E-3</c:v>
                </c:pt>
                <c:pt idx="450">
                  <c:v>-9.7144561471163016E-3</c:v>
                </c:pt>
                <c:pt idx="451">
                  <c:v>-3.5857679982588264E-3</c:v>
                </c:pt>
                <c:pt idx="452">
                  <c:v>3.1951912522227843E-3</c:v>
                </c:pt>
                <c:pt idx="453">
                  <c:v>-3.1895030078890052E-3</c:v>
                </c:pt>
                <c:pt idx="454">
                  <c:v>-4.7532975815246514E-3</c:v>
                </c:pt>
                <c:pt idx="455">
                  <c:v>-3.6627964952647973E-3</c:v>
                </c:pt>
                <c:pt idx="456">
                  <c:v>-7.8264477820880751E-3</c:v>
                </c:pt>
                <c:pt idx="457">
                  <c:v>2.0835090554216507E-3</c:v>
                </c:pt>
                <c:pt idx="458">
                  <c:v>6.0262727724991194E-4</c:v>
                </c:pt>
                <c:pt idx="459">
                  <c:v>-1.7057632329682271E-3</c:v>
                </c:pt>
                <c:pt idx="460">
                  <c:v>1.0565005859584087E-3</c:v>
                </c:pt>
                <c:pt idx="461">
                  <c:v>2.463825084735749E-3</c:v>
                </c:pt>
                <c:pt idx="462">
                  <c:v>-1.676324288783837E-3</c:v>
                </c:pt>
                <c:pt idx="463">
                  <c:v>3.6590424271154554E-4</c:v>
                </c:pt>
                <c:pt idx="464">
                  <c:v>-3.1395551460056126E-3</c:v>
                </c:pt>
                <c:pt idx="465">
                  <c:v>1.1938545407268908E-2</c:v>
                </c:pt>
                <c:pt idx="466">
                  <c:v>-9.3609473816214095E-4</c:v>
                </c:pt>
                <c:pt idx="467">
                  <c:v>-9.9828839508216971E-3</c:v>
                </c:pt>
                <c:pt idx="468">
                  <c:v>1.6259033001286838E-5</c:v>
                </c:pt>
                <c:pt idx="469">
                  <c:v>2.2767828762271236E-4</c:v>
                </c:pt>
                <c:pt idx="470">
                  <c:v>-2.6604667936780402E-4</c:v>
                </c:pt>
                <c:pt idx="471">
                  <c:v>1.4635265606300907E-2</c:v>
                </c:pt>
                <c:pt idx="472">
                  <c:v>5.7496055818835323E-3</c:v>
                </c:pt>
                <c:pt idx="473">
                  <c:v>2.4055184514726102E-2</c:v>
                </c:pt>
                <c:pt idx="474">
                  <c:v>2.7522608963665984E-3</c:v>
                </c:pt>
                <c:pt idx="475">
                  <c:v>-2.7433371041916788E-2</c:v>
                </c:pt>
                <c:pt idx="476">
                  <c:v>-8.6447886364858784E-3</c:v>
                </c:pt>
                <c:pt idx="477">
                  <c:v>-4.9404238615002871E-4</c:v>
                </c:pt>
                <c:pt idx="478">
                  <c:v>-7.9881192458148842E-3</c:v>
                </c:pt>
                <c:pt idx="479">
                  <c:v>2.1277732274491701E-3</c:v>
                </c:pt>
                <c:pt idx="480">
                  <c:v>9.4815267504875234E-3</c:v>
                </c:pt>
                <c:pt idx="481">
                  <c:v>-2.387622378440335E-2</c:v>
                </c:pt>
                <c:pt idx="482">
                  <c:v>-1.1341592101649312E-2</c:v>
                </c:pt>
                <c:pt idx="483">
                  <c:v>-1.0505839358636138E-2</c:v>
                </c:pt>
                <c:pt idx="484">
                  <c:v>-7.430764272703505E-3</c:v>
                </c:pt>
                <c:pt idx="485">
                  <c:v>9.8340573871236181E-4</c:v>
                </c:pt>
                <c:pt idx="486">
                  <c:v>-3.3934168280048693E-3</c:v>
                </c:pt>
                <c:pt idx="487">
                  <c:v>-4.0609237296743705E-3</c:v>
                </c:pt>
                <c:pt idx="488">
                  <c:v>5.0522584159629069E-4</c:v>
                </c:pt>
                <c:pt idx="489">
                  <c:v>6.4394228243647156E-4</c:v>
                </c:pt>
                <c:pt idx="490">
                  <c:v>1.2159292385738318E-3</c:v>
                </c:pt>
                <c:pt idx="491">
                  <c:v>2.9751269179498774E-3</c:v>
                </c:pt>
                <c:pt idx="492">
                  <c:v>-1.768047461245148E-3</c:v>
                </c:pt>
                <c:pt idx="493">
                  <c:v>6.775216446360588E-3</c:v>
                </c:pt>
                <c:pt idx="494">
                  <c:v>2.7366525665941666E-3</c:v>
                </c:pt>
                <c:pt idx="495">
                  <c:v>1.0295555051838878E-2</c:v>
                </c:pt>
                <c:pt idx="496">
                  <c:v>-9.3341247648948134E-3</c:v>
                </c:pt>
                <c:pt idx="497">
                  <c:v>-5.1226956763025244E-3</c:v>
                </c:pt>
                <c:pt idx="498">
                  <c:v>-6.9534898271428336E-4</c:v>
                </c:pt>
                <c:pt idx="499">
                  <c:v>-1.8485418559643918E-5</c:v>
                </c:pt>
                <c:pt idx="500">
                  <c:v>1.8976386366065245E-3</c:v>
                </c:pt>
                <c:pt idx="501">
                  <c:v>-7.599321362929401E-3</c:v>
                </c:pt>
                <c:pt idx="502">
                  <c:v>-4.6005384417275863E-3</c:v>
                </c:pt>
                <c:pt idx="503">
                  <c:v>2.2935553351961513E-3</c:v>
                </c:pt>
                <c:pt idx="504">
                  <c:v>4.7805320520997174E-3</c:v>
                </c:pt>
                <c:pt idx="505">
                  <c:v>6.0947348577533589E-5</c:v>
                </c:pt>
                <c:pt idx="506">
                  <c:v>5.0829179481992615E-3</c:v>
                </c:pt>
                <c:pt idx="507">
                  <c:v>3.377405867279748E-4</c:v>
                </c:pt>
                <c:pt idx="508">
                  <c:v>3.0245595377969003E-3</c:v>
                </c:pt>
                <c:pt idx="509">
                  <c:v>-7.5314044955773207E-3</c:v>
                </c:pt>
                <c:pt idx="510">
                  <c:v>7.863714675836242E-3</c:v>
                </c:pt>
                <c:pt idx="511">
                  <c:v>9.5886195965610987E-4</c:v>
                </c:pt>
                <c:pt idx="512">
                  <c:v>8.3002281408324219E-3</c:v>
                </c:pt>
                <c:pt idx="513">
                  <c:v>5.3590676905088674E-3</c:v>
                </c:pt>
                <c:pt idx="514">
                  <c:v>1.5532598114003093E-3</c:v>
                </c:pt>
                <c:pt idx="515">
                  <c:v>4.256449242900695E-3</c:v>
                </c:pt>
                <c:pt idx="516">
                  <c:v>1.4279265612396674E-2</c:v>
                </c:pt>
                <c:pt idx="517">
                  <c:v>3.7898483763521007E-3</c:v>
                </c:pt>
                <c:pt idx="518">
                  <c:v>-1.704082828213882E-3</c:v>
                </c:pt>
                <c:pt idx="519">
                  <c:v>1.1008800142745523E-2</c:v>
                </c:pt>
                <c:pt idx="520">
                  <c:v>5.933751340523985E-3</c:v>
                </c:pt>
                <c:pt idx="521">
                  <c:v>-1.085248880659917E-2</c:v>
                </c:pt>
                <c:pt idx="522">
                  <c:v>-7.6734710797637939E-3</c:v>
                </c:pt>
                <c:pt idx="523">
                  <c:v>-4.1584964297614047E-4</c:v>
                </c:pt>
                <c:pt idx="524">
                  <c:v>3.0727894842315084E-3</c:v>
                </c:pt>
                <c:pt idx="525">
                  <c:v>-6.8758209632929779E-3</c:v>
                </c:pt>
                <c:pt idx="526">
                  <c:v>-1.2373019304996902E-2</c:v>
                </c:pt>
                <c:pt idx="527">
                  <c:v>4.4414870279914087E-3</c:v>
                </c:pt>
                <c:pt idx="528">
                  <c:v>-6.4254390426067287E-3</c:v>
                </c:pt>
                <c:pt idx="529">
                  <c:v>-5.5387372025981207E-3</c:v>
                </c:pt>
                <c:pt idx="530">
                  <c:v>-9.2186681250839841E-3</c:v>
                </c:pt>
                <c:pt idx="531">
                  <c:v>4.6906487651985351E-3</c:v>
                </c:pt>
                <c:pt idx="532">
                  <c:v>-1.3740975657505539E-2</c:v>
                </c:pt>
                <c:pt idx="533">
                  <c:v>1.0096682252566103E-2</c:v>
                </c:pt>
                <c:pt idx="534">
                  <c:v>1.8519502184295433E-3</c:v>
                </c:pt>
                <c:pt idx="535">
                  <c:v>4.2429572388340553E-3</c:v>
                </c:pt>
                <c:pt idx="536">
                  <c:v>1.3027603329925475E-2</c:v>
                </c:pt>
                <c:pt idx="537">
                  <c:v>2.1444821541789505E-2</c:v>
                </c:pt>
                <c:pt idx="538">
                  <c:v>-1.3576611615610967E-2</c:v>
                </c:pt>
                <c:pt idx="539">
                  <c:v>3.1916668265945525E-3</c:v>
                </c:pt>
                <c:pt idx="540">
                  <c:v>-1.1411133553607011E-2</c:v>
                </c:pt>
                <c:pt idx="541">
                  <c:v>-9.5158797960656072E-3</c:v>
                </c:pt>
                <c:pt idx="542">
                  <c:v>-1.3559104520176835E-2</c:v>
                </c:pt>
                <c:pt idx="543">
                  <c:v>-1.3229302691857292E-3</c:v>
                </c:pt>
                <c:pt idx="544">
                  <c:v>-8.944813969603449E-3</c:v>
                </c:pt>
                <c:pt idx="545">
                  <c:v>-8.6578743649368128E-4</c:v>
                </c:pt>
                <c:pt idx="546">
                  <c:v>4.3961211029392988E-3</c:v>
                </c:pt>
                <c:pt idx="547">
                  <c:v>5.9519001441210584E-4</c:v>
                </c:pt>
                <c:pt idx="548">
                  <c:v>1.6597611995343931E-2</c:v>
                </c:pt>
                <c:pt idx="549">
                  <c:v>1.6291321732679886E-3</c:v>
                </c:pt>
                <c:pt idx="550">
                  <c:v>-9.4126290752324371E-3</c:v>
                </c:pt>
                <c:pt idx="551">
                  <c:v>1.9678667694043028E-3</c:v>
                </c:pt>
                <c:pt idx="552">
                  <c:v>1.6613085462021449E-2</c:v>
                </c:pt>
                <c:pt idx="553">
                  <c:v>1.0065238747933636E-2</c:v>
                </c:pt>
                <c:pt idx="554">
                  <c:v>-8.2017307796092842E-3</c:v>
                </c:pt>
                <c:pt idx="555">
                  <c:v>-7.3609576773890906E-3</c:v>
                </c:pt>
                <c:pt idx="556">
                  <c:v>1.2234951661793669E-3</c:v>
                </c:pt>
                <c:pt idx="557">
                  <c:v>-8.0640174854587077E-3</c:v>
                </c:pt>
                <c:pt idx="558">
                  <c:v>-6.2417566086454546E-3</c:v>
                </c:pt>
                <c:pt idx="559">
                  <c:v>-4.1565846871993717E-4</c:v>
                </c:pt>
                <c:pt idx="560">
                  <c:v>-8.6954059201258538E-3</c:v>
                </c:pt>
                <c:pt idx="561">
                  <c:v>7.197784331734125E-3</c:v>
                </c:pt>
                <c:pt idx="562">
                  <c:v>8.7070961406165992E-4</c:v>
                </c:pt>
                <c:pt idx="563">
                  <c:v>1.7499626014300107E-2</c:v>
                </c:pt>
                <c:pt idx="564">
                  <c:v>-1.718743309019799E-2</c:v>
                </c:pt>
                <c:pt idx="565">
                  <c:v>-9.967171784975859E-3</c:v>
                </c:pt>
                <c:pt idx="566">
                  <c:v>7.922388510400058E-3</c:v>
                </c:pt>
                <c:pt idx="567">
                  <c:v>-1.0801336288460361E-2</c:v>
                </c:pt>
                <c:pt idx="568">
                  <c:v>-1.2410839272743446E-2</c:v>
                </c:pt>
                <c:pt idx="569">
                  <c:v>-7.8417729033611883E-3</c:v>
                </c:pt>
                <c:pt idx="570">
                  <c:v>-7.1463652868741789E-4</c:v>
                </c:pt>
                <c:pt idx="571">
                  <c:v>-8.960921413512235E-3</c:v>
                </c:pt>
                <c:pt idx="572">
                  <c:v>-4.3005512165835702E-3</c:v>
                </c:pt>
                <c:pt idx="573">
                  <c:v>-3.0428922949135018E-3</c:v>
                </c:pt>
                <c:pt idx="574">
                  <c:v>3.4087071153867665E-3</c:v>
                </c:pt>
                <c:pt idx="575">
                  <c:v>-1.0991641998955304E-3</c:v>
                </c:pt>
                <c:pt idx="576">
                  <c:v>2.6802557223117862E-3</c:v>
                </c:pt>
                <c:pt idx="577">
                  <c:v>5.2541507791170616E-4</c:v>
                </c:pt>
                <c:pt idx="578">
                  <c:v>-3.8743671866928731E-3</c:v>
                </c:pt>
                <c:pt idx="579">
                  <c:v>3.6853444453086581E-3</c:v>
                </c:pt>
                <c:pt idx="580">
                  <c:v>3.5849017849194365E-3</c:v>
                </c:pt>
                <c:pt idx="581">
                  <c:v>7.687838141545722E-4</c:v>
                </c:pt>
                <c:pt idx="582">
                  <c:v>6.2785191354866043E-3</c:v>
                </c:pt>
                <c:pt idx="583">
                  <c:v>2.013226219196973E-3</c:v>
                </c:pt>
                <c:pt idx="584">
                  <c:v>-1.8563980911924238E-3</c:v>
                </c:pt>
                <c:pt idx="585">
                  <c:v>1.2096373297394436E-3</c:v>
                </c:pt>
                <c:pt idx="586">
                  <c:v>-2.3048617014094219E-3</c:v>
                </c:pt>
                <c:pt idx="587">
                  <c:v>7.320471507753501E-3</c:v>
                </c:pt>
                <c:pt idx="588">
                  <c:v>1.9494424205344085E-3</c:v>
                </c:pt>
                <c:pt idx="589">
                  <c:v>-5.0509731873702446E-3</c:v>
                </c:pt>
                <c:pt idx="590">
                  <c:v>4.4132257817981468E-3</c:v>
                </c:pt>
                <c:pt idx="591">
                  <c:v>7.849590364820358E-3</c:v>
                </c:pt>
                <c:pt idx="592">
                  <c:v>-1.0743898975485111E-2</c:v>
                </c:pt>
                <c:pt idx="593">
                  <c:v>2.2160234043173688E-3</c:v>
                </c:pt>
                <c:pt idx="594">
                  <c:v>-7.804384783033913E-3</c:v>
                </c:pt>
                <c:pt idx="595">
                  <c:v>8.6738777597439309E-3</c:v>
                </c:pt>
                <c:pt idx="596">
                  <c:v>7.7651602675863352E-3</c:v>
                </c:pt>
                <c:pt idx="597">
                  <c:v>9.2403494316295465E-3</c:v>
                </c:pt>
                <c:pt idx="598">
                  <c:v>3.2143171100353918E-3</c:v>
                </c:pt>
                <c:pt idx="599">
                  <c:v>1.0280688435120755E-2</c:v>
                </c:pt>
                <c:pt idx="600">
                  <c:v>9.3502670472125349E-3</c:v>
                </c:pt>
                <c:pt idx="601">
                  <c:v>6.8624767805463005E-3</c:v>
                </c:pt>
                <c:pt idx="602">
                  <c:v>6.688551497743056E-3</c:v>
                </c:pt>
                <c:pt idx="603">
                  <c:v>-4.0459356737094776E-3</c:v>
                </c:pt>
                <c:pt idx="604">
                  <c:v>-3.9876431037616511E-3</c:v>
                </c:pt>
                <c:pt idx="605">
                  <c:v>-8.5988144675053224E-4</c:v>
                </c:pt>
                <c:pt idx="606">
                  <c:v>3.2437583880882137E-3</c:v>
                </c:pt>
                <c:pt idx="607">
                  <c:v>2.9493308468147017E-3</c:v>
                </c:pt>
                <c:pt idx="608">
                  <c:v>1.2072875080799017E-2</c:v>
                </c:pt>
                <c:pt idx="609">
                  <c:v>-1.6583380587846808E-3</c:v>
                </c:pt>
                <c:pt idx="610">
                  <c:v>-2.2572033074216291E-3</c:v>
                </c:pt>
                <c:pt idx="611">
                  <c:v>5.6660917598667648E-3</c:v>
                </c:pt>
                <c:pt idx="612">
                  <c:v>7.3932104266209997E-3</c:v>
                </c:pt>
                <c:pt idx="613">
                  <c:v>1.1486703778020413E-2</c:v>
                </c:pt>
                <c:pt idx="614">
                  <c:v>8.2806599746443332E-4</c:v>
                </c:pt>
                <c:pt idx="615">
                  <c:v>3.2989340622522345E-3</c:v>
                </c:pt>
                <c:pt idx="616">
                  <c:v>9.2107095153362017E-3</c:v>
                </c:pt>
                <c:pt idx="617">
                  <c:v>8.3791556353716157E-3</c:v>
                </c:pt>
                <c:pt idx="618">
                  <c:v>8.7638613283529399E-3</c:v>
                </c:pt>
                <c:pt idx="619">
                  <c:v>1.2560014585825119E-3</c:v>
                </c:pt>
                <c:pt idx="620">
                  <c:v>5.8811819420125921E-3</c:v>
                </c:pt>
                <c:pt idx="621">
                  <c:v>-3.8038547602056161E-3</c:v>
                </c:pt>
                <c:pt idx="622">
                  <c:v>-3.1412422694775399E-3</c:v>
                </c:pt>
                <c:pt idx="623">
                  <c:v>2.9929555475063374E-3</c:v>
                </c:pt>
                <c:pt idx="624">
                  <c:v>9.2208013210388629E-3</c:v>
                </c:pt>
                <c:pt idx="625">
                  <c:v>6.210215066549285E-3</c:v>
                </c:pt>
                <c:pt idx="626">
                  <c:v>5.4229571854182979E-3</c:v>
                </c:pt>
                <c:pt idx="627">
                  <c:v>1.1682075196177699E-3</c:v>
                </c:pt>
                <c:pt idx="628">
                  <c:v>9.2809891131195865E-3</c:v>
                </c:pt>
                <c:pt idx="629">
                  <c:v>-7.0339108544348328E-4</c:v>
                </c:pt>
                <c:pt idx="630">
                  <c:v>5.7550253269680329E-3</c:v>
                </c:pt>
                <c:pt idx="631">
                  <c:v>-3.1243090935791917E-3</c:v>
                </c:pt>
                <c:pt idx="632">
                  <c:v>-3.7572709704595253E-3</c:v>
                </c:pt>
                <c:pt idx="633">
                  <c:v>1.1293427504845077E-2</c:v>
                </c:pt>
                <c:pt idx="634">
                  <c:v>1.7871771405496784E-2</c:v>
                </c:pt>
                <c:pt idx="635">
                  <c:v>2.6299895132277928E-3</c:v>
                </c:pt>
                <c:pt idx="636">
                  <c:v>5.6585229102597001E-3</c:v>
                </c:pt>
                <c:pt idx="637">
                  <c:v>-1.6429147046610582E-2</c:v>
                </c:pt>
                <c:pt idx="638">
                  <c:v>9.4419335171243013E-3</c:v>
                </c:pt>
                <c:pt idx="639">
                  <c:v>-1.1446624727919463E-2</c:v>
                </c:pt>
                <c:pt idx="640">
                  <c:v>-3.212846160501992E-3</c:v>
                </c:pt>
                <c:pt idx="641">
                  <c:v>9.2282597950374967E-3</c:v>
                </c:pt>
                <c:pt idx="642">
                  <c:v>2.7508157449092074E-3</c:v>
                </c:pt>
                <c:pt idx="643">
                  <c:v>1.6854684528233577E-4</c:v>
                </c:pt>
                <c:pt idx="644">
                  <c:v>4.8851686479107759E-3</c:v>
                </c:pt>
                <c:pt idx="645">
                  <c:v>1.446718360518906E-3</c:v>
                </c:pt>
                <c:pt idx="646">
                  <c:v>-8.7412472142736064E-3</c:v>
                </c:pt>
                <c:pt idx="647">
                  <c:v>1.9141047555346624E-3</c:v>
                </c:pt>
                <c:pt idx="648">
                  <c:v>5.2962320380531835E-3</c:v>
                </c:pt>
                <c:pt idx="649">
                  <c:v>7.9084454365792034E-3</c:v>
                </c:pt>
                <c:pt idx="650">
                  <c:v>-1.0334051527833177E-2</c:v>
                </c:pt>
                <c:pt idx="651">
                  <c:v>-2.4994135546517748E-3</c:v>
                </c:pt>
                <c:pt idx="652">
                  <c:v>5.7185578999834341E-3</c:v>
                </c:pt>
                <c:pt idx="653">
                  <c:v>4.2830947069492087E-3</c:v>
                </c:pt>
                <c:pt idx="654">
                  <c:v>3.9225635872597309E-4</c:v>
                </c:pt>
                <c:pt idx="655">
                  <c:v>-2.9473978521108446E-3</c:v>
                </c:pt>
                <c:pt idx="656">
                  <c:v>3.8223732460600512E-3</c:v>
                </c:pt>
                <c:pt idx="657">
                  <c:v>1.7168016476401871E-2</c:v>
                </c:pt>
                <c:pt idx="658">
                  <c:v>7.1659498434855085E-3</c:v>
                </c:pt>
                <c:pt idx="659">
                  <c:v>9.5583826774183756E-3</c:v>
                </c:pt>
                <c:pt idx="660">
                  <c:v>-4.3815133509718107E-3</c:v>
                </c:pt>
                <c:pt idx="661">
                  <c:v>-1.0227936381452474E-2</c:v>
                </c:pt>
                <c:pt idx="662">
                  <c:v>7.5310118145965887E-3</c:v>
                </c:pt>
                <c:pt idx="663">
                  <c:v>-1.8578512623115273E-3</c:v>
                </c:pt>
                <c:pt idx="664">
                  <c:v>4.6308720214134347E-3</c:v>
                </c:pt>
                <c:pt idx="665">
                  <c:v>1.089820171846223E-2</c:v>
                </c:pt>
                <c:pt idx="666">
                  <c:v>4.5647024296167071E-3</c:v>
                </c:pt>
                <c:pt idx="667">
                  <c:v>1.3934523503770224E-2</c:v>
                </c:pt>
                <c:pt idx="668">
                  <c:v>7.0781179484160628E-3</c:v>
                </c:pt>
                <c:pt idx="669">
                  <c:v>3.0739886523656335E-3</c:v>
                </c:pt>
                <c:pt idx="670">
                  <c:v>9.6378272525599051E-3</c:v>
                </c:pt>
                <c:pt idx="671">
                  <c:v>4.3764152586656113E-3</c:v>
                </c:pt>
                <c:pt idx="672">
                  <c:v>-1.0241054484223522E-3</c:v>
                </c:pt>
                <c:pt idx="673">
                  <c:v>6.8253032606335751E-3</c:v>
                </c:pt>
                <c:pt idx="674">
                  <c:v>3.3453328304042795E-3</c:v>
                </c:pt>
                <c:pt idx="675">
                  <c:v>7.1850368288464139E-3</c:v>
                </c:pt>
                <c:pt idx="676">
                  <c:v>-1.1571567630234703E-2</c:v>
                </c:pt>
                <c:pt idx="677">
                  <c:v>-2.2461855767604844E-3</c:v>
                </c:pt>
                <c:pt idx="678">
                  <c:v>1.162459084862455E-2</c:v>
                </c:pt>
                <c:pt idx="679">
                  <c:v>2.177673042952355E-3</c:v>
                </c:pt>
                <c:pt idx="680">
                  <c:v>2.6559543175874722E-4</c:v>
                </c:pt>
                <c:pt idx="681">
                  <c:v>1.3433870850163787E-2</c:v>
                </c:pt>
                <c:pt idx="682">
                  <c:v>3.4681191877585782E-3</c:v>
                </c:pt>
                <c:pt idx="683">
                  <c:v>3.9998644113758974E-3</c:v>
                </c:pt>
                <c:pt idx="684">
                  <c:v>9.827897689455245E-3</c:v>
                </c:pt>
                <c:pt idx="685">
                  <c:v>1.3536304008850752E-2</c:v>
                </c:pt>
                <c:pt idx="686">
                  <c:v>4.5656176847015395E-3</c:v>
                </c:pt>
                <c:pt idx="687">
                  <c:v>-1.7142520034178599E-2</c:v>
                </c:pt>
                <c:pt idx="688">
                  <c:v>-1.5468408361483998E-2</c:v>
                </c:pt>
                <c:pt idx="689">
                  <c:v>1.059573557618565E-2</c:v>
                </c:pt>
                <c:pt idx="690">
                  <c:v>2.0065746270386375E-2</c:v>
                </c:pt>
                <c:pt idx="691">
                  <c:v>1.7390518335697935E-2</c:v>
                </c:pt>
                <c:pt idx="692">
                  <c:v>-3.4446251136033834E-2</c:v>
                </c:pt>
                <c:pt idx="693">
                  <c:v>-1.4455795201357979E-3</c:v>
                </c:pt>
                <c:pt idx="694">
                  <c:v>-1.7673158239533082E-2</c:v>
                </c:pt>
                <c:pt idx="695">
                  <c:v>8.6180195637115542E-3</c:v>
                </c:pt>
                <c:pt idx="696">
                  <c:v>-5.459539372472122E-4</c:v>
                </c:pt>
                <c:pt idx="697">
                  <c:v>-1.5444065367131277E-2</c:v>
                </c:pt>
                <c:pt idx="698">
                  <c:v>2.8454285603429774E-4</c:v>
                </c:pt>
                <c:pt idx="699">
                  <c:v>1.1667791325608246E-2</c:v>
                </c:pt>
                <c:pt idx="700">
                  <c:v>-1.5625546259308121E-2</c:v>
                </c:pt>
                <c:pt idx="701">
                  <c:v>-1.4812196359944907E-2</c:v>
                </c:pt>
                <c:pt idx="702">
                  <c:v>-2.9947749581148431E-3</c:v>
                </c:pt>
                <c:pt idx="703">
                  <c:v>2.504008769466326E-3</c:v>
                </c:pt>
                <c:pt idx="704">
                  <c:v>-8.9246433285149473E-3</c:v>
                </c:pt>
                <c:pt idx="705">
                  <c:v>9.3283917421271845E-4</c:v>
                </c:pt>
                <c:pt idx="706">
                  <c:v>-4.957631210899649E-3</c:v>
                </c:pt>
                <c:pt idx="707">
                  <c:v>-2.3196143016711579E-3</c:v>
                </c:pt>
                <c:pt idx="708">
                  <c:v>3.5975925319065016E-3</c:v>
                </c:pt>
                <c:pt idx="709">
                  <c:v>1.2420727440180857E-2</c:v>
                </c:pt>
                <c:pt idx="710">
                  <c:v>5.0491338485114667E-3</c:v>
                </c:pt>
                <c:pt idx="711">
                  <c:v>-3.6654043200575748E-3</c:v>
                </c:pt>
                <c:pt idx="712">
                  <c:v>1.5006946978156632E-2</c:v>
                </c:pt>
                <c:pt idx="713">
                  <c:v>4.0760140541999945E-3</c:v>
                </c:pt>
                <c:pt idx="714">
                  <c:v>-2.1416478503210046E-3</c:v>
                </c:pt>
                <c:pt idx="715">
                  <c:v>5.7096278251052013E-3</c:v>
                </c:pt>
                <c:pt idx="716">
                  <c:v>1.2774295702473459E-2</c:v>
                </c:pt>
                <c:pt idx="717">
                  <c:v>-1.2534330137543348E-2</c:v>
                </c:pt>
                <c:pt idx="718">
                  <c:v>-1.6576028400395848E-2</c:v>
                </c:pt>
                <c:pt idx="719">
                  <c:v>-9.3009539764700166E-3</c:v>
                </c:pt>
                <c:pt idx="720">
                  <c:v>-3.1920131143047259E-3</c:v>
                </c:pt>
                <c:pt idx="721">
                  <c:v>1.788848014920208E-2</c:v>
                </c:pt>
                <c:pt idx="722">
                  <c:v>-6.8131142878499196E-3</c:v>
                </c:pt>
                <c:pt idx="723">
                  <c:v>-4.4269793443930672E-3</c:v>
                </c:pt>
                <c:pt idx="724">
                  <c:v>1.9750697457869837E-3</c:v>
                </c:pt>
                <c:pt idx="725">
                  <c:v>2.2708292646634876E-2</c:v>
                </c:pt>
                <c:pt idx="726">
                  <c:v>-2.331246661991937E-2</c:v>
                </c:pt>
                <c:pt idx="727">
                  <c:v>-2.5300699226406653E-2</c:v>
                </c:pt>
                <c:pt idx="728">
                  <c:v>1.1789976817763392E-2</c:v>
                </c:pt>
                <c:pt idx="729">
                  <c:v>3.0855267768734596E-3</c:v>
                </c:pt>
                <c:pt idx="730">
                  <c:v>-6.2698667809565345E-3</c:v>
                </c:pt>
                <c:pt idx="731">
                  <c:v>-8.8603965407991758E-3</c:v>
                </c:pt>
                <c:pt idx="732">
                  <c:v>-1.3012831151135162E-2</c:v>
                </c:pt>
                <c:pt idx="733">
                  <c:v>1.681616311503431E-3</c:v>
                </c:pt>
                <c:pt idx="734">
                  <c:v>3.401008187352117E-3</c:v>
                </c:pt>
                <c:pt idx="735">
                  <c:v>-1.6330104733744188E-2</c:v>
                </c:pt>
                <c:pt idx="736">
                  <c:v>-4.4054378441210629E-3</c:v>
                </c:pt>
                <c:pt idx="737">
                  <c:v>-3.5365598730676684E-3</c:v>
                </c:pt>
                <c:pt idx="738">
                  <c:v>1.479178249558899E-3</c:v>
                </c:pt>
                <c:pt idx="739">
                  <c:v>1.1613523914237867E-3</c:v>
                </c:pt>
                <c:pt idx="740">
                  <c:v>3.2886799087166185E-3</c:v>
                </c:pt>
                <c:pt idx="741">
                  <c:v>-8.3258837384602158E-3</c:v>
                </c:pt>
                <c:pt idx="742">
                  <c:v>-9.9622628737752184E-3</c:v>
                </c:pt>
                <c:pt idx="743">
                  <c:v>2.414211438474867E-2</c:v>
                </c:pt>
                <c:pt idx="744">
                  <c:v>-1.5529720082852583E-2</c:v>
                </c:pt>
                <c:pt idx="745">
                  <c:v>2.487781420765045E-2</c:v>
                </c:pt>
                <c:pt idx="746">
                  <c:v>1.5035392009996373E-2</c:v>
                </c:pt>
                <c:pt idx="747">
                  <c:v>2.184369307832279E-3</c:v>
                </c:pt>
                <c:pt idx="748">
                  <c:v>-3.2676204170425383E-3</c:v>
                </c:pt>
                <c:pt idx="749">
                  <c:v>5.4352282653260531E-3</c:v>
                </c:pt>
                <c:pt idx="750">
                  <c:v>-7.5402666515695937E-3</c:v>
                </c:pt>
                <c:pt idx="751">
                  <c:v>5.9388319881827911E-3</c:v>
                </c:pt>
                <c:pt idx="752">
                  <c:v>4.0149498524636895E-2</c:v>
                </c:pt>
                <c:pt idx="753">
                  <c:v>8.1761769234358628E-3</c:v>
                </c:pt>
                <c:pt idx="754">
                  <c:v>2.6646656724069739E-3</c:v>
                </c:pt>
                <c:pt idx="755">
                  <c:v>2.9540545054960177E-3</c:v>
                </c:pt>
                <c:pt idx="756">
                  <c:v>2.1062172789918732E-2</c:v>
                </c:pt>
                <c:pt idx="757">
                  <c:v>1.6572217817423018E-2</c:v>
                </c:pt>
                <c:pt idx="758">
                  <c:v>6.8275250662943598E-3</c:v>
                </c:pt>
                <c:pt idx="759">
                  <c:v>-3.2667408248765462E-3</c:v>
                </c:pt>
                <c:pt idx="760">
                  <c:v>8.0026327301963018E-3</c:v>
                </c:pt>
                <c:pt idx="761">
                  <c:v>-6.5485128317570584E-3</c:v>
                </c:pt>
                <c:pt idx="762">
                  <c:v>-2.9337934749935624E-3</c:v>
                </c:pt>
                <c:pt idx="763">
                  <c:v>-4.6551208271971012E-3</c:v>
                </c:pt>
                <c:pt idx="764">
                  <c:v>4.016440290806722E-3</c:v>
                </c:pt>
                <c:pt idx="765">
                  <c:v>6.2359411619226091E-3</c:v>
                </c:pt>
                <c:pt idx="766">
                  <c:v>4.8876896494591815E-3</c:v>
                </c:pt>
                <c:pt idx="767">
                  <c:v>3.9763951047566692E-3</c:v>
                </c:pt>
                <c:pt idx="768">
                  <c:v>-7.3018844402572558E-4</c:v>
                </c:pt>
                <c:pt idx="769">
                  <c:v>5.7937496765769758E-3</c:v>
                </c:pt>
                <c:pt idx="770">
                  <c:v>9.9601393414447958E-3</c:v>
                </c:pt>
                <c:pt idx="771">
                  <c:v>8.0995205537746084E-3</c:v>
                </c:pt>
                <c:pt idx="772">
                  <c:v>6.3030822092393635E-3</c:v>
                </c:pt>
                <c:pt idx="773">
                  <c:v>7.6250708878862206E-3</c:v>
                </c:pt>
                <c:pt idx="774">
                  <c:v>-3.0685277212186834E-3</c:v>
                </c:pt>
                <c:pt idx="775">
                  <c:v>2.6144515710326832E-3</c:v>
                </c:pt>
                <c:pt idx="776">
                  <c:v>1.485025309191812E-3</c:v>
                </c:pt>
                <c:pt idx="777">
                  <c:v>5.9339690763244857E-3</c:v>
                </c:pt>
                <c:pt idx="778">
                  <c:v>3.2152271830956369E-3</c:v>
                </c:pt>
                <c:pt idx="779">
                  <c:v>-5.6531457619982683E-3</c:v>
                </c:pt>
                <c:pt idx="780">
                  <c:v>-7.1455503733637293E-3</c:v>
                </c:pt>
                <c:pt idx="781">
                  <c:v>-1.4650755455155595E-3</c:v>
                </c:pt>
                <c:pt idx="782">
                  <c:v>-3.6635413417491769E-3</c:v>
                </c:pt>
                <c:pt idx="783">
                  <c:v>6.9138093488334551E-3</c:v>
                </c:pt>
                <c:pt idx="784">
                  <c:v>7.5599920291402611E-4</c:v>
                </c:pt>
                <c:pt idx="785">
                  <c:v>-7.604438708835648E-3</c:v>
                </c:pt>
                <c:pt idx="786">
                  <c:v>4.3696467220484259E-3</c:v>
                </c:pt>
                <c:pt idx="787">
                  <c:v>-3.2553412087420464E-3</c:v>
                </c:pt>
                <c:pt idx="788">
                  <c:v>-5.7689927294051202E-3</c:v>
                </c:pt>
                <c:pt idx="789">
                  <c:v>8.9770800117805472E-4</c:v>
                </c:pt>
                <c:pt idx="790">
                  <c:v>-3.7372625512938074E-3</c:v>
                </c:pt>
                <c:pt idx="791">
                  <c:v>4.5776079356043553E-3</c:v>
                </c:pt>
                <c:pt idx="792">
                  <c:v>-1.706571212314878E-3</c:v>
                </c:pt>
                <c:pt idx="793">
                  <c:v>1.9579617678993078E-3</c:v>
                </c:pt>
                <c:pt idx="794">
                  <c:v>4.4315740460882935E-3</c:v>
                </c:pt>
                <c:pt idx="795">
                  <c:v>1.0437258826685447E-2</c:v>
                </c:pt>
                <c:pt idx="796">
                  <c:v>1.5665947438472383E-3</c:v>
                </c:pt>
                <c:pt idx="797">
                  <c:v>-6.0477078694154418E-3</c:v>
                </c:pt>
                <c:pt idx="798">
                  <c:v>-4.9161796480383657E-3</c:v>
                </c:pt>
                <c:pt idx="799">
                  <c:v>-4.4810471242543448E-3</c:v>
                </c:pt>
                <c:pt idx="800">
                  <c:v>-5.7353793587366919E-4</c:v>
                </c:pt>
                <c:pt idx="801">
                  <c:v>-8.1346280949690097E-5</c:v>
                </c:pt>
                <c:pt idx="802">
                  <c:v>3.0802811011496622E-3</c:v>
                </c:pt>
                <c:pt idx="803">
                  <c:v>5.0229106229433551E-3</c:v>
                </c:pt>
                <c:pt idx="804">
                  <c:v>1.1000987215457059E-3</c:v>
                </c:pt>
                <c:pt idx="805">
                  <c:v>6.8691168721133344E-3</c:v>
                </c:pt>
                <c:pt idx="806">
                  <c:v>-1.6529437895806964E-4</c:v>
                </c:pt>
                <c:pt idx="807">
                  <c:v>6.2685822400567748E-3</c:v>
                </c:pt>
                <c:pt idx="808">
                  <c:v>-1.0015725471146597E-2</c:v>
                </c:pt>
                <c:pt idx="809">
                  <c:v>-1.1919942566255393E-2</c:v>
                </c:pt>
                <c:pt idx="810">
                  <c:v>-3.5444607920622762E-3</c:v>
                </c:pt>
                <c:pt idx="811">
                  <c:v>1.1361653607528943E-3</c:v>
                </c:pt>
                <c:pt idx="812">
                  <c:v>-3.6004018865217757E-3</c:v>
                </c:pt>
                <c:pt idx="813">
                  <c:v>-1.0268127787370518E-2</c:v>
                </c:pt>
                <c:pt idx="814">
                  <c:v>5.3650324003906569E-4</c:v>
                </c:pt>
                <c:pt idx="815">
                  <c:v>6.4513659286482561E-3</c:v>
                </c:pt>
                <c:pt idx="816">
                  <c:v>-3.8295028269679232E-3</c:v>
                </c:pt>
                <c:pt idx="817">
                  <c:v>-4.2469252261362334E-3</c:v>
                </c:pt>
                <c:pt idx="818">
                  <c:v>6.438558133079697E-3</c:v>
                </c:pt>
                <c:pt idx="819">
                  <c:v>-1.4381061989208188E-3</c:v>
                </c:pt>
                <c:pt idx="820">
                  <c:v>1.3354437635380023E-3</c:v>
                </c:pt>
                <c:pt idx="821">
                  <c:v>4.0844248606664024E-4</c:v>
                </c:pt>
                <c:pt idx="822">
                  <c:v>-8.3836779646137005E-3</c:v>
                </c:pt>
                <c:pt idx="823">
                  <c:v>-1.5081933710234252E-2</c:v>
                </c:pt>
                <c:pt idx="824">
                  <c:v>-3.0912991096352371E-3</c:v>
                </c:pt>
                <c:pt idx="825">
                  <c:v>-2.3764806588481013E-3</c:v>
                </c:pt>
                <c:pt idx="826">
                  <c:v>3.1898583287259807E-3</c:v>
                </c:pt>
                <c:pt idx="827">
                  <c:v>1.6496011500075625E-3</c:v>
                </c:pt>
                <c:pt idx="828">
                  <c:v>-3.7494724237097099E-4</c:v>
                </c:pt>
                <c:pt idx="829">
                  <c:v>1.6514709785304893E-2</c:v>
                </c:pt>
                <c:pt idx="830">
                  <c:v>7.9671258005342693E-3</c:v>
                </c:pt>
                <c:pt idx="831">
                  <c:v>-1.3337832843206554E-3</c:v>
                </c:pt>
                <c:pt idx="832">
                  <c:v>3.8595090317350422E-3</c:v>
                </c:pt>
                <c:pt idx="833">
                  <c:v>2.1460788593044011E-3</c:v>
                </c:pt>
                <c:pt idx="834">
                  <c:v>4.2087576250757763E-3</c:v>
                </c:pt>
                <c:pt idx="835">
                  <c:v>7.418946628151124E-3</c:v>
                </c:pt>
                <c:pt idx="836">
                  <c:v>6.0281106161381715E-3</c:v>
                </c:pt>
                <c:pt idx="837">
                  <c:v>-3.4678242477158561E-3</c:v>
                </c:pt>
                <c:pt idx="838">
                  <c:v>1.2250752590203806E-3</c:v>
                </c:pt>
                <c:pt idx="839">
                  <c:v>9.4457459964329971E-3</c:v>
                </c:pt>
                <c:pt idx="840">
                  <c:v>9.6202711661650397E-3</c:v>
                </c:pt>
                <c:pt idx="841">
                  <c:v>4.0189567090749279E-3</c:v>
                </c:pt>
                <c:pt idx="842">
                  <c:v>-6.7759211832522093E-3</c:v>
                </c:pt>
                <c:pt idx="843">
                  <c:v>1.7938866013356147E-4</c:v>
                </c:pt>
                <c:pt idx="844">
                  <c:v>9.79251968421746E-4</c:v>
                </c:pt>
                <c:pt idx="845">
                  <c:v>1.4675536535242895E-2</c:v>
                </c:pt>
                <c:pt idx="846">
                  <c:v>-1.357146439737178E-2</c:v>
                </c:pt>
                <c:pt idx="847">
                  <c:v>-1.5318511445668981E-2</c:v>
                </c:pt>
                <c:pt idx="848">
                  <c:v>3.3202078531760604E-2</c:v>
                </c:pt>
                <c:pt idx="849">
                  <c:v>1.5097002829473904E-2</c:v>
                </c:pt>
                <c:pt idx="850">
                  <c:v>2.2130794939389631E-2</c:v>
                </c:pt>
                <c:pt idx="851">
                  <c:v>-2.6621783659503961E-3</c:v>
                </c:pt>
                <c:pt idx="852">
                  <c:v>4.1312032771035678E-2</c:v>
                </c:pt>
                <c:pt idx="853">
                  <c:v>2.177531304060798E-2</c:v>
                </c:pt>
                <c:pt idx="854">
                  <c:v>1.3617532187110148E-2</c:v>
                </c:pt>
                <c:pt idx="855">
                  <c:v>1.0361526658995146E-2</c:v>
                </c:pt>
                <c:pt idx="856">
                  <c:v>3.5269719526336285E-3</c:v>
                </c:pt>
                <c:pt idx="857">
                  <c:v>2.6921536746933317E-3</c:v>
                </c:pt>
                <c:pt idx="858">
                  <c:v>3.9500420191471708E-3</c:v>
                </c:pt>
                <c:pt idx="859">
                  <c:v>1.1796330738336636E-2</c:v>
                </c:pt>
                <c:pt idx="860">
                  <c:v>1.0155048457241023E-3</c:v>
                </c:pt>
                <c:pt idx="861">
                  <c:v>-2.2027563824865704E-3</c:v>
                </c:pt>
                <c:pt idx="862">
                  <c:v>3.8426102232103077E-3</c:v>
                </c:pt>
                <c:pt idx="863">
                  <c:v>4.8165228210850231E-3</c:v>
                </c:pt>
                <c:pt idx="864">
                  <c:v>-4.5390761124669554E-3</c:v>
                </c:pt>
                <c:pt idx="865">
                  <c:v>-2.4417330420904992E-3</c:v>
                </c:pt>
                <c:pt idx="866">
                  <c:v>-7.5205651937459983E-4</c:v>
                </c:pt>
                <c:pt idx="867">
                  <c:v>-1.802171898344862E-3</c:v>
                </c:pt>
                <c:pt idx="868">
                  <c:v>-2.4174151465329308E-3</c:v>
                </c:pt>
                <c:pt idx="869">
                  <c:v>9.3215414766740778E-3</c:v>
                </c:pt>
                <c:pt idx="870">
                  <c:v>2.6657566795581511E-2</c:v>
                </c:pt>
                <c:pt idx="871">
                  <c:v>-1.3656408793617514E-3</c:v>
                </c:pt>
                <c:pt idx="872">
                  <c:v>2.056468136126588E-3</c:v>
                </c:pt>
                <c:pt idx="873">
                  <c:v>-2.5281324115657977E-3</c:v>
                </c:pt>
                <c:pt idx="874">
                  <c:v>-1.5568397664236233E-3</c:v>
                </c:pt>
                <c:pt idx="875">
                  <c:v>-7.4784535028216137E-3</c:v>
                </c:pt>
                <c:pt idx="876">
                  <c:v>-1.5010688496813196E-2</c:v>
                </c:pt>
                <c:pt idx="877">
                  <c:v>2.5319620117318253E-2</c:v>
                </c:pt>
                <c:pt idx="878">
                  <c:v>-3.720792158914743E-3</c:v>
                </c:pt>
                <c:pt idx="879">
                  <c:v>0.1029453793754076</c:v>
                </c:pt>
                <c:pt idx="880">
                  <c:v>-4.4691256577116367E-2</c:v>
                </c:pt>
                <c:pt idx="881">
                  <c:v>-4.9570328344220926E-2</c:v>
                </c:pt>
                <c:pt idx="882">
                  <c:v>-3.8898681827426951E-2</c:v>
                </c:pt>
                <c:pt idx="883">
                  <c:v>-2.3991605773866276E-2</c:v>
                </c:pt>
                <c:pt idx="884">
                  <c:v>1.8083304461639083E-2</c:v>
                </c:pt>
                <c:pt idx="885">
                  <c:v>3.6993051483888539E-2</c:v>
                </c:pt>
                <c:pt idx="886">
                  <c:v>-6.5151677714594958E-2</c:v>
                </c:pt>
                <c:pt idx="887">
                  <c:v>-2.2146297850600183E-2</c:v>
                </c:pt>
                <c:pt idx="888">
                  <c:v>-5.7011715295196552E-3</c:v>
                </c:pt>
                <c:pt idx="889">
                  <c:v>-1.2639748145461205E-2</c:v>
                </c:pt>
                <c:pt idx="890">
                  <c:v>7.0487799928293793E-3</c:v>
                </c:pt>
                <c:pt idx="891">
                  <c:v>5.6463737355185728E-3</c:v>
                </c:pt>
                <c:pt idx="892">
                  <c:v>-1.5693425769270353E-2</c:v>
                </c:pt>
                <c:pt idx="893">
                  <c:v>-1.5143621499589921E-2</c:v>
                </c:pt>
                <c:pt idx="894">
                  <c:v>-1.5597714008729335E-2</c:v>
                </c:pt>
                <c:pt idx="895">
                  <c:v>-6.3858745315413801E-3</c:v>
                </c:pt>
                <c:pt idx="896">
                  <c:v>-1.0215178478321429E-2</c:v>
                </c:pt>
                <c:pt idx="897">
                  <c:v>-7.2362110565079574E-3</c:v>
                </c:pt>
                <c:pt idx="898">
                  <c:v>-5.2248844052121823E-3</c:v>
                </c:pt>
                <c:pt idx="899">
                  <c:v>3.7127668551177884E-3</c:v>
                </c:pt>
                <c:pt idx="900">
                  <c:v>1.3201947551302329E-3</c:v>
                </c:pt>
                <c:pt idx="901">
                  <c:v>3.7142275024591331E-2</c:v>
                </c:pt>
                <c:pt idx="902">
                  <c:v>1.8697428824570483E-2</c:v>
                </c:pt>
                <c:pt idx="903">
                  <c:v>2.0843070908931338E-3</c:v>
                </c:pt>
                <c:pt idx="904">
                  <c:v>1.9603059144369883E-2</c:v>
                </c:pt>
                <c:pt idx="905">
                  <c:v>-7.3141555112499201E-4</c:v>
                </c:pt>
                <c:pt idx="906">
                  <c:v>-1.4419622004239852E-2</c:v>
                </c:pt>
                <c:pt idx="907">
                  <c:v>-2.8952795523401464E-3</c:v>
                </c:pt>
                <c:pt idx="908">
                  <c:v>-3.0160289324461242E-3</c:v>
                </c:pt>
                <c:pt idx="909">
                  <c:v>-6.0951391986012737E-3</c:v>
                </c:pt>
                <c:pt idx="910">
                  <c:v>5.6588069646168471E-3</c:v>
                </c:pt>
                <c:pt idx="911">
                  <c:v>2.6534516125424901E-3</c:v>
                </c:pt>
                <c:pt idx="912">
                  <c:v>-2.7087391421731777E-3</c:v>
                </c:pt>
                <c:pt idx="913">
                  <c:v>-6.4246237338637657E-3</c:v>
                </c:pt>
                <c:pt idx="914">
                  <c:v>3.9528066930631933E-3</c:v>
                </c:pt>
                <c:pt idx="915">
                  <c:v>-7.7712998542466272E-3</c:v>
                </c:pt>
                <c:pt idx="916">
                  <c:v>3.1702146042547064E-3</c:v>
                </c:pt>
                <c:pt idx="917">
                  <c:v>1.6575493942963204E-2</c:v>
                </c:pt>
                <c:pt idx="918">
                  <c:v>7.3024659150200399E-3</c:v>
                </c:pt>
                <c:pt idx="919">
                  <c:v>-6.4663867345534642E-3</c:v>
                </c:pt>
                <c:pt idx="920">
                  <c:v>1.248955970479626E-2</c:v>
                </c:pt>
                <c:pt idx="921">
                  <c:v>5.5963873131846809E-2</c:v>
                </c:pt>
                <c:pt idx="922">
                  <c:v>2.0062927093063232E-2</c:v>
                </c:pt>
                <c:pt idx="923">
                  <c:v>7.9207577367987891E-3</c:v>
                </c:pt>
                <c:pt idx="924">
                  <c:v>-2.1159312037405176E-2</c:v>
                </c:pt>
                <c:pt idx="925">
                  <c:v>-2.111840168643353E-2</c:v>
                </c:pt>
                <c:pt idx="926">
                  <c:v>3.5855615036961552E-3</c:v>
                </c:pt>
                <c:pt idx="927">
                  <c:v>-7.3243527041215728E-3</c:v>
                </c:pt>
                <c:pt idx="928">
                  <c:v>-1.239539125946254E-2</c:v>
                </c:pt>
                <c:pt idx="929">
                  <c:v>-1.1662184466579628E-2</c:v>
                </c:pt>
                <c:pt idx="930">
                  <c:v>-1.5497234178912578E-2</c:v>
                </c:pt>
                <c:pt idx="931">
                  <c:v>-1.3264443442790097E-2</c:v>
                </c:pt>
                <c:pt idx="932">
                  <c:v>1.3473184993566534E-3</c:v>
                </c:pt>
                <c:pt idx="933">
                  <c:v>4.3640644663662798E-3</c:v>
                </c:pt>
                <c:pt idx="934">
                  <c:v>3.4194571866308365E-3</c:v>
                </c:pt>
                <c:pt idx="935">
                  <c:v>6.4135997467356098E-3</c:v>
                </c:pt>
                <c:pt idx="936">
                  <c:v>-8.579022583080631E-4</c:v>
                </c:pt>
                <c:pt idx="937">
                  <c:v>-8.2397679955765746E-3</c:v>
                </c:pt>
                <c:pt idx="938">
                  <c:v>-5.8068178503555279E-3</c:v>
                </c:pt>
                <c:pt idx="939">
                  <c:v>8.8004617526229456E-3</c:v>
                </c:pt>
                <c:pt idx="940">
                  <c:v>-4.2309415315555654E-4</c:v>
                </c:pt>
                <c:pt idx="941">
                  <c:v>-1.7488090448128157E-2</c:v>
                </c:pt>
                <c:pt idx="942">
                  <c:v>-3.5331070963396938E-3</c:v>
                </c:pt>
                <c:pt idx="943">
                  <c:v>4.5430470327234573E-4</c:v>
                </c:pt>
                <c:pt idx="944">
                  <c:v>1.2114676731167506E-3</c:v>
                </c:pt>
                <c:pt idx="945">
                  <c:v>-5.9156327543423703E-3</c:v>
                </c:pt>
                <c:pt idx="946">
                  <c:v>-1.3544386422976507E-2</c:v>
                </c:pt>
                <c:pt idx="947">
                  <c:v>-1.6126028347387078E-2</c:v>
                </c:pt>
                <c:pt idx="948">
                  <c:v>-6.7297755890944888E-3</c:v>
                </c:pt>
                <c:pt idx="949">
                  <c:v>1.1985481175553758E-3</c:v>
                </c:pt>
                <c:pt idx="950">
                  <c:v>-7.8655173943255052E-3</c:v>
                </c:pt>
                <c:pt idx="951">
                  <c:v>-5.0895076710354425E-3</c:v>
                </c:pt>
                <c:pt idx="952">
                  <c:v>5.7868340015598818E-3</c:v>
                </c:pt>
                <c:pt idx="953">
                  <c:v>2.3042741113754595E-4</c:v>
                </c:pt>
                <c:pt idx="954">
                  <c:v>1.7025601931262013E-3</c:v>
                </c:pt>
                <c:pt idx="955">
                  <c:v>6.1104222327330593E-3</c:v>
                </c:pt>
                <c:pt idx="956">
                  <c:v>1.1091156509015487E-3</c:v>
                </c:pt>
                <c:pt idx="957">
                  <c:v>-3.8753595968266108E-3</c:v>
                </c:pt>
                <c:pt idx="958">
                  <c:v>3.1394330264944426E-3</c:v>
                </c:pt>
                <c:pt idx="959">
                  <c:v>-6.4459159278072997E-3</c:v>
                </c:pt>
                <c:pt idx="960">
                  <c:v>7.6238720375432223E-5</c:v>
                </c:pt>
                <c:pt idx="961">
                  <c:v>9.7935510949898053E-4</c:v>
                </c:pt>
                <c:pt idx="962">
                  <c:v>1.4924549291350786E-3</c:v>
                </c:pt>
                <c:pt idx="963">
                  <c:v>-5.6594971259212867E-3</c:v>
                </c:pt>
                <c:pt idx="964">
                  <c:v>-8.7902108729950301E-3</c:v>
                </c:pt>
                <c:pt idx="965">
                  <c:v>-4.7893221122374818E-4</c:v>
                </c:pt>
                <c:pt idx="966">
                  <c:v>2.0033906758509801E-3</c:v>
                </c:pt>
                <c:pt idx="967">
                  <c:v>3.6216872183045812E-3</c:v>
                </c:pt>
                <c:pt idx="968">
                  <c:v>1.084040223653715E-2</c:v>
                </c:pt>
                <c:pt idx="969">
                  <c:v>5.4164279790354097E-3</c:v>
                </c:pt>
                <c:pt idx="970">
                  <c:v>-7.1560754486341693E-3</c:v>
                </c:pt>
                <c:pt idx="971">
                  <c:v>6.2311815328108811E-3</c:v>
                </c:pt>
                <c:pt idx="972">
                  <c:v>-6.4058763238894478E-5</c:v>
                </c:pt>
                <c:pt idx="973">
                  <c:v>2.667671503873148E-3</c:v>
                </c:pt>
                <c:pt idx="974">
                  <c:v>-6.0605802665124608E-3</c:v>
                </c:pt>
                <c:pt idx="975">
                  <c:v>-1.1240068677619175E-2</c:v>
                </c:pt>
                <c:pt idx="976">
                  <c:v>-4.0569991617769308E-3</c:v>
                </c:pt>
                <c:pt idx="977">
                  <c:v>9.6009410530146777E-3</c:v>
                </c:pt>
                <c:pt idx="978">
                  <c:v>3.8099849639388061E-3</c:v>
                </c:pt>
                <c:pt idx="979">
                  <c:v>-1.10765275905087E-2</c:v>
                </c:pt>
                <c:pt idx="980">
                  <c:v>-4.3223778724365003E-3</c:v>
                </c:pt>
                <c:pt idx="981">
                  <c:v>2.3265611539744491E-3</c:v>
                </c:pt>
                <c:pt idx="982">
                  <c:v>-2.2230959381966953E-3</c:v>
                </c:pt>
                <c:pt idx="983">
                  <c:v>-8.3000804705454234E-3</c:v>
                </c:pt>
                <c:pt idx="984">
                  <c:v>2.3420287394137596E-2</c:v>
                </c:pt>
                <c:pt idx="985">
                  <c:v>-1.0619777524375817E-2</c:v>
                </c:pt>
                <c:pt idx="986">
                  <c:v>-1.0049457300201015E-2</c:v>
                </c:pt>
                <c:pt idx="987">
                  <c:v>-1.0702863900457604E-2</c:v>
                </c:pt>
                <c:pt idx="988">
                  <c:v>-6.5504637017271827E-3</c:v>
                </c:pt>
                <c:pt idx="989">
                  <c:v>-8.8115808190657452E-3</c:v>
                </c:pt>
                <c:pt idx="990">
                  <c:v>2.9373811120314564E-4</c:v>
                </c:pt>
                <c:pt idx="991">
                  <c:v>-2.6306272086056293E-3</c:v>
                </c:pt>
                <c:pt idx="992">
                  <c:v>3.5572587279175671E-4</c:v>
                </c:pt>
                <c:pt idx="993">
                  <c:v>-5.6474125404712971E-3</c:v>
                </c:pt>
                <c:pt idx="994">
                  <c:v>1.4632300551880029E-3</c:v>
                </c:pt>
                <c:pt idx="995">
                  <c:v>3.3786171701608581E-3</c:v>
                </c:pt>
                <c:pt idx="996">
                  <c:v>-1.4096379710895057E-3</c:v>
                </c:pt>
                <c:pt idx="997">
                  <c:v>-8.3016181255660682E-3</c:v>
                </c:pt>
                <c:pt idx="998">
                  <c:v>1.6108645467550975E-2</c:v>
                </c:pt>
                <c:pt idx="999">
                  <c:v>1.3381438968035342E-2</c:v>
                </c:pt>
                <c:pt idx="1000">
                  <c:v>-6.5527689182306448E-3</c:v>
                </c:pt>
                <c:pt idx="1001">
                  <c:v>-8.3120645650822667E-3</c:v>
                </c:pt>
                <c:pt idx="1002">
                  <c:v>-6.1999342706154925E-3</c:v>
                </c:pt>
                <c:pt idx="1003">
                  <c:v>3.5409116937090701E-3</c:v>
                </c:pt>
                <c:pt idx="1004">
                  <c:v>1.6903498051232813E-3</c:v>
                </c:pt>
                <c:pt idx="1005">
                  <c:v>1.4595077810009016E-4</c:v>
                </c:pt>
                <c:pt idx="1006">
                  <c:v>-1.5130885453267684E-2</c:v>
                </c:pt>
                <c:pt idx="1007">
                  <c:v>-4.9326650495947755E-3</c:v>
                </c:pt>
                <c:pt idx="1008">
                  <c:v>4.1452141527744679E-3</c:v>
                </c:pt>
                <c:pt idx="1009">
                  <c:v>5.3425638289978927E-3</c:v>
                </c:pt>
                <c:pt idx="1010">
                  <c:v>-4.1301764512038375E-3</c:v>
                </c:pt>
                <c:pt idx="1011">
                  <c:v>-5.2607216009439295E-3</c:v>
                </c:pt>
                <c:pt idx="1012">
                  <c:v>-7.3264335355417431E-3</c:v>
                </c:pt>
                <c:pt idx="1013">
                  <c:v>-4.9236916108851281E-3</c:v>
                </c:pt>
                <c:pt idx="1014">
                  <c:v>-8.6031295780729655E-3</c:v>
                </c:pt>
                <c:pt idx="1015">
                  <c:v>-7.4748489003031438E-3</c:v>
                </c:pt>
                <c:pt idx="1016">
                  <c:v>2.5049557083565155E-3</c:v>
                </c:pt>
                <c:pt idx="1017">
                  <c:v>-1.1095541108635198E-2</c:v>
                </c:pt>
                <c:pt idx="1018">
                  <c:v>-2.5072324011572444E-3</c:v>
                </c:pt>
                <c:pt idx="1019">
                  <c:v>2.5730317934071767E-3</c:v>
                </c:pt>
                <c:pt idx="1020">
                  <c:v>-7.8048929792307042E-4</c:v>
                </c:pt>
                <c:pt idx="1021">
                  <c:v>4.4000107130681698E-5</c:v>
                </c:pt>
                <c:pt idx="1022">
                  <c:v>2.0569228970217512E-3</c:v>
                </c:pt>
                <c:pt idx="1023">
                  <c:v>2.90497594887551E-3</c:v>
                </c:pt>
                <c:pt idx="1024">
                  <c:v>2.741363355953208E-3</c:v>
                </c:pt>
                <c:pt idx="1025">
                  <c:v>-1.7350099955848464E-5</c:v>
                </c:pt>
                <c:pt idx="1026">
                  <c:v>5.2166801992881151E-3</c:v>
                </c:pt>
                <c:pt idx="1027">
                  <c:v>-1.8105394285581333E-3</c:v>
                </c:pt>
                <c:pt idx="1028">
                  <c:v>6.0208726178729854E-3</c:v>
                </c:pt>
                <c:pt idx="1029">
                  <c:v>2.6868187831461388E-3</c:v>
                </c:pt>
                <c:pt idx="1030">
                  <c:v>-6.921488003658216E-3</c:v>
                </c:pt>
                <c:pt idx="1031">
                  <c:v>5.2221202860185389E-3</c:v>
                </c:pt>
                <c:pt idx="1032">
                  <c:v>1.3246968294944317E-4</c:v>
                </c:pt>
                <c:pt idx="1033">
                  <c:v>1.102361894557724E-2</c:v>
                </c:pt>
                <c:pt idx="1034">
                  <c:v>-9.2560681404174616E-5</c:v>
                </c:pt>
                <c:pt idx="1035">
                  <c:v>2.2412432245230152E-2</c:v>
                </c:pt>
                <c:pt idx="1036">
                  <c:v>-1.3369780719703517E-2</c:v>
                </c:pt>
                <c:pt idx="1037">
                  <c:v>-1.889609389770186E-2</c:v>
                </c:pt>
                <c:pt idx="1038">
                  <c:v>-4.7534350386613244E-4</c:v>
                </c:pt>
                <c:pt idx="1039">
                  <c:v>1.6957950527278776E-3</c:v>
                </c:pt>
                <c:pt idx="1040">
                  <c:v>6.4735597507994402E-3</c:v>
                </c:pt>
                <c:pt idx="1041">
                  <c:v>-1.69920204498899E-2</c:v>
                </c:pt>
                <c:pt idx="1042">
                  <c:v>-8.1975374834843961E-3</c:v>
                </c:pt>
                <c:pt idx="1043">
                  <c:v>-1.5925423897312774E-3</c:v>
                </c:pt>
                <c:pt idx="1044">
                  <c:v>-9.357883652396537E-3</c:v>
                </c:pt>
                <c:pt idx="1045">
                  <c:v>-7.2518947619771845E-3</c:v>
                </c:pt>
                <c:pt idx="1046">
                  <c:v>-2.7132538795593408E-3</c:v>
                </c:pt>
                <c:pt idx="1047">
                  <c:v>-8.8667277481560003E-3</c:v>
                </c:pt>
                <c:pt idx="1048">
                  <c:v>1.5971080802872351E-3</c:v>
                </c:pt>
                <c:pt idx="1049">
                  <c:v>-2.3602950461659722E-3</c:v>
                </c:pt>
                <c:pt idx="1050">
                  <c:v>-6.7691944474160826E-3</c:v>
                </c:pt>
                <c:pt idx="1051">
                  <c:v>-1.5506331445072075E-3</c:v>
                </c:pt>
                <c:pt idx="1052">
                  <c:v>3.5743988763006218E-3</c:v>
                </c:pt>
                <c:pt idx="1053">
                  <c:v>5.5268948291753439E-3</c:v>
                </c:pt>
                <c:pt idx="1054">
                  <c:v>-1.0971120520821831E-3</c:v>
                </c:pt>
                <c:pt idx="1055">
                  <c:v>5.5350313620805558E-4</c:v>
                </c:pt>
                <c:pt idx="1056">
                  <c:v>-2.1739855660701801E-3</c:v>
                </c:pt>
                <c:pt idx="1057">
                  <c:v>-2.9160660827142193E-3</c:v>
                </c:pt>
                <c:pt idx="1058">
                  <c:v>2.0684304187044145E-3</c:v>
                </c:pt>
                <c:pt idx="1059">
                  <c:v>4.6397496693200146E-3</c:v>
                </c:pt>
                <c:pt idx="1060">
                  <c:v>-1.0226797745464311E-2</c:v>
                </c:pt>
                <c:pt idx="1061">
                  <c:v>-7.9407412819904044E-3</c:v>
                </c:pt>
                <c:pt idx="1062">
                  <c:v>8.5380546764590726E-4</c:v>
                </c:pt>
                <c:pt idx="1063">
                  <c:v>-1.1596097867412336E-3</c:v>
                </c:pt>
                <c:pt idx="1064">
                  <c:v>8.172560889168734E-3</c:v>
                </c:pt>
                <c:pt idx="1065">
                  <c:v>5.2989472437330321E-3</c:v>
                </c:pt>
                <c:pt idx="1066">
                  <c:v>4.6897023656777836E-3</c:v>
                </c:pt>
                <c:pt idx="1067">
                  <c:v>4.3984244115355953E-3</c:v>
                </c:pt>
                <c:pt idx="1068">
                  <c:v>4.7722171762285548E-3</c:v>
                </c:pt>
                <c:pt idx="1069">
                  <c:v>1.4317964648598913E-2</c:v>
                </c:pt>
                <c:pt idx="1070">
                  <c:v>4.1878278878915154E-5</c:v>
                </c:pt>
                <c:pt idx="1071">
                  <c:v>5.1994156847134931E-4</c:v>
                </c:pt>
                <c:pt idx="1072">
                  <c:v>-6.665473229550134E-5</c:v>
                </c:pt>
                <c:pt idx="1073">
                  <c:v>2.6924633939551246E-3</c:v>
                </c:pt>
                <c:pt idx="1074">
                  <c:v>-7.4486272161087275E-3</c:v>
                </c:pt>
                <c:pt idx="1075">
                  <c:v>-1.1162546619937319E-2</c:v>
                </c:pt>
                <c:pt idx="1076">
                  <c:v>2.0058193997835927E-2</c:v>
                </c:pt>
                <c:pt idx="1077">
                  <c:v>6.6877981843831424E-3</c:v>
                </c:pt>
                <c:pt idx="1078">
                  <c:v>-4.1932497877502639E-3</c:v>
                </c:pt>
                <c:pt idx="1079">
                  <c:v>-5.6995095106158189E-3</c:v>
                </c:pt>
                <c:pt idx="1080">
                  <c:v>-4.9488805290941462E-3</c:v>
                </c:pt>
                <c:pt idx="1081">
                  <c:v>-3.6202834435528075E-4</c:v>
                </c:pt>
                <c:pt idx="1082">
                  <c:v>6.5435344189901379E-4</c:v>
                </c:pt>
                <c:pt idx="1083">
                  <c:v>-3.328928788145058E-3</c:v>
                </c:pt>
                <c:pt idx="1084">
                  <c:v>-9.7508835509764191E-3</c:v>
                </c:pt>
                <c:pt idx="1085">
                  <c:v>-9.7907282804129414E-3</c:v>
                </c:pt>
                <c:pt idx="1086">
                  <c:v>2.0456802383316708E-2</c:v>
                </c:pt>
                <c:pt idx="1087">
                  <c:v>1.6125777218255255E-2</c:v>
                </c:pt>
                <c:pt idx="1088">
                  <c:v>5.2922831980153351E-3</c:v>
                </c:pt>
                <c:pt idx="1089">
                  <c:v>-1.1975510624853136E-2</c:v>
                </c:pt>
                <c:pt idx="1090">
                  <c:v>-5.3131592789447124E-3</c:v>
                </c:pt>
                <c:pt idx="1091">
                  <c:v>4.9252341442191927E-3</c:v>
                </c:pt>
                <c:pt idx="1092">
                  <c:v>-3.8948078732525815E-3</c:v>
                </c:pt>
                <c:pt idx="1093">
                  <c:v>-1.1811267663837E-2</c:v>
                </c:pt>
                <c:pt idx="1094">
                  <c:v>4.3597467588463168E-4</c:v>
                </c:pt>
                <c:pt idx="1095">
                  <c:v>1.1788394515734657E-2</c:v>
                </c:pt>
                <c:pt idx="1096">
                  <c:v>2.0004153243244893E-3</c:v>
                </c:pt>
                <c:pt idx="1097">
                  <c:v>-1.1406034877304183E-2</c:v>
                </c:pt>
                <c:pt idx="1098">
                  <c:v>-3.1766355824489612E-3</c:v>
                </c:pt>
                <c:pt idx="1099">
                  <c:v>1.2313744868481136E-2</c:v>
                </c:pt>
                <c:pt idx="1100">
                  <c:v>-1.0745005875440583E-2</c:v>
                </c:pt>
                <c:pt idx="1101">
                  <c:v>-9.9548976868077954E-3</c:v>
                </c:pt>
                <c:pt idx="1102">
                  <c:v>-1.1347303681156773E-2</c:v>
                </c:pt>
                <c:pt idx="1103">
                  <c:v>-4.7656463201773969E-3</c:v>
                </c:pt>
                <c:pt idx="1104">
                  <c:v>1.4159447854900087E-3</c:v>
                </c:pt>
                <c:pt idx="1105">
                  <c:v>-1.2672554448704076E-2</c:v>
                </c:pt>
                <c:pt idx="1106">
                  <c:v>3.4689664696860856E-3</c:v>
                </c:pt>
                <c:pt idx="1107">
                  <c:v>2.03572534095664E-3</c:v>
                </c:pt>
                <c:pt idx="1108">
                  <c:v>-2.4684451338573554E-3</c:v>
                </c:pt>
                <c:pt idx="1109">
                  <c:v>5.4702606824563738E-4</c:v>
                </c:pt>
                <c:pt idx="1110">
                  <c:v>-4.9890869374167313E-3</c:v>
                </c:pt>
                <c:pt idx="1111">
                  <c:v>3.2655608510052669E-3</c:v>
                </c:pt>
                <c:pt idx="1112">
                  <c:v>-1.0427008249328962E-2</c:v>
                </c:pt>
                <c:pt idx="1113">
                  <c:v>-5.4280383176653624E-3</c:v>
                </c:pt>
                <c:pt idx="1114">
                  <c:v>-5.4587847544700363E-3</c:v>
                </c:pt>
                <c:pt idx="1115">
                  <c:v>4.7083801673535319E-3</c:v>
                </c:pt>
                <c:pt idx="1116">
                  <c:v>-9.0013631999661392E-3</c:v>
                </c:pt>
                <c:pt idx="1117">
                  <c:v>4.5991569391556908E-4</c:v>
                </c:pt>
                <c:pt idx="1118">
                  <c:v>-5.1421662915337452E-3</c:v>
                </c:pt>
                <c:pt idx="1119">
                  <c:v>-1.474304230321688E-3</c:v>
                </c:pt>
                <c:pt idx="1120">
                  <c:v>-3.3694917391412504E-3</c:v>
                </c:pt>
                <c:pt idx="1121">
                  <c:v>3.7989258936970138E-3</c:v>
                </c:pt>
                <c:pt idx="1122">
                  <c:v>3.6402772941657169E-4</c:v>
                </c:pt>
                <c:pt idx="1123">
                  <c:v>-1.9340727352001874E-4</c:v>
                </c:pt>
                <c:pt idx="1124">
                  <c:v>8.922270656288589E-4</c:v>
                </c:pt>
                <c:pt idx="1125">
                  <c:v>-7.1045784867213024E-3</c:v>
                </c:pt>
                <c:pt idx="1126">
                  <c:v>1.9695998823492378E-3</c:v>
                </c:pt>
                <c:pt idx="1127">
                  <c:v>-4.6735811969387253E-3</c:v>
                </c:pt>
                <c:pt idx="1128">
                  <c:v>-2.9796083595822198E-3</c:v>
                </c:pt>
                <c:pt idx="1129">
                  <c:v>7.2660199815548498E-3</c:v>
                </c:pt>
                <c:pt idx="1130">
                  <c:v>-5.4926790385374513E-3</c:v>
                </c:pt>
                <c:pt idx="1131">
                  <c:v>1.7277088941267671E-3</c:v>
                </c:pt>
                <c:pt idx="1132">
                  <c:v>1.9914333428827646E-3</c:v>
                </c:pt>
                <c:pt idx="1133">
                  <c:v>-4.4815131062954094E-3</c:v>
                </c:pt>
                <c:pt idx="1134">
                  <c:v>3.4444906415975751E-4</c:v>
                </c:pt>
                <c:pt idx="1135">
                  <c:v>2.8541770252707988E-3</c:v>
                </c:pt>
                <c:pt idx="1136">
                  <c:v>-3.4182608377186785E-4</c:v>
                </c:pt>
                <c:pt idx="1137">
                  <c:v>-5.1737329819404598E-3</c:v>
                </c:pt>
                <c:pt idx="1138">
                  <c:v>-8.2915800630429803E-3</c:v>
                </c:pt>
                <c:pt idx="1139">
                  <c:v>4.4797787763566355E-3</c:v>
                </c:pt>
                <c:pt idx="1140">
                  <c:v>-2.4550708246554587E-3</c:v>
                </c:pt>
                <c:pt idx="1141">
                  <c:v>-4.7751657066575914E-3</c:v>
                </c:pt>
                <c:pt idx="1142">
                  <c:v>4.6092878701953222E-3</c:v>
                </c:pt>
                <c:pt idx="1143">
                  <c:v>-3.3808565867435858E-3</c:v>
                </c:pt>
                <c:pt idx="1144">
                  <c:v>-1.0723796801895169E-2</c:v>
                </c:pt>
                <c:pt idx="1145">
                  <c:v>-6.8224821209446063E-3</c:v>
                </c:pt>
                <c:pt idx="1146">
                  <c:v>3.4399124693862415E-3</c:v>
                </c:pt>
                <c:pt idx="1147">
                  <c:v>-5.9315256463139399E-3</c:v>
                </c:pt>
                <c:pt idx="1148">
                  <c:v>-1.7747869331312671E-3</c:v>
                </c:pt>
                <c:pt idx="1149">
                  <c:v>4.1804213837752791E-3</c:v>
                </c:pt>
                <c:pt idx="1150">
                  <c:v>1.0191869009421151E-2</c:v>
                </c:pt>
                <c:pt idx="1151">
                  <c:v>1.0513201235642367E-3</c:v>
                </c:pt>
                <c:pt idx="1152">
                  <c:v>-4.7509286987007515E-3</c:v>
                </c:pt>
                <c:pt idx="1153">
                  <c:v>1.0591238282262605E-2</c:v>
                </c:pt>
                <c:pt idx="1154">
                  <c:v>-2.3820614164274945E-3</c:v>
                </c:pt>
                <c:pt idx="1155">
                  <c:v>-4.0574628151186509E-3</c:v>
                </c:pt>
                <c:pt idx="1156">
                  <c:v>4.6331278924924835E-3</c:v>
                </c:pt>
                <c:pt idx="1157">
                  <c:v>-4.0920035288838363E-3</c:v>
                </c:pt>
                <c:pt idx="1158">
                  <c:v>1.0851603332585835E-2</c:v>
                </c:pt>
                <c:pt idx="1159">
                  <c:v>-2.224678758111498E-4</c:v>
                </c:pt>
                <c:pt idx="1160">
                  <c:v>4.8208471313186951E-3</c:v>
                </c:pt>
                <c:pt idx="1161">
                  <c:v>2.0439667702884856E-2</c:v>
                </c:pt>
                <c:pt idx="1162">
                  <c:v>-5.5952171619482183E-3</c:v>
                </c:pt>
                <c:pt idx="1163">
                  <c:v>1.7266884537435967E-2</c:v>
                </c:pt>
                <c:pt idx="1164">
                  <c:v>1.7109287301029896E-2</c:v>
                </c:pt>
                <c:pt idx="1165">
                  <c:v>5.7051370019669534E-3</c:v>
                </c:pt>
                <c:pt idx="1166">
                  <c:v>1.4781901501028649E-2</c:v>
                </c:pt>
                <c:pt idx="1167">
                  <c:v>6.8159979660433745E-3</c:v>
                </c:pt>
                <c:pt idx="1168">
                  <c:v>9.2621068698832687E-3</c:v>
                </c:pt>
                <c:pt idx="1169">
                  <c:v>3.4685342224292093E-3</c:v>
                </c:pt>
                <c:pt idx="1170">
                  <c:v>3.1261217288249821E-3</c:v>
                </c:pt>
                <c:pt idx="1171">
                  <c:v>4.3394830006713292E-3</c:v>
                </c:pt>
                <c:pt idx="1172">
                  <c:v>1.7139286799310316E-3</c:v>
                </c:pt>
                <c:pt idx="1173">
                  <c:v>2.9858125990558371E-3</c:v>
                </c:pt>
                <c:pt idx="1174">
                  <c:v>-6.2845052666058443E-3</c:v>
                </c:pt>
                <c:pt idx="1175">
                  <c:v>-2.8162648314419281E-3</c:v>
                </c:pt>
                <c:pt idx="1176">
                  <c:v>-1.8802978149119465E-3</c:v>
                </c:pt>
                <c:pt idx="1177">
                  <c:v>-3.763437814524484E-3</c:v>
                </c:pt>
                <c:pt idx="1178">
                  <c:v>-1.98446351640158E-3</c:v>
                </c:pt>
                <c:pt idx="1179">
                  <c:v>-4.9842484248424634E-3</c:v>
                </c:pt>
                <c:pt idx="1180">
                  <c:v>-5.2806228560875468E-3</c:v>
                </c:pt>
                <c:pt idx="1181">
                  <c:v>2.9352230507611043E-3</c:v>
                </c:pt>
                <c:pt idx="1182">
                  <c:v>9.2267608160028214E-3</c:v>
                </c:pt>
                <c:pt idx="1183">
                  <c:v>1.0943607345637041E-3</c:v>
                </c:pt>
                <c:pt idx="1184">
                  <c:v>1.8007100591717062E-3</c:v>
                </c:pt>
                <c:pt idx="1185">
                  <c:v>-1.0346679983052054E-3</c:v>
                </c:pt>
                <c:pt idx="1186">
                  <c:v>-3.4414034875407395E-4</c:v>
                </c:pt>
              </c:numCache>
            </c:numRef>
          </c:xVal>
          <c:yVal>
            <c:numRef>
              <c:f>'[2]Return (Daily)'!$J$2:$J$1188</c:f>
              <c:numCache>
                <c:formatCode>0.000%</c:formatCode>
                <c:ptCount val="1187"/>
                <c:pt idx="0">
                  <c:v>1.7992083483266974E-3</c:v>
                </c:pt>
                <c:pt idx="1">
                  <c:v>1.4414414414414267E-3</c:v>
                </c:pt>
                <c:pt idx="2">
                  <c:v>8.3575581395349818E-3</c:v>
                </c:pt>
                <c:pt idx="3">
                  <c:v>4.3795620437956373E-3</c:v>
                </c:pt>
                <c:pt idx="4">
                  <c:v>2.5612879619465456E-3</c:v>
                </c:pt>
                <c:pt idx="5">
                  <c:v>-2.1905805038333614E-3</c:v>
                </c:pt>
                <c:pt idx="6">
                  <c:v>5.5066079295154058E-3</c:v>
                </c:pt>
                <c:pt idx="7">
                  <c:v>1.8389113644723398E-3</c:v>
                </c:pt>
                <c:pt idx="8">
                  <c:v>1.8422991893882745E-3</c:v>
                </c:pt>
                <c:pt idx="9">
                  <c:v>-2.0923520923521011E-2</c:v>
                </c:pt>
                <c:pt idx="10">
                  <c:v>-4.6678635547576786E-3</c:v>
                </c:pt>
                <c:pt idx="11">
                  <c:v>2.8808066258552145E-3</c:v>
                </c:pt>
                <c:pt idx="12">
                  <c:v>1.4424810674358302E-3</c:v>
                </c:pt>
                <c:pt idx="13">
                  <c:v>-1.3518320882248358E-2</c:v>
                </c:pt>
                <c:pt idx="14">
                  <c:v>-6.0113154172559691E-3</c:v>
                </c:pt>
                <c:pt idx="15">
                  <c:v>-5.2761167780513984E-3</c:v>
                </c:pt>
                <c:pt idx="16">
                  <c:v>3.5298270384751529E-3</c:v>
                </c:pt>
                <c:pt idx="17">
                  <c:v>7.8263963002489501E-3</c:v>
                </c:pt>
                <c:pt idx="18">
                  <c:v>-1.7755681818182323E-3</c:v>
                </c:pt>
                <c:pt idx="19">
                  <c:v>-6.3514467184190293E-3</c:v>
                </c:pt>
                <c:pt idx="20">
                  <c:v>1.6864011481880103E-2</c:v>
                </c:pt>
                <c:pt idx="21">
                  <c:v>-8.1850533807830139E-3</c:v>
                </c:pt>
                <c:pt idx="22">
                  <c:v>-5.3097345132743223E-3</c:v>
                </c:pt>
                <c:pt idx="23">
                  <c:v>-1.258301293254116E-2</c:v>
                </c:pt>
                <c:pt idx="24">
                  <c:v>-5.9068797776232751E-3</c:v>
                </c:pt>
                <c:pt idx="25">
                  <c:v>4.8882681564246244E-3</c:v>
                </c:pt>
                <c:pt idx="26">
                  <c:v>1.7488632388946712E-3</c:v>
                </c:pt>
                <c:pt idx="27">
                  <c:v>-4.8729550991996051E-3</c:v>
                </c:pt>
                <c:pt idx="28">
                  <c:v>6.9662138627646364E-4</c:v>
                </c:pt>
                <c:pt idx="29">
                  <c:v>-2.7787426189647135E-3</c:v>
                </c:pt>
                <c:pt idx="30">
                  <c:v>-9.9724896836315136E-3</c:v>
                </c:pt>
                <c:pt idx="31">
                  <c:v>-5.4719562243500386E-3</c:v>
                </c:pt>
                <c:pt idx="32">
                  <c:v>-5.4421768707483276E-3</c:v>
                </c:pt>
                <c:pt idx="33">
                  <c:v>1.7035775127767216E-3</c:v>
                </c:pt>
                <c:pt idx="34">
                  <c:v>-2.7183146449202278E-3</c:v>
                </c:pt>
                <c:pt idx="35">
                  <c:v>3.399048266485849E-4</c:v>
                </c:pt>
                <c:pt idx="36">
                  <c:v>-1.6966406515099841E-3</c:v>
                </c:pt>
                <c:pt idx="37">
                  <c:v>-1.1405568601140725E-2</c:v>
                </c:pt>
                <c:pt idx="38">
                  <c:v>-2.008704385671134E-3</c:v>
                </c:pt>
                <c:pt idx="39">
                  <c:v>-1.0033444816054393E-3</c:v>
                </c:pt>
                <c:pt idx="40">
                  <c:v>3.3557046979866278E-3</c:v>
                </c:pt>
                <c:pt idx="41">
                  <c:v>-3.6776997659646593E-3</c:v>
                </c:pt>
                <c:pt idx="42">
                  <c:v>2.3458445040216436E-3</c:v>
                </c:pt>
                <c:pt idx="43">
                  <c:v>-2.0066889632107676E-3</c:v>
                </c:pt>
                <c:pt idx="44">
                  <c:v>1.6750418760469454E-3</c:v>
                </c:pt>
                <c:pt idx="45">
                  <c:v>-5.3315561479507778E-3</c:v>
                </c:pt>
                <c:pt idx="46">
                  <c:v>-6.6600066600064345E-4</c:v>
                </c:pt>
                <c:pt idx="47">
                  <c:v>-2.6569246097641885E-3</c:v>
                </c:pt>
                <c:pt idx="48">
                  <c:v>-2.3194168323392717E-3</c:v>
                </c:pt>
                <c:pt idx="49">
                  <c:v>2.6578073089700283E-3</c:v>
                </c:pt>
                <c:pt idx="50">
                  <c:v>3.6678892964321363E-3</c:v>
                </c:pt>
                <c:pt idx="51">
                  <c:v>-6.2955599734925149E-3</c:v>
                </c:pt>
                <c:pt idx="52">
                  <c:v>4.9950049950049369E-3</c:v>
                </c:pt>
                <c:pt idx="53">
                  <c:v>-1.6622340425531679E-3</c:v>
                </c:pt>
                <c:pt idx="54">
                  <c:v>-1.5062213490504184E-2</c:v>
                </c:pt>
                <c:pt idx="55">
                  <c:v>-2.9382957884428462E-3</c:v>
                </c:pt>
                <c:pt idx="56">
                  <c:v>6.2417871222077981E-3</c:v>
                </c:pt>
                <c:pt idx="57">
                  <c:v>-1.7113335485954173E-2</c:v>
                </c:pt>
                <c:pt idx="58">
                  <c:v>-1.9336126329358994E-3</c:v>
                </c:pt>
                <c:pt idx="59">
                  <c:v>1.0749185667752403E-2</c:v>
                </c:pt>
                <c:pt idx="60">
                  <c:v>-1.0953608247422641E-2</c:v>
                </c:pt>
                <c:pt idx="61">
                  <c:v>1.6371971185330736E-2</c:v>
                </c:pt>
                <c:pt idx="62">
                  <c:v>2.2772940388479324E-2</c:v>
                </c:pt>
                <c:pt idx="63">
                  <c:v>-3.3478406427844831E-4</c:v>
                </c:pt>
                <c:pt idx="64">
                  <c:v>7.0802427511800214E-3</c:v>
                </c:pt>
                <c:pt idx="65">
                  <c:v>-8.6898395721923816E-3</c:v>
                </c:pt>
                <c:pt idx="66">
                  <c:v>-8.6149768058317866E-3</c:v>
                </c:pt>
                <c:pt idx="67">
                  <c:v>-9.930486593843213E-4</c:v>
                </c:pt>
                <c:pt idx="68">
                  <c:v>-9.5081967213114238E-3</c:v>
                </c:pt>
                <c:pt idx="69">
                  <c:v>3.9499670836076195E-3</c:v>
                </c:pt>
                <c:pt idx="70">
                  <c:v>-3.2808398950131545E-3</c:v>
                </c:pt>
                <c:pt idx="71">
                  <c:v>-3.3301617507136005E-2</c:v>
                </c:pt>
                <c:pt idx="72">
                  <c:v>-3.7914691943127243E-3</c:v>
                </c:pt>
                <c:pt idx="73">
                  <c:v>9.4876660341558505E-4</c:v>
                </c:pt>
                <c:pt idx="74">
                  <c:v>1.5837820715869366E-3</c:v>
                </c:pt>
                <c:pt idx="75">
                  <c:v>-4.1009463722397888E-3</c:v>
                </c:pt>
                <c:pt idx="76">
                  <c:v>-6.3051702395966469E-4</c:v>
                </c:pt>
                <c:pt idx="77">
                  <c:v>-4.0816326530612734E-3</c:v>
                </c:pt>
                <c:pt idx="78">
                  <c:v>1.7571884984025621E-2</c:v>
                </c:pt>
                <c:pt idx="79">
                  <c:v>9.5938599296463423E-4</c:v>
                </c:pt>
                <c:pt idx="80">
                  <c:v>1.6015374759770218E-3</c:v>
                </c:pt>
                <c:pt idx="81">
                  <c:v>-2.2236141559661804E-2</c:v>
                </c:pt>
                <c:pt idx="82">
                  <c:v>-4.6758104738154893E-3</c:v>
                </c:pt>
                <c:pt idx="83">
                  <c:v>-9.3428838368114775E-4</c:v>
                </c:pt>
                <c:pt idx="84">
                  <c:v>-6.804825239715373E-3</c:v>
                </c:pt>
                <c:pt idx="85">
                  <c:v>3.1589023611997558E-2</c:v>
                </c:pt>
                <c:pt idx="86">
                  <c:v>1.0641728474685364E-2</c:v>
                </c:pt>
                <c:pt idx="87">
                  <c:v>2.3432343234323527E-2</c:v>
                </c:pt>
                <c:pt idx="88">
                  <c:v>9.327115256495766E-3</c:v>
                </c:pt>
                <c:pt idx="89">
                  <c:v>1.1455525606469008E-2</c:v>
                </c:pt>
                <c:pt idx="90">
                  <c:v>-2.6881720430107503E-3</c:v>
                </c:pt>
                <c:pt idx="91">
                  <c:v>-1.3422818791946067E-3</c:v>
                </c:pt>
                <c:pt idx="92">
                  <c:v>-5.6723390056723222E-3</c:v>
                </c:pt>
                <c:pt idx="93">
                  <c:v>1.3364517206815307E-3</c:v>
                </c:pt>
                <c:pt idx="94">
                  <c:v>-1.0013351134846582E-3</c:v>
                </c:pt>
                <c:pt idx="95">
                  <c:v>3.013056578506923E-3</c:v>
                </c:pt>
                <c:pt idx="96">
                  <c:v>-3.3366700033367058E-3</c:v>
                </c:pt>
                <c:pt idx="97">
                  <c:v>2.34113712374584E-3</c:v>
                </c:pt>
                <c:pt idx="98">
                  <c:v>-3.0010003334444146E-3</c:v>
                </c:pt>
                <c:pt idx="99">
                  <c:v>-1.0557571758495699E-2</c:v>
                </c:pt>
                <c:pt idx="100">
                  <c:v>-1.3179571663920475E-3</c:v>
                </c:pt>
                <c:pt idx="101">
                  <c:v>2.6428807400067367E-3</c:v>
                </c:pt>
                <c:pt idx="102">
                  <c:v>2.33265720081135E-2</c:v>
                </c:pt>
                <c:pt idx="103">
                  <c:v>3.3818058843437804E-4</c:v>
                </c:pt>
                <c:pt idx="104">
                  <c:v>6.7681895093052447E-4</c:v>
                </c:pt>
                <c:pt idx="105">
                  <c:v>1.8965517241379404E-2</c:v>
                </c:pt>
                <c:pt idx="106">
                  <c:v>-1.4276002719238567E-2</c:v>
                </c:pt>
                <c:pt idx="107">
                  <c:v>9.608785175017287E-3</c:v>
                </c:pt>
                <c:pt idx="108">
                  <c:v>2.3893183415319541E-2</c:v>
                </c:pt>
                <c:pt idx="109">
                  <c:v>-6.2849162011171522E-3</c:v>
                </c:pt>
                <c:pt idx="110">
                  <c:v>7.3865634892718024E-3</c:v>
                </c:pt>
                <c:pt idx="111">
                  <c:v>-6.6387141858839094E-3</c:v>
                </c:pt>
                <c:pt idx="112">
                  <c:v>6.3291139240506666E-3</c:v>
                </c:pt>
                <c:pt idx="113">
                  <c:v>-9.7493036211699913E-3</c:v>
                </c:pt>
                <c:pt idx="114">
                  <c:v>3.483106931381208E-4</c:v>
                </c:pt>
                <c:pt idx="115">
                  <c:v>1.3055751587861764E-2</c:v>
                </c:pt>
                <c:pt idx="116">
                  <c:v>3.7335285505124327E-2</c:v>
                </c:pt>
                <c:pt idx="117">
                  <c:v>-1.4619883040937198E-3</c:v>
                </c:pt>
                <c:pt idx="118">
                  <c:v>8.8495575221241296E-3</c:v>
                </c:pt>
                <c:pt idx="119">
                  <c:v>-4.0396621373486319E-3</c:v>
                </c:pt>
                <c:pt idx="120">
                  <c:v>-3.4054629301170536E-2</c:v>
                </c:pt>
                <c:pt idx="121">
                  <c:v>-2.2538141470180295E-2</c:v>
                </c:pt>
                <c:pt idx="122">
                  <c:v>-2.0713073005093507E-2</c:v>
                </c:pt>
                <c:pt idx="123">
                  <c:v>1.3600816048962017E-3</c:v>
                </c:pt>
                <c:pt idx="124">
                  <c:v>-7.0898041863604044E-3</c:v>
                </c:pt>
                <c:pt idx="125">
                  <c:v>4.4082739911834867E-3</c:v>
                </c:pt>
                <c:pt idx="126">
                  <c:v>-6.7362748400134898E-3</c:v>
                </c:pt>
                <c:pt idx="127">
                  <c:v>-3.3670033670041288E-4</c:v>
                </c:pt>
                <c:pt idx="128">
                  <c:v>-3.6900369003690647E-3</c:v>
                </c:pt>
                <c:pt idx="129">
                  <c:v>3.3557046979870719E-4</c:v>
                </c:pt>
                <c:pt idx="130">
                  <c:v>2.3545240497813147E-3</c:v>
                </c:pt>
                <c:pt idx="131">
                  <c:v>-1.588877855014903E-2</c:v>
                </c:pt>
                <c:pt idx="132">
                  <c:v>-6.5767839526471583E-3</c:v>
                </c:pt>
                <c:pt idx="133">
                  <c:v>1.2991339107262023E-2</c:v>
                </c:pt>
                <c:pt idx="134">
                  <c:v>2.0026702269690944E-3</c:v>
                </c:pt>
                <c:pt idx="135">
                  <c:v>-1.9986675549632515E-3</c:v>
                </c:pt>
                <c:pt idx="136">
                  <c:v>-7.603305785124026E-3</c:v>
                </c:pt>
                <c:pt idx="137">
                  <c:v>-1.7218973359324319E-2</c:v>
                </c:pt>
                <c:pt idx="138">
                  <c:v>-3.9625585023400856E-2</c:v>
                </c:pt>
                <c:pt idx="139">
                  <c:v>-2.4898848428260845E-3</c:v>
                </c:pt>
                <c:pt idx="140">
                  <c:v>5.0046918986550448E-3</c:v>
                </c:pt>
                <c:pt idx="141">
                  <c:v>6.2597809076669897E-4</c:v>
                </c:pt>
                <c:pt idx="142">
                  <c:v>-4.982871379632603E-3</c:v>
                </c:pt>
                <c:pt idx="143">
                  <c:v>3.7511722413254844E-3</c:v>
                </c:pt>
                <c:pt idx="144">
                  <c:v>-3.1162355874103653E-3</c:v>
                </c:pt>
                <c:pt idx="145">
                  <c:v>3.1172069825435855E-4</c:v>
                </c:pt>
                <c:pt idx="146">
                  <c:v>2.1868166198062422E-3</c:v>
                </c:pt>
                <c:pt idx="147">
                  <c:v>-1.5595757953836831E-3</c:v>
                </c:pt>
                <c:pt idx="148">
                  <c:v>-6.2344139650871711E-4</c:v>
                </c:pt>
                <c:pt idx="149">
                  <c:v>9.3603744149772794E-4</c:v>
                </c:pt>
                <c:pt idx="150">
                  <c:v>-6.2015503875969546E-3</c:v>
                </c:pt>
                <c:pt idx="151">
                  <c:v>5.2992518703240954E-3</c:v>
                </c:pt>
                <c:pt idx="152">
                  <c:v>-3.4172103137619647E-3</c:v>
                </c:pt>
                <c:pt idx="153">
                  <c:v>7.5117370892017199E-3</c:v>
                </c:pt>
                <c:pt idx="154">
                  <c:v>3.4547738693468943E-3</c:v>
                </c:pt>
                <c:pt idx="155">
                  <c:v>-4.6889653016567445E-3</c:v>
                </c:pt>
                <c:pt idx="156">
                  <c:v>9.3867334167696548E-4</c:v>
                </c:pt>
                <c:pt idx="157">
                  <c:v>-3.1279324366584316E-4</c:v>
                </c:pt>
                <c:pt idx="158">
                  <c:v>-4.6699875466998941E-3</c:v>
                </c:pt>
                <c:pt idx="159">
                  <c:v>-4.3397396156231727E-3</c:v>
                </c:pt>
                <c:pt idx="160">
                  <c:v>-6.7733990147782475E-3</c:v>
                </c:pt>
                <c:pt idx="161">
                  <c:v>-1.8438844499076845E-3</c:v>
                </c:pt>
                <c:pt idx="162">
                  <c:v>-3.0721966205848883E-4</c:v>
                </c:pt>
                <c:pt idx="163">
                  <c:v>1.8467220683286989E-3</c:v>
                </c:pt>
                <c:pt idx="164">
                  <c:v>-5.8139534883722144E-3</c:v>
                </c:pt>
                <c:pt idx="165">
                  <c:v>8.9533806730472953E-3</c:v>
                </c:pt>
                <c:pt idx="166">
                  <c:v>-2.7709359605911921E-3</c:v>
                </c:pt>
                <c:pt idx="167">
                  <c:v>-1.5370427297879408E-3</c:v>
                </c:pt>
                <c:pt idx="168">
                  <c:v>-3.0731407498452157E-4</c:v>
                </c:pt>
                <c:pt idx="169">
                  <c:v>-4.5885591924136326E-3</c:v>
                </c:pt>
                <c:pt idx="170">
                  <c:v>6.1557402277623297E-3</c:v>
                </c:pt>
                <c:pt idx="171">
                  <c:v>-1.0054844606947055E-2</c:v>
                </c:pt>
                <c:pt idx="172">
                  <c:v>-4.6207497820401122E-2</c:v>
                </c:pt>
                <c:pt idx="173">
                  <c:v>-2.3195129022903771E-3</c:v>
                </c:pt>
                <c:pt idx="174">
                  <c:v>-4.3302540415703916E-3</c:v>
                </c:pt>
                <c:pt idx="175">
                  <c:v>2.0248770610356015E-3</c:v>
                </c:pt>
                <c:pt idx="176">
                  <c:v>5.8190282222869705E-3</c:v>
                </c:pt>
                <c:pt idx="177">
                  <c:v>-2.9086678301348812E-4</c:v>
                </c:pt>
                <c:pt idx="178">
                  <c:v>-5.7836899942163011E-3</c:v>
                </c:pt>
                <c:pt idx="179">
                  <c:v>1.5267175572519109E-2</c:v>
                </c:pt>
                <c:pt idx="180">
                  <c:v>5.9066745422327038E-3</c:v>
                </c:pt>
                <c:pt idx="181">
                  <c:v>5.046007717423695E-3</c:v>
                </c:pt>
                <c:pt idx="182">
                  <c:v>-5.9329575793543032E-4</c:v>
                </c:pt>
                <c:pt idx="183">
                  <c:v>-1.481042654028486E-3</c:v>
                </c:pt>
                <c:pt idx="184">
                  <c:v>2.9708853238266109E-3</c:v>
                </c:pt>
                <c:pt idx="185">
                  <c:v>-3.5523978685612079E-3</c:v>
                </c:pt>
                <c:pt idx="186">
                  <c:v>-5.9171597633134176E-4</c:v>
                </c:pt>
                <c:pt idx="187">
                  <c:v>-1.7720023626698334E-3</c:v>
                </c:pt>
                <c:pt idx="188">
                  <c:v>4.7477744807122857E-3</c:v>
                </c:pt>
                <c:pt idx="189">
                  <c:v>5.9382422802856105E-4</c:v>
                </c:pt>
                <c:pt idx="190">
                  <c:v>4.174120453190433E-3</c:v>
                </c:pt>
                <c:pt idx="191">
                  <c:v>6.9048333833681141E-3</c:v>
                </c:pt>
                <c:pt idx="192">
                  <c:v>4.2206813385590181E-3</c:v>
                </c:pt>
                <c:pt idx="193">
                  <c:v>2.7206771463119672E-3</c:v>
                </c:pt>
                <c:pt idx="194">
                  <c:v>-8.6904405154329956E-3</c:v>
                </c:pt>
                <c:pt idx="195">
                  <c:v>-5.9577003276735097E-3</c:v>
                </c:pt>
                <c:pt idx="196">
                  <c:v>-2.9779630732584828E-4</c:v>
                </c:pt>
                <c:pt idx="197">
                  <c:v>8.1056739717801918E-3</c:v>
                </c:pt>
                <c:pt idx="198">
                  <c:v>6.0404711567503266E-3</c:v>
                </c:pt>
                <c:pt idx="199">
                  <c:v>5.1608986035216464E-3</c:v>
                </c:pt>
                <c:pt idx="200">
                  <c:v>-1.0513667768098478E-2</c:v>
                </c:pt>
                <c:pt idx="201">
                  <c:v>-1.8283692126216611E-2</c:v>
                </c:pt>
                <c:pt idx="202">
                  <c:v>2.0156438026474266E-2</c:v>
                </c:pt>
                <c:pt idx="203">
                  <c:v>1.7447199265381075E-2</c:v>
                </c:pt>
                <c:pt idx="204">
                  <c:v>1.8399264029438367E-3</c:v>
                </c:pt>
                <c:pt idx="205">
                  <c:v>2.7675276752767708E-3</c:v>
                </c:pt>
                <c:pt idx="206">
                  <c:v>3.0845157310301907E-3</c:v>
                </c:pt>
                <c:pt idx="207">
                  <c:v>-2.768378960320006E-3</c:v>
                </c:pt>
                <c:pt idx="208">
                  <c:v>6.1900340451872538E-3</c:v>
                </c:pt>
                <c:pt idx="209">
                  <c:v>1.8604651162792418E-3</c:v>
                </c:pt>
                <c:pt idx="210">
                  <c:v>-3.0911901081916993E-3</c:v>
                </c:pt>
                <c:pt idx="211">
                  <c:v>-5.8389674247080192E-3</c:v>
                </c:pt>
                <c:pt idx="212">
                  <c:v>3.7014188772361845E-3</c:v>
                </c:pt>
                <c:pt idx="213">
                  <c:v>1.3125000000000053E-2</c:v>
                </c:pt>
                <c:pt idx="214">
                  <c:v>1.7164653528289886E-2</c:v>
                </c:pt>
                <c:pt idx="215">
                  <c:v>3.5087719298245723E-3</c:v>
                </c:pt>
                <c:pt idx="216">
                  <c:v>-8.85235535883655E-3</c:v>
                </c:pt>
                <c:pt idx="217">
                  <c:v>-5.0330292544824573E-3</c:v>
                </c:pt>
                <c:pt idx="218">
                  <c:v>9.4458438287148283E-4</c:v>
                </c:pt>
                <c:pt idx="219">
                  <c:v>-9.0483619344773336E-3</c:v>
                </c:pt>
                <c:pt idx="220">
                  <c:v>-1.0191476219888806E-2</c:v>
                </c:pt>
                <c:pt idx="221">
                  <c:v>1.441102756892243E-2</c:v>
                </c:pt>
                <c:pt idx="222">
                  <c:v>-1.5639662183296599E-3</c:v>
                </c:pt>
                <c:pt idx="223">
                  <c:v>-4.3600124571785415E-3</c:v>
                </c:pt>
                <c:pt idx="224">
                  <c:v>7.2145545796737931E-3</c:v>
                </c:pt>
                <c:pt idx="225">
                  <c:v>1.1421319796954377E-2</c:v>
                </c:pt>
                <c:pt idx="226">
                  <c:v>-9.4280326838466211E-3</c:v>
                </c:pt>
                <c:pt idx="227">
                  <c:v>-1.4555589965933646E-2</c:v>
                </c:pt>
                <c:pt idx="228">
                  <c:v>7.8027465667915852E-3</c:v>
                </c:pt>
                <c:pt idx="229">
                  <c:v>5.0188205771641847E-3</c:v>
                </c:pt>
                <c:pt idx="230">
                  <c:v>-2.2085889570552131E-2</c:v>
                </c:pt>
                <c:pt idx="231">
                  <c:v>1.536098310291889E-3</c:v>
                </c:pt>
                <c:pt idx="232">
                  <c:v>-1.0036496350364965E-2</c:v>
                </c:pt>
                <c:pt idx="233">
                  <c:v>9.8280098280096873E-3</c:v>
                </c:pt>
                <c:pt idx="234">
                  <c:v>1.401432575521655E-2</c:v>
                </c:pt>
                <c:pt idx="235">
                  <c:v>1.7104846373139138E-2</c:v>
                </c:pt>
                <c:pt idx="236">
                  <c:v>-1.2654223347042803E-3</c:v>
                </c:pt>
                <c:pt idx="237">
                  <c:v>4.1296060991105055E-3</c:v>
                </c:pt>
                <c:pt idx="238">
                  <c:v>1.9096117122852085E-3</c:v>
                </c:pt>
                <c:pt idx="239">
                  <c:v>-1.039370078740165E-2</c:v>
                </c:pt>
                <c:pt idx="240">
                  <c:v>2.0244215938303389E-2</c:v>
                </c:pt>
                <c:pt idx="241">
                  <c:v>2.1667760998030028E-2</c:v>
                </c:pt>
                <c:pt idx="242">
                  <c:v>-3.881350583780363E-2</c:v>
                </c:pt>
                <c:pt idx="243">
                  <c:v>-1.6754576481538996E-2</c:v>
                </c:pt>
                <c:pt idx="244">
                  <c:v>-2.540066525551854E-2</c:v>
                </c:pt>
                <c:pt idx="245">
                  <c:v>4.251442453689469E-3</c:v>
                </c:pt>
                <c:pt idx="246">
                  <c:v>-1.7014925373134315E-2</c:v>
                </c:pt>
                <c:pt idx="247">
                  <c:v>-7.7014218009479052E-3</c:v>
                </c:pt>
                <c:pt idx="248">
                  <c:v>6.5593321407275695E-3</c:v>
                </c:pt>
                <c:pt idx="249">
                  <c:v>-2.9806259314457684E-4</c:v>
                </c:pt>
                <c:pt idx="250">
                  <c:v>-7.6900325347530885E-3</c:v>
                </c:pt>
                <c:pt idx="251">
                  <c:v>2.6411657559198609E-2</c:v>
                </c:pt>
                <c:pt idx="252">
                  <c:v>1.1049723756906049E-2</c:v>
                </c:pt>
                <c:pt idx="253">
                  <c:v>-3.5809411068363328E-2</c:v>
                </c:pt>
                <c:pt idx="254">
                  <c:v>-9.381413075344569E-3</c:v>
                </c:pt>
                <c:pt idx="255">
                  <c:v>-2.1233859397417398E-2</c:v>
                </c:pt>
                <c:pt idx="256">
                  <c:v>-4.8543689320388328E-3</c:v>
                </c:pt>
                <c:pt idx="257">
                  <c:v>2.2896393817974925E-3</c:v>
                </c:pt>
                <c:pt idx="258">
                  <c:v>-5.69151963574277E-3</c:v>
                </c:pt>
                <c:pt idx="259">
                  <c:v>5.7240984544935092E-3</c:v>
                </c:pt>
                <c:pt idx="260">
                  <c:v>1.9253208868144522E-2</c:v>
                </c:pt>
                <c:pt idx="261">
                  <c:v>-1.7472335468839972E-3</c:v>
                </c:pt>
                <c:pt idx="262">
                  <c:v>4.535768645357674E-2</c:v>
                </c:pt>
                <c:pt idx="263">
                  <c:v>-6.9528415961306322E-3</c:v>
                </c:pt>
                <c:pt idx="264">
                  <c:v>-2.4125452352231624E-3</c:v>
                </c:pt>
                <c:pt idx="265">
                  <c:v>-1.4268727705112783E-2</c:v>
                </c:pt>
                <c:pt idx="266">
                  <c:v>-1.0005885815185467E-2</c:v>
                </c:pt>
                <c:pt idx="267">
                  <c:v>3.2477118393858806E-3</c:v>
                </c:pt>
                <c:pt idx="268">
                  <c:v>8.8652482269502286E-4</c:v>
                </c:pt>
                <c:pt idx="269">
                  <c:v>-5.5833088451366919E-3</c:v>
                </c:pt>
                <c:pt idx="270">
                  <c:v>-9.0273733255678001E-3</c:v>
                </c:pt>
                <c:pt idx="271">
                  <c:v>1.4581510644502416E-3</c:v>
                </c:pt>
                <c:pt idx="272">
                  <c:v>-3.1976744186047457E-3</c:v>
                </c:pt>
                <c:pt idx="273">
                  <c:v>-1.4044138721696742E-2</c:v>
                </c:pt>
                <c:pt idx="274">
                  <c:v>5.7913887204366077E-2</c:v>
                </c:pt>
                <c:pt idx="275">
                  <c:v>-4.7371461582899954E-2</c:v>
                </c:pt>
                <c:pt idx="276">
                  <c:v>3.6526946107784397E-2</c:v>
                </c:pt>
                <c:pt idx="277">
                  <c:v>-2.9915771129828683E-2</c:v>
                </c:pt>
                <c:pt idx="278">
                  <c:v>-2.9594137542277354E-2</c:v>
                </c:pt>
                <c:pt idx="279">
                  <c:v>-5.888594164456229E-2</c:v>
                </c:pt>
                <c:pt idx="280">
                  <c:v>-5.8016877637130371E-3</c:v>
                </c:pt>
                <c:pt idx="281">
                  <c:v>6.6666666666666652E-2</c:v>
                </c:pt>
                <c:pt idx="282">
                  <c:v>0.11862806796727488</c:v>
                </c:pt>
                <c:pt idx="283">
                  <c:v>8.7239137872049177E-2</c:v>
                </c:pt>
                <c:pt idx="284">
                  <c:v>8.7425595238095344E-2</c:v>
                </c:pt>
                <c:pt idx="285">
                  <c:v>5.4945054945054972E-2</c:v>
                </c:pt>
                <c:pt idx="286">
                  <c:v>9.108910891089117E-3</c:v>
                </c:pt>
                <c:pt idx="287">
                  <c:v>6.7783094098883279E-3</c:v>
                </c:pt>
                <c:pt idx="288">
                  <c:v>-1.337529504327295E-2</c:v>
                </c:pt>
                <c:pt idx="289">
                  <c:v>3.9354584809125903E-4</c:v>
                </c:pt>
                <c:pt idx="290">
                  <c:v>2.0072260136491327E-2</c:v>
                </c:pt>
                <c:pt idx="291">
                  <c:v>-9.9364069952305734E-3</c:v>
                </c:pt>
                <c:pt idx="292">
                  <c:v>9.2258323305254297E-3</c:v>
                </c:pt>
                <c:pt idx="293">
                  <c:v>1.9215044971381934E-2</c:v>
                </c:pt>
                <c:pt idx="294">
                  <c:v>4.5174537987680008E-3</c:v>
                </c:pt>
                <c:pt idx="295">
                  <c:v>-4.903964037596964E-3</c:v>
                </c:pt>
                <c:pt idx="296">
                  <c:v>-1.631986944104491E-3</c:v>
                </c:pt>
                <c:pt idx="297">
                  <c:v>-1.4871382636655994E-2</c:v>
                </c:pt>
                <c:pt idx="298">
                  <c:v>1.3029315960912058E-2</c:v>
                </c:pt>
                <c:pt idx="299">
                  <c:v>2.2481265611989931E-2</c:v>
                </c:pt>
                <c:pt idx="300">
                  <c:v>-1.5573770491803307E-2</c:v>
                </c:pt>
                <c:pt idx="301">
                  <c:v>1.0770505385252704E-2</c:v>
                </c:pt>
                <c:pt idx="302">
                  <c:v>2.201524132091448E-2</c:v>
                </c:pt>
                <c:pt idx="303">
                  <c:v>3.2794053344993523E-2</c:v>
                </c:pt>
                <c:pt idx="304">
                  <c:v>2.191060473269113E-3</c:v>
                </c:pt>
                <c:pt idx="305">
                  <c:v>1.4673188083592636E-2</c:v>
                </c:pt>
                <c:pt idx="306">
                  <c:v>1.2151215121512182E-2</c:v>
                </c:pt>
                <c:pt idx="307">
                  <c:v>-8.4783578759483058E-3</c:v>
                </c:pt>
                <c:pt idx="308">
                  <c:v>4.9327354260089162E-3</c:v>
                </c:pt>
                <c:pt idx="309">
                  <c:v>-2.2371364653244186E-3</c:v>
                </c:pt>
                <c:pt idx="310">
                  <c:v>-8.4294587400177701E-3</c:v>
                </c:pt>
                <c:pt idx="311">
                  <c:v>-9.666080843585223E-3</c:v>
                </c:pt>
                <c:pt idx="312">
                  <c:v>6.1892130857648109E-3</c:v>
                </c:pt>
                <c:pt idx="313">
                  <c:v>-5.7142857142857828E-3</c:v>
                </c:pt>
                <c:pt idx="314">
                  <c:v>7.9751883030572124E-3</c:v>
                </c:pt>
                <c:pt idx="315">
                  <c:v>9.8434004474272641E-3</c:v>
                </c:pt>
                <c:pt idx="316">
                  <c:v>-1.8445322793148811E-2</c:v>
                </c:pt>
                <c:pt idx="317">
                  <c:v>9.7560975609756184E-3</c:v>
                </c:pt>
                <c:pt idx="318">
                  <c:v>-1.6572176188399568E-2</c:v>
                </c:pt>
                <c:pt idx="319">
                  <c:v>1.9564250778123737E-2</c:v>
                </c:pt>
                <c:pt idx="320">
                  <c:v>-1.775410563692903E-3</c:v>
                </c:pt>
                <c:pt idx="321">
                  <c:v>4.0106951871659025E-3</c:v>
                </c:pt>
                <c:pt idx="322">
                  <c:v>-3.4007748600947019E-2</c:v>
                </c:pt>
                <c:pt idx="323">
                  <c:v>-5.5650684931506378E-3</c:v>
                </c:pt>
                <c:pt idx="324">
                  <c:v>-1.4345991561181437E-2</c:v>
                </c:pt>
                <c:pt idx="325">
                  <c:v>-6.7057837384744134E-3</c:v>
                </c:pt>
                <c:pt idx="326">
                  <c:v>5.0547598989048037E-3</c:v>
                </c:pt>
                <c:pt idx="327">
                  <c:v>-5.446166736489233E-3</c:v>
                </c:pt>
                <c:pt idx="328">
                  <c:v>-3.3402922755741971E-3</c:v>
                </c:pt>
                <c:pt idx="329">
                  <c:v>-8.3437630371296923E-4</c:v>
                </c:pt>
                <c:pt idx="330">
                  <c:v>8.8383838383838675E-3</c:v>
                </c:pt>
                <c:pt idx="331">
                  <c:v>7.6335877862594437E-3</c:v>
                </c:pt>
                <c:pt idx="332">
                  <c:v>-2.9598308668075113E-3</c:v>
                </c:pt>
                <c:pt idx="333">
                  <c:v>6.382978723404209E-3</c:v>
                </c:pt>
                <c:pt idx="334">
                  <c:v>1.0752688172043001E-2</c:v>
                </c:pt>
                <c:pt idx="335">
                  <c:v>-4.2992261392948983E-4</c:v>
                </c:pt>
                <c:pt idx="336">
                  <c:v>-2.1450021450021284E-3</c:v>
                </c:pt>
                <c:pt idx="337">
                  <c:v>-6.817213463996552E-3</c:v>
                </c:pt>
                <c:pt idx="338">
                  <c:v>-9.2866188265091631E-3</c:v>
                </c:pt>
                <c:pt idx="339">
                  <c:v>3.3883947479882437E-3</c:v>
                </c:pt>
                <c:pt idx="340">
                  <c:v>-1.1720385098367592E-2</c:v>
                </c:pt>
                <c:pt idx="341">
                  <c:v>-4.5833333333332726E-3</c:v>
                </c:pt>
                <c:pt idx="342">
                  <c:v>-8.3263946711065184E-4</c:v>
                </c:pt>
                <c:pt idx="343">
                  <c:v>2.5041736227044975E-3</c:v>
                </c:pt>
                <c:pt idx="344">
                  <c:v>7.9932688262516205E-3</c:v>
                </c:pt>
                <c:pt idx="345">
                  <c:v>3.3769523005486857E-3</c:v>
                </c:pt>
                <c:pt idx="346">
                  <c:v>4.6649703138252896E-3</c:v>
                </c:pt>
                <c:pt idx="347">
                  <c:v>-1.2149141181399203E-2</c:v>
                </c:pt>
                <c:pt idx="348">
                  <c:v>-1.2003311258278138E-2</c:v>
                </c:pt>
                <c:pt idx="349">
                  <c:v>4.1562759767248547E-3</c:v>
                </c:pt>
                <c:pt idx="350">
                  <c:v>-4.1545492314076782E-4</c:v>
                </c:pt>
                <c:pt idx="351">
                  <c:v>-7.4226804123711521E-3</c:v>
                </c:pt>
                <c:pt idx="352">
                  <c:v>-4.1067761806981018E-3</c:v>
                </c:pt>
                <c:pt idx="353">
                  <c:v>8.2203041512540764E-4</c:v>
                </c:pt>
                <c:pt idx="354">
                  <c:v>8.7064676616916969E-3</c:v>
                </c:pt>
                <c:pt idx="355">
                  <c:v>-1.5108207431604792E-2</c:v>
                </c:pt>
                <c:pt idx="356">
                  <c:v>-6.8937550689375238E-3</c:v>
                </c:pt>
                <c:pt idx="357">
                  <c:v>-2.7218934911242609E-2</c:v>
                </c:pt>
                <c:pt idx="358">
                  <c:v>-1.2465913517724969E-2</c:v>
                </c:pt>
                <c:pt idx="359">
                  <c:v>1.62311955661123E-2</c:v>
                </c:pt>
                <c:pt idx="360">
                  <c:v>-1.7884914463452528E-2</c:v>
                </c:pt>
                <c:pt idx="361">
                  <c:v>-0.10258199581297989</c:v>
                </c:pt>
                <c:pt idx="362">
                  <c:v>-6.9735006973492553E-4</c:v>
                </c:pt>
                <c:pt idx="363">
                  <c:v>-1.3927576601669989E-3</c:v>
                </c:pt>
                <c:pt idx="364">
                  <c:v>2.0935101186321248E-3</c:v>
                </c:pt>
                <c:pt idx="365">
                  <c:v>-1.3937282229964376E-3</c:v>
                </c:pt>
                <c:pt idx="366">
                  <c:v>6.9735006973492553E-4</c:v>
                </c:pt>
                <c:pt idx="367">
                  <c:v>3.4879665155229667E-4</c:v>
                </c:pt>
                <c:pt idx="368">
                  <c:v>-4.8594238111767663E-3</c:v>
                </c:pt>
                <c:pt idx="369">
                  <c:v>-6.5517241379309255E-3</c:v>
                </c:pt>
                <c:pt idx="370">
                  <c:v>7.6441973592771273E-3</c:v>
                </c:pt>
                <c:pt idx="371">
                  <c:v>-1.0413051023950848E-3</c:v>
                </c:pt>
                <c:pt idx="372">
                  <c:v>-1.739427012278294E-2</c:v>
                </c:pt>
                <c:pt idx="373">
                  <c:v>2.1602787456445949E-2</c:v>
                </c:pt>
                <c:pt idx="374">
                  <c:v>1.3956734124214165E-3</c:v>
                </c:pt>
                <c:pt idx="375">
                  <c:v>-1.0456605088879911E-3</c:v>
                </c:pt>
                <c:pt idx="376">
                  <c:v>6.9759330310414924E-4</c:v>
                </c:pt>
                <c:pt idx="377">
                  <c:v>-3.4867503486757379E-4</c:v>
                </c:pt>
                <c:pt idx="378">
                  <c:v>-6.968641114981633E-4</c:v>
                </c:pt>
                <c:pt idx="379">
                  <c:v>-1.0442046641142566E-3</c:v>
                </c:pt>
                <c:pt idx="380">
                  <c:v>-5.0875454245127072E-2</c:v>
                </c:pt>
                <c:pt idx="381">
                  <c:v>1.0010010010010006E-2</c:v>
                </c:pt>
                <c:pt idx="382">
                  <c:v>6.7181726570373357E-3</c:v>
                </c:pt>
                <c:pt idx="383">
                  <c:v>-3.0140656396517862E-3</c:v>
                </c:pt>
                <c:pt idx="384">
                  <c:v>2.686366689053088E-3</c:v>
                </c:pt>
                <c:pt idx="385">
                  <c:v>4.2352117605880313E-2</c:v>
                </c:pt>
                <c:pt idx="386">
                  <c:v>-2.0957038071953704E-3</c:v>
                </c:pt>
                <c:pt idx="387">
                  <c:v>-2.7864855451062986E-3</c:v>
                </c:pt>
                <c:pt idx="388">
                  <c:v>3.8461538461538325E-3</c:v>
                </c:pt>
                <c:pt idx="389">
                  <c:v>-1.0478519035976852E-3</c:v>
                </c:pt>
                <c:pt idx="390">
                  <c:v>-1.1053540587219302E-2</c:v>
                </c:pt>
                <c:pt idx="391">
                  <c:v>2.7710426047800052E-3</c:v>
                </c:pt>
                <c:pt idx="392">
                  <c:v>3.1271716469769562E-3</c:v>
                </c:pt>
                <c:pt idx="393">
                  <c:v>-4.4967139398132128E-3</c:v>
                </c:pt>
                <c:pt idx="394">
                  <c:v>2.7748872702046956E-3</c:v>
                </c:pt>
                <c:pt idx="395">
                  <c:v>-1.7047391749062446E-2</c:v>
                </c:pt>
                <c:pt idx="396">
                  <c:v>7.5575403641359173E-3</c:v>
                </c:pt>
                <c:pt idx="397">
                  <c:v>3.0077848549186159E-2</c:v>
                </c:pt>
                <c:pt idx="398">
                  <c:v>-1.9771071800208095E-2</c:v>
                </c:pt>
                <c:pt idx="399">
                  <c:v>-1.9721183270996256E-2</c:v>
                </c:pt>
                <c:pt idx="400">
                  <c:v>-1.9993335554815084E-2</c:v>
                </c:pt>
                <c:pt idx="401">
                  <c:v>-8.916776750330202E-3</c:v>
                </c:pt>
                <c:pt idx="402">
                  <c:v>-3.3014196104308446E-4</c:v>
                </c:pt>
                <c:pt idx="403">
                  <c:v>-8.8350785340315374E-3</c:v>
                </c:pt>
                <c:pt idx="404">
                  <c:v>6.2561738557789237E-3</c:v>
                </c:pt>
                <c:pt idx="405">
                  <c:v>-3.291639236340238E-4</c:v>
                </c:pt>
                <c:pt idx="406">
                  <c:v>-6.5789473684207955E-4</c:v>
                </c:pt>
                <c:pt idx="407">
                  <c:v>-9.8586920801846389E-4</c:v>
                </c:pt>
                <c:pt idx="408">
                  <c:v>-8.7947882736155725E-3</c:v>
                </c:pt>
                <c:pt idx="409">
                  <c:v>6.2274664044574823E-3</c:v>
                </c:pt>
                <c:pt idx="410">
                  <c:v>1.9704433497538254E-3</c:v>
                </c:pt>
                <c:pt idx="411">
                  <c:v>-6.5638332786344122E-4</c:v>
                </c:pt>
                <c:pt idx="412">
                  <c:v>-3.597122302158362E-3</c:v>
                </c:pt>
                <c:pt idx="413">
                  <c:v>-5.8517555266580645E-3</c:v>
                </c:pt>
                <c:pt idx="414">
                  <c:v>6.5445026178010401E-3</c:v>
                </c:pt>
                <c:pt idx="415">
                  <c:v>3.2829940906107247E-3</c:v>
                </c:pt>
                <c:pt idx="416">
                  <c:v>-4.5751633986926832E-3</c:v>
                </c:pt>
                <c:pt idx="417">
                  <c:v>-3.90625E-3</c:v>
                </c:pt>
                <c:pt idx="418">
                  <c:v>-1.9783024888321621E-2</c:v>
                </c:pt>
                <c:pt idx="419">
                  <c:v>2.9566360052562413E-2</c:v>
                </c:pt>
                <c:pt idx="420">
                  <c:v>-7.8226857887876422E-3</c:v>
                </c:pt>
                <c:pt idx="421">
                  <c:v>-9.7688049495281426E-4</c:v>
                </c:pt>
                <c:pt idx="422">
                  <c:v>-1.3008130081300084E-3</c:v>
                </c:pt>
                <c:pt idx="423">
                  <c:v>-5.8195926285160571E-3</c:v>
                </c:pt>
                <c:pt idx="424">
                  <c:v>2.8257978723404298E-2</c:v>
                </c:pt>
                <c:pt idx="425">
                  <c:v>-3.3233632436013849E-4</c:v>
                </c:pt>
                <c:pt idx="426">
                  <c:v>-7.9129574678536985E-3</c:v>
                </c:pt>
                <c:pt idx="427">
                  <c:v>-8.4995096436742967E-3</c:v>
                </c:pt>
                <c:pt idx="428">
                  <c:v>6.5811122079630913E-3</c:v>
                </c:pt>
                <c:pt idx="429">
                  <c:v>4.2961004626567156E-3</c:v>
                </c:pt>
                <c:pt idx="430">
                  <c:v>-4.6052631578946679E-3</c:v>
                </c:pt>
                <c:pt idx="431">
                  <c:v>-9.4493320299771089E-3</c:v>
                </c:pt>
                <c:pt idx="432">
                  <c:v>-8.720930232558266E-3</c:v>
                </c:pt>
                <c:pt idx="433">
                  <c:v>-2.2558814050918086E-3</c:v>
                </c:pt>
                <c:pt idx="434">
                  <c:v>-1.6169942929613046E-2</c:v>
                </c:pt>
                <c:pt idx="435">
                  <c:v>-1.0664993726474337E-2</c:v>
                </c:pt>
                <c:pt idx="436">
                  <c:v>-3.1357792411401686E-4</c:v>
                </c:pt>
                <c:pt idx="437">
                  <c:v>-6.2324711748208417E-3</c:v>
                </c:pt>
                <c:pt idx="438">
                  <c:v>3.4396497811131077E-3</c:v>
                </c:pt>
                <c:pt idx="439">
                  <c:v>-3.1259768677704969E-4</c:v>
                </c:pt>
                <c:pt idx="440">
                  <c:v>-1.8720748829953449E-3</c:v>
                </c:pt>
                <c:pt idx="441">
                  <c:v>-1.9577852554297892E-2</c:v>
                </c:pt>
                <c:pt idx="442">
                  <c:v>-6.1143381229000759E-4</c:v>
                </c:pt>
                <c:pt idx="443">
                  <c:v>9.8795924668109159E-3</c:v>
                </c:pt>
                <c:pt idx="444">
                  <c:v>7.7784691972619946E-3</c:v>
                </c:pt>
                <c:pt idx="445">
                  <c:v>4.0612308653544815E-3</c:v>
                </c:pt>
                <c:pt idx="446">
                  <c:v>9.3808630394009995E-4</c:v>
                </c:pt>
                <c:pt idx="447">
                  <c:v>-1.0213556174558991E-2</c:v>
                </c:pt>
                <c:pt idx="448">
                  <c:v>1.000312597686781E-2</c:v>
                </c:pt>
                <c:pt idx="449">
                  <c:v>2.5070510811655566E-3</c:v>
                </c:pt>
                <c:pt idx="450">
                  <c:v>-9.3138776777398347E-3</c:v>
                </c:pt>
                <c:pt idx="451">
                  <c:v>6.213109661385996E-4</c:v>
                </c:pt>
                <c:pt idx="452">
                  <c:v>1.2441679626749025E-3</c:v>
                </c:pt>
                <c:pt idx="453">
                  <c:v>3.7464876678114933E-3</c:v>
                </c:pt>
                <c:pt idx="454">
                  <c:v>-1.4461538461538415E-2</c:v>
                </c:pt>
                <c:pt idx="455">
                  <c:v>3.0778701138811648E-4</c:v>
                </c:pt>
                <c:pt idx="456">
                  <c:v>-1.1560693641618491E-2</c:v>
                </c:pt>
                <c:pt idx="457">
                  <c:v>-6.0808756460928315E-4</c:v>
                </c:pt>
                <c:pt idx="458">
                  <c:v>6.0845756008509611E-4</c:v>
                </c:pt>
                <c:pt idx="459">
                  <c:v>1.8287107589147755E-3</c:v>
                </c:pt>
                <c:pt idx="460">
                  <c:v>-8.4617709277725606E-3</c:v>
                </c:pt>
                <c:pt idx="461">
                  <c:v>6.6930331609369453E-3</c:v>
                </c:pt>
                <c:pt idx="462">
                  <c:v>9.5208845208845094E-3</c:v>
                </c:pt>
                <c:pt idx="463">
                  <c:v>3.0721966205837781E-4</c:v>
                </c:pt>
                <c:pt idx="464">
                  <c:v>2.4638127502309981E-3</c:v>
                </c:pt>
                <c:pt idx="465">
                  <c:v>-9.2307692307691536E-4</c:v>
                </c:pt>
                <c:pt idx="466">
                  <c:v>-3.373198405397182E-3</c:v>
                </c:pt>
                <c:pt idx="467">
                  <c:v>6.1368517950310952E-4</c:v>
                </c:pt>
                <c:pt idx="468">
                  <c:v>-1.837349397590371E-2</c:v>
                </c:pt>
                <c:pt idx="469">
                  <c:v>6.0606060606060996E-3</c:v>
                </c:pt>
                <c:pt idx="470">
                  <c:v>6.7114093959730337E-3</c:v>
                </c:pt>
                <c:pt idx="471">
                  <c:v>1.7380509000620714E-2</c:v>
                </c:pt>
                <c:pt idx="472">
                  <c:v>5.3042121684867549E-3</c:v>
                </c:pt>
                <c:pt idx="473">
                  <c:v>1.2958280657395793E-2</c:v>
                </c:pt>
                <c:pt idx="474">
                  <c:v>-3.7783375314862644E-3</c:v>
                </c:pt>
                <c:pt idx="475">
                  <c:v>-1.7022593624264948E-2</c:v>
                </c:pt>
                <c:pt idx="476">
                  <c:v>-1.7335766423357657E-2</c:v>
                </c:pt>
                <c:pt idx="477">
                  <c:v>-1.8800358102059156E-2</c:v>
                </c:pt>
                <c:pt idx="478">
                  <c:v>-1.5280634734058163E-2</c:v>
                </c:pt>
                <c:pt idx="479">
                  <c:v>8.8235294117655627E-4</c:v>
                </c:pt>
                <c:pt idx="480">
                  <c:v>-2.6400704018773036E-3</c:v>
                </c:pt>
                <c:pt idx="481">
                  <c:v>-2.9248318221701819E-3</c:v>
                </c:pt>
                <c:pt idx="482">
                  <c:v>-3.7985368598762004E-2</c:v>
                </c:pt>
                <c:pt idx="483">
                  <c:v>-3.9237668161435924E-3</c:v>
                </c:pt>
                <c:pt idx="484">
                  <c:v>-2.5160749231198931E-3</c:v>
                </c:pt>
                <c:pt idx="485">
                  <c:v>-5.5881531153945119E-4</c:v>
                </c:pt>
                <c:pt idx="486">
                  <c:v>8.3892617449654594E-4</c:v>
                </c:pt>
                <c:pt idx="487">
                  <c:v>-8.3822296730917678E-4</c:v>
                </c:pt>
                <c:pt idx="488">
                  <c:v>-2.7932960893861658E-4</c:v>
                </c:pt>
                <c:pt idx="489">
                  <c:v>2.7940765576972559E-4</c:v>
                </c:pt>
                <c:pt idx="490">
                  <c:v>-8.3752093802347272E-4</c:v>
                </c:pt>
                <c:pt idx="491">
                  <c:v>6.7453625632376557E-3</c:v>
                </c:pt>
                <c:pt idx="492">
                  <c:v>-5.8675607711650146E-3</c:v>
                </c:pt>
                <c:pt idx="493">
                  <c:v>7.6013513513513153E-3</c:v>
                </c:pt>
                <c:pt idx="494">
                  <c:v>1.6920473773265332E-3</c:v>
                </c:pt>
                <c:pt idx="495">
                  <c:v>-3.6527114357964852E-3</c:v>
                </c:pt>
                <c:pt idx="496">
                  <c:v>5.367231638418124E-3</c:v>
                </c:pt>
                <c:pt idx="497">
                  <c:v>7.3989755264656232E-3</c:v>
                </c:pt>
                <c:pt idx="498">
                  <c:v>-1.1254924029262758E-2</c:v>
                </c:pt>
                <c:pt idx="499">
                  <c:v>5.6306306306308507E-4</c:v>
                </c:pt>
                <c:pt idx="500">
                  <c:v>-1.0584958217270235E-2</c:v>
                </c:pt>
                <c:pt idx="501">
                  <c:v>5.574136008918984E-4</c:v>
                </c:pt>
                <c:pt idx="502">
                  <c:v>4.198152812762368E-3</c:v>
                </c:pt>
                <c:pt idx="503">
                  <c:v>-4.7353760445681958E-3</c:v>
                </c:pt>
                <c:pt idx="504">
                  <c:v>1.115448968209698E-3</c:v>
                </c:pt>
                <c:pt idx="505">
                  <c:v>-2.5034770514602567E-3</c:v>
                </c:pt>
                <c:pt idx="506">
                  <c:v>2.7824151363398109E-4</c:v>
                </c:pt>
                <c:pt idx="507">
                  <c:v>2.7831895352070646E-4</c:v>
                </c:pt>
                <c:pt idx="508">
                  <c:v>6.1607392887146339E-3</c:v>
                </c:pt>
                <c:pt idx="509">
                  <c:v>1.0469722693831507E-2</c:v>
                </c:pt>
                <c:pt idx="510">
                  <c:v>9.7142857142855643E-3</c:v>
                </c:pt>
                <c:pt idx="511">
                  <c:v>4.8808498420900293E-3</c:v>
                </c:pt>
                <c:pt idx="512">
                  <c:v>5.4849884526559922E-3</c:v>
                </c:pt>
                <c:pt idx="513">
                  <c:v>-8.0183276059565545E-3</c:v>
                </c:pt>
                <c:pt idx="514">
                  <c:v>4.025301897642164E-3</c:v>
                </c:pt>
                <c:pt idx="515">
                  <c:v>-5.1487414187643132E-3</c:v>
                </c:pt>
                <c:pt idx="516">
                  <c:v>2.861230329043174E-4</c:v>
                </c:pt>
                <c:pt idx="517">
                  <c:v>3.1572904707233285E-3</c:v>
                </c:pt>
                <c:pt idx="518">
                  <c:v>-4.5714285714286707E-3</c:v>
                </c:pt>
                <c:pt idx="519">
                  <c:v>2.5780578630765216E-3</c:v>
                </c:pt>
                <c:pt idx="520">
                  <c:v>-2.5714285714285579E-3</c:v>
                </c:pt>
                <c:pt idx="521">
                  <c:v>-8.5640879246362545E-4</c:v>
                </c:pt>
                <c:pt idx="522">
                  <c:v>1.1431837667905675E-3</c:v>
                </c:pt>
                <c:pt idx="523">
                  <c:v>1.4310246136233218E-3</c:v>
                </c:pt>
                <c:pt idx="524">
                  <c:v>2.8628685943310472E-4</c:v>
                </c:pt>
                <c:pt idx="525">
                  <c:v>-1.1041902604756459E-2</c:v>
                </c:pt>
                <c:pt idx="526">
                  <c:v>-5.6306306306306286E-3</c:v>
                </c:pt>
                <c:pt idx="527">
                  <c:v>1.6920473773265332E-3</c:v>
                </c:pt>
                <c:pt idx="528">
                  <c:v>-1.143016448285461E-2</c:v>
                </c:pt>
                <c:pt idx="529">
                  <c:v>-2.787068004459492E-4</c:v>
                </c:pt>
                <c:pt idx="530">
                  <c:v>-1.3915947676036433E-3</c:v>
                </c:pt>
                <c:pt idx="531">
                  <c:v>-1.3896609227348478E-3</c:v>
                </c:pt>
                <c:pt idx="532">
                  <c:v>-3.0479357162648268E-3</c:v>
                </c:pt>
                <c:pt idx="533">
                  <c:v>5.5447740504566134E-4</c:v>
                </c:pt>
                <c:pt idx="534">
                  <c:v>-3.5911602209944826E-3</c:v>
                </c:pt>
                <c:pt idx="535">
                  <c:v>9.1998884862001251E-3</c:v>
                </c:pt>
                <c:pt idx="536">
                  <c:v>8.150646430578945E-3</c:v>
                </c:pt>
                <c:pt idx="537">
                  <c:v>2.1533161068044704E-2</c:v>
                </c:pt>
                <c:pt idx="538">
                  <c:v>-3.2231175326479455E-2</c:v>
                </c:pt>
                <c:pt idx="539">
                  <c:v>-1.1101859561477578E-3</c:v>
                </c:pt>
                <c:pt idx="540">
                  <c:v>-8.3194675540765317E-4</c:v>
                </c:pt>
                <c:pt idx="541">
                  <c:v>8.3263946711076287E-4</c:v>
                </c:pt>
                <c:pt idx="542">
                  <c:v>-2.215452783162597E-3</c:v>
                </c:pt>
                <c:pt idx="543">
                  <c:v>3.334259516532434E-3</c:v>
                </c:pt>
                <c:pt idx="544">
                  <c:v>2.7793218454696955E-4</c:v>
                </c:pt>
                <c:pt idx="545">
                  <c:v>-2.2185246810870751E-3</c:v>
                </c:pt>
                <c:pt idx="546">
                  <c:v>2.7739251040226343E-4</c:v>
                </c:pt>
                <c:pt idx="547">
                  <c:v>-3.3176665745092704E-3</c:v>
                </c:pt>
                <c:pt idx="548">
                  <c:v>6.6796548844976211E-3</c:v>
                </c:pt>
                <c:pt idx="549">
                  <c:v>-2.4986118822875047E-3</c:v>
                </c:pt>
                <c:pt idx="550">
                  <c:v>3.0632135895292123E-3</c:v>
                </c:pt>
                <c:pt idx="551">
                  <c:v>1.1264432554210169E-2</c:v>
                </c:pt>
                <c:pt idx="552">
                  <c:v>8.4554678692216889E-4</c:v>
                </c:pt>
                <c:pt idx="553">
                  <c:v>-3.0907558302892824E-3</c:v>
                </c:pt>
                <c:pt idx="554">
                  <c:v>2.2528865108419893E-3</c:v>
                </c:pt>
                <c:pt idx="555">
                  <c:v>1.1277135607556943E-3</c:v>
                </c:pt>
                <c:pt idx="556">
                  <c:v>3.6785512167516465E-3</c:v>
                </c:pt>
                <c:pt idx="557">
                  <c:v>-8.9736399326978411E-3</c:v>
                </c:pt>
                <c:pt idx="558">
                  <c:v>7.6292738061600751E-3</c:v>
                </c:pt>
                <c:pt idx="559">
                  <c:v>-1.2831241283124184E-2</c:v>
                </c:pt>
                <c:pt idx="560">
                  <c:v>9.2905405405405705E-3</c:v>
                </c:pt>
                <c:pt idx="561">
                  <c:v>4.2408821034776167E-3</c:v>
                </c:pt>
                <c:pt idx="562">
                  <c:v>6.2588904694167447E-3</c:v>
                </c:pt>
                <c:pt idx="563">
                  <c:v>-1.6508114157806286E-2</c:v>
                </c:pt>
                <c:pt idx="564">
                  <c:v>-7.222222222222241E-3</c:v>
                </c:pt>
                <c:pt idx="565">
                  <c:v>-1.5047879616963078E-2</c:v>
                </c:pt>
                <c:pt idx="566">
                  <c:v>1.0505944152612745E-2</c:v>
                </c:pt>
                <c:pt idx="567">
                  <c:v>-4.9518569463549156E-3</c:v>
                </c:pt>
                <c:pt idx="568">
                  <c:v>-1.3836136733586635E-2</c:v>
                </c:pt>
                <c:pt idx="569">
                  <c:v>4.6334150994822298E-3</c:v>
                </c:pt>
                <c:pt idx="570">
                  <c:v>1.9115237575095811E-3</c:v>
                </c:pt>
                <c:pt idx="571">
                  <c:v>-5.7018734727125597E-3</c:v>
                </c:pt>
                <c:pt idx="572">
                  <c:v>-5.9379217273953788E-3</c:v>
                </c:pt>
                <c:pt idx="573">
                  <c:v>-4.8348106365834198E-3</c:v>
                </c:pt>
                <c:pt idx="574">
                  <c:v>-3.2128514056224411E-3</c:v>
                </c:pt>
                <c:pt idx="575">
                  <c:v>-3.7343291544411628E-3</c:v>
                </c:pt>
                <c:pt idx="576">
                  <c:v>-1.0817941952506627E-2</c:v>
                </c:pt>
                <c:pt idx="577">
                  <c:v>2.3803226659613319E-3</c:v>
                </c:pt>
                <c:pt idx="578">
                  <c:v>5.2924053982539299E-4</c:v>
                </c:pt>
                <c:pt idx="579">
                  <c:v>-6.0494476591268498E-3</c:v>
                </c:pt>
                <c:pt idx="580">
                  <c:v>-1.0509721492381052E-3</c:v>
                </c:pt>
                <c:pt idx="581">
                  <c:v>-3.1430068098480257E-3</c:v>
                </c:pt>
                <c:pt idx="582">
                  <c:v>-3.1331592689294308E-3</c:v>
                </c:pt>
                <c:pt idx="583">
                  <c:v>5.5132580729850833E-3</c:v>
                </c:pt>
                <c:pt idx="584">
                  <c:v>-1.3109596224436526E-3</c:v>
                </c:pt>
                <c:pt idx="585">
                  <c:v>-4.9569527785026102E-3</c:v>
                </c:pt>
                <c:pt idx="586">
                  <c:v>-1.0424811050299132E-3</c:v>
                </c:pt>
                <c:pt idx="587">
                  <c:v>8.6750788643532584E-3</c:v>
                </c:pt>
                <c:pt idx="588">
                  <c:v>-4.1884816753927634E-3</c:v>
                </c:pt>
                <c:pt idx="589">
                  <c:v>-6.5019505851755532E-3</c:v>
                </c:pt>
                <c:pt idx="590">
                  <c:v>1.3976793248945185E-2</c:v>
                </c:pt>
                <c:pt idx="591">
                  <c:v>-1.3168290755859458E-3</c:v>
                </c:pt>
                <c:pt idx="592">
                  <c:v>-1.6830657690315887E-2</c:v>
                </c:pt>
                <c:pt idx="593">
                  <c:v>-4.1258380608562017E-3</c:v>
                </c:pt>
                <c:pt idx="594">
                  <c:v>3.363518758085382E-3</c:v>
                </c:pt>
                <c:pt idx="595">
                  <c:v>5.7246942492843456E-3</c:v>
                </c:pt>
                <c:pt idx="596">
                  <c:v>9.9868593955321217E-3</c:v>
                </c:pt>
                <c:pt idx="597">
                  <c:v>2.1476510067114152E-2</c:v>
                </c:pt>
                <c:pt idx="598">
                  <c:v>1.4433551198257177E-2</c:v>
                </c:pt>
                <c:pt idx="599">
                  <c:v>1.3524703284570672E-2</c:v>
                </c:pt>
                <c:pt idx="600">
                  <c:v>5.5233360950013299E-4</c:v>
                </c:pt>
                <c:pt idx="601">
                  <c:v>-1.3789299503584873E-3</c:v>
                </c:pt>
                <c:pt idx="602">
                  <c:v>5.8252427184466438E-3</c:v>
                </c:pt>
                <c:pt idx="603">
                  <c:v>-1.2058098109070881E-2</c:v>
                </c:pt>
                <c:pt idx="604">
                  <c:v>-7.0748299319728369E-3</c:v>
                </c:pt>
                <c:pt idx="605">
                  <c:v>-4.8740861088546472E-3</c:v>
                </c:pt>
                <c:pt idx="606">
                  <c:v>9.5680699835976046E-3</c:v>
                </c:pt>
                <c:pt idx="607">
                  <c:v>5.22121461940106E-3</c:v>
                </c:pt>
                <c:pt idx="608">
                  <c:v>1.2520868113522488E-2</c:v>
                </c:pt>
                <c:pt idx="609">
                  <c:v>-8.3402835696422262E-4</c:v>
                </c:pt>
                <c:pt idx="610">
                  <c:v>1.6708437761068229E-3</c:v>
                </c:pt>
                <c:pt idx="611">
                  <c:v>-4.7117516629711087E-3</c:v>
                </c:pt>
                <c:pt idx="612">
                  <c:v>-6.0606060606059886E-3</c:v>
                </c:pt>
                <c:pt idx="613">
                  <c:v>-8.1967213114754189E-3</c:v>
                </c:pt>
                <c:pt idx="614">
                  <c:v>1.413133832086455E-2</c:v>
                </c:pt>
                <c:pt idx="615">
                  <c:v>-2.3538961038961137E-2</c:v>
                </c:pt>
                <c:pt idx="616">
                  <c:v>3.5297311973934153E-3</c:v>
                </c:pt>
                <c:pt idx="617">
                  <c:v>-6.4742379282437534E-3</c:v>
                </c:pt>
                <c:pt idx="618">
                  <c:v>-2.2673345636699205E-2</c:v>
                </c:pt>
                <c:pt idx="619">
                  <c:v>1.2546716497597421E-2</c:v>
                </c:pt>
                <c:pt idx="620">
                  <c:v>1.4626218851571116E-2</c:v>
                </c:pt>
                <c:pt idx="621">
                  <c:v>7.3669849931787823E-3</c:v>
                </c:pt>
                <c:pt idx="622">
                  <c:v>7.6986527357711942E-3</c:v>
                </c:pt>
                <c:pt idx="623">
                  <c:v>-5.4689636313918211E-3</c:v>
                </c:pt>
                <c:pt idx="624">
                  <c:v>1.0500138159712735E-2</c:v>
                </c:pt>
                <c:pt idx="625">
                  <c:v>1.4862591138530501E-2</c:v>
                </c:pt>
                <c:pt idx="626">
                  <c:v>3.9414414414415955E-3</c:v>
                </c:pt>
                <c:pt idx="627">
                  <c:v>-8.3752093802345051E-3</c:v>
                </c:pt>
                <c:pt idx="628">
                  <c:v>7.8784468204839975E-3</c:v>
                </c:pt>
                <c:pt idx="629">
                  <c:v>1.0233086981239259E-2</c:v>
                </c:pt>
                <c:pt idx="630">
                  <c:v>6.5808297567955254E-3</c:v>
                </c:pt>
                <c:pt idx="631">
                  <c:v>4.5990227076746493E-3</c:v>
                </c:pt>
                <c:pt idx="632">
                  <c:v>-1.4351320321469574E-3</c:v>
                </c:pt>
                <c:pt idx="633">
                  <c:v>-2.8620492272467546E-3</c:v>
                </c:pt>
                <c:pt idx="634">
                  <c:v>5.4676258992805149E-3</c:v>
                </c:pt>
                <c:pt idx="635">
                  <c:v>3.465203580710341E-3</c:v>
                </c:pt>
                <c:pt idx="636">
                  <c:v>1.1564035848512511E-3</c:v>
                </c:pt>
                <c:pt idx="637">
                  <c:v>-8.6655112651645716E-4</c:v>
                </c:pt>
                <c:pt idx="638">
                  <c:v>-2.0178725857595836E-3</c:v>
                </c:pt>
                <c:pt idx="639">
                  <c:v>4.9246813441483628E-3</c:v>
                </c:pt>
                <c:pt idx="640">
                  <c:v>6.1206645292917194E-3</c:v>
                </c:pt>
                <c:pt idx="641">
                  <c:v>-5.8258083309059572E-4</c:v>
                </c:pt>
                <c:pt idx="642">
                  <c:v>-2.3249055507120753E-3</c:v>
                </c:pt>
                <c:pt idx="643">
                  <c:v>2.622377622377714E-3</c:v>
                </c:pt>
                <c:pt idx="644">
                  <c:v>-2.6155187445511263E-3</c:v>
                </c:pt>
                <c:pt idx="645">
                  <c:v>-9.4991364421415092E-3</c:v>
                </c:pt>
                <c:pt idx="646">
                  <c:v>-1.4747589336358558E-2</c:v>
                </c:pt>
                <c:pt idx="647">
                  <c:v>1.0315186246418362E-2</c:v>
                </c:pt>
                <c:pt idx="648">
                  <c:v>6.0536177572787508E-3</c:v>
                </c:pt>
                <c:pt idx="649">
                  <c:v>5.7686760888375765E-4</c:v>
                </c:pt>
                <c:pt idx="650">
                  <c:v>-1.0276905509563283E-2</c:v>
                </c:pt>
                <c:pt idx="651">
                  <c:v>-6.2411347517730142E-3</c:v>
                </c:pt>
                <c:pt idx="652">
                  <c:v>1.6435986159169413E-2</c:v>
                </c:pt>
                <c:pt idx="653">
                  <c:v>1.1547344110856006E-3</c:v>
                </c:pt>
                <c:pt idx="654">
                  <c:v>2.8876696505908406E-4</c:v>
                </c:pt>
                <c:pt idx="655">
                  <c:v>3.7681159420290822E-3</c:v>
                </c:pt>
                <c:pt idx="656">
                  <c:v>-4.9033746755119401E-3</c:v>
                </c:pt>
                <c:pt idx="657">
                  <c:v>1.641747288185269E-2</c:v>
                </c:pt>
                <c:pt idx="658">
                  <c:v>-5.8292043136112248E-3</c:v>
                </c:pt>
                <c:pt idx="659">
                  <c:v>9.1176470588236747E-3</c:v>
                </c:pt>
                <c:pt idx="660">
                  <c:v>2.6540843409024184E-3</c:v>
                </c:pt>
                <c:pt idx="661">
                  <c:v>-1.0215995329830752E-2</c:v>
                </c:pt>
                <c:pt idx="662">
                  <c:v>-4.0697674418603835E-3</c:v>
                </c:pt>
                <c:pt idx="663">
                  <c:v>-5.8105752469495009E-4</c:v>
                </c:pt>
                <c:pt idx="664">
                  <c:v>2.329644729178737E-3</c:v>
                </c:pt>
                <c:pt idx="665">
                  <c:v>-9.2325447201385691E-3</c:v>
                </c:pt>
                <c:pt idx="666">
                  <c:v>1.1554015020220909E-3</c:v>
                </c:pt>
                <c:pt idx="667">
                  <c:v>2.2143489813994721E-2</c:v>
                </c:pt>
                <c:pt idx="668">
                  <c:v>1.6506602641056523E-2</c:v>
                </c:pt>
                <c:pt idx="669">
                  <c:v>-4.4816253361219527E-3</c:v>
                </c:pt>
                <c:pt idx="670">
                  <c:v>-6.8249258160237858E-3</c:v>
                </c:pt>
                <c:pt idx="671">
                  <c:v>-7.3637702503681624E-3</c:v>
                </c:pt>
                <c:pt idx="672">
                  <c:v>-4.3988269794721369E-3</c:v>
                </c:pt>
                <c:pt idx="673">
                  <c:v>5.8997050147493457E-3</c:v>
                </c:pt>
                <c:pt idx="674">
                  <c:v>-2.3543260741613059E-3</c:v>
                </c:pt>
                <c:pt idx="675">
                  <c:v>2.9515938606847758E-3</c:v>
                </c:pt>
                <c:pt idx="676">
                  <c:v>-4.1152263374485409E-3</c:v>
                </c:pt>
                <c:pt idx="677">
                  <c:v>2.9481132075470651E-3</c:v>
                </c:pt>
                <c:pt idx="678">
                  <c:v>6.5281899109792541E-3</c:v>
                </c:pt>
                <c:pt idx="679">
                  <c:v>2.9682398337782523E-4</c:v>
                </c:pt>
                <c:pt idx="680">
                  <c:v>-7.3659398939304177E-3</c:v>
                </c:pt>
                <c:pt idx="681">
                  <c:v>-1.3085199185809859E-2</c:v>
                </c:pt>
                <c:pt idx="682">
                  <c:v>5.5555555555555358E-3</c:v>
                </c:pt>
                <c:pt idx="683">
                  <c:v>1.1235955056179803E-2</c:v>
                </c:pt>
                <c:pt idx="684">
                  <c:v>9.2509698597431633E-3</c:v>
                </c:pt>
                <c:pt idx="685">
                  <c:v>1.2080942313500431E-2</c:v>
                </c:pt>
                <c:pt idx="686">
                  <c:v>1.3157894736842035E-2</c:v>
                </c:pt>
                <c:pt idx="687">
                  <c:v>-2.0383693045563533E-2</c:v>
                </c:pt>
                <c:pt idx="688">
                  <c:v>-4.7732696897373472E-3</c:v>
                </c:pt>
                <c:pt idx="689">
                  <c:v>1.1466505733252808E-2</c:v>
                </c:pt>
                <c:pt idx="690">
                  <c:v>3.6596809508914641E-2</c:v>
                </c:pt>
                <c:pt idx="691">
                  <c:v>1.8802883108741675E-3</c:v>
                </c:pt>
                <c:pt idx="692">
                  <c:v>-1.9662058371735736E-2</c:v>
                </c:pt>
                <c:pt idx="693">
                  <c:v>-9.1324200913242004E-3</c:v>
                </c:pt>
                <c:pt idx="694">
                  <c:v>-2.3774145616641928E-2</c:v>
                </c:pt>
                <c:pt idx="695">
                  <c:v>-3.5534498075214804E-3</c:v>
                </c:pt>
                <c:pt idx="696">
                  <c:v>-5.5948174322734134E-3</c:v>
                </c:pt>
                <c:pt idx="697">
                  <c:v>-6.4365125804564105E-3</c:v>
                </c:pt>
                <c:pt idx="698">
                  <c:v>2.9265437518288806E-4</c:v>
                </c:pt>
                <c:pt idx="699">
                  <c:v>6.4801178203239829E-3</c:v>
                </c:pt>
                <c:pt idx="700">
                  <c:v>-1.3368206916594128E-2</c:v>
                </c:pt>
                <c:pt idx="701">
                  <c:v>-4.0520984081041656E-3</c:v>
                </c:pt>
                <c:pt idx="702">
                  <c:v>-3.748558246828182E-3</c:v>
                </c:pt>
                <c:pt idx="703">
                  <c:v>-6.0189165950127466E-3</c:v>
                </c:pt>
                <c:pt idx="704">
                  <c:v>6.6358915175994682E-3</c:v>
                </c:pt>
                <c:pt idx="705">
                  <c:v>2.8935185185186008E-3</c:v>
                </c:pt>
                <c:pt idx="706">
                  <c:v>-1.0875787063537312E-2</c:v>
                </c:pt>
                <c:pt idx="707">
                  <c:v>-8.2316207777463068E-3</c:v>
                </c:pt>
                <c:pt idx="708">
                  <c:v>2.4723676556137386E-2</c:v>
                </c:pt>
                <c:pt idx="709">
                  <c:v>1.028504260946228E-2</c:v>
                </c:pt>
                <c:pt idx="710">
                  <c:v>-2.3453532688361145E-3</c:v>
                </c:pt>
                <c:pt idx="711">
                  <c:v>1.1740534194306651E-3</c:v>
                </c:pt>
                <c:pt idx="712">
                  <c:v>1.1880011880011976E-2</c:v>
                </c:pt>
                <c:pt idx="713">
                  <c:v>-4.7295300029560616E-3</c:v>
                </c:pt>
                <c:pt idx="714">
                  <c:v>-1.4757969303423879E-3</c:v>
                </c:pt>
                <c:pt idx="715">
                  <c:v>-8.1967213114754189E-3</c:v>
                </c:pt>
                <c:pt idx="716">
                  <c:v>2.9359953024075125E-3</c:v>
                </c:pt>
                <c:pt idx="717">
                  <c:v>-8.731082654249156E-3</c:v>
                </c:pt>
                <c:pt idx="718">
                  <c:v>-3.0747531734837685E-2</c:v>
                </c:pt>
                <c:pt idx="719">
                  <c:v>-4.6017222820236903E-2</c:v>
                </c:pt>
                <c:pt idx="720">
                  <c:v>-9.0666666666665563E-3</c:v>
                </c:pt>
                <c:pt idx="721">
                  <c:v>9.1496232508072595E-3</c:v>
                </c:pt>
                <c:pt idx="722">
                  <c:v>-3.2188841201716833E-3</c:v>
                </c:pt>
                <c:pt idx="723">
                  <c:v>-1.6099234626550496E-2</c:v>
                </c:pt>
                <c:pt idx="724">
                  <c:v>9.5923261390886694E-3</c:v>
                </c:pt>
                <c:pt idx="725">
                  <c:v>2.0669023660592867E-2</c:v>
                </c:pt>
                <c:pt idx="726">
                  <c:v>-2.981530343007921E-2</c:v>
                </c:pt>
                <c:pt idx="727">
                  <c:v>-1.0960334029227581E-2</c:v>
                </c:pt>
                <c:pt idx="728">
                  <c:v>1.8065887353878818E-2</c:v>
                </c:pt>
                <c:pt idx="729">
                  <c:v>1.92255618738153E-2</c:v>
                </c:pt>
                <c:pt idx="730">
                  <c:v>-2.7005130974885327E-3</c:v>
                </c:pt>
                <c:pt idx="731">
                  <c:v>-4.3022317827372536E-3</c:v>
                </c:pt>
                <c:pt idx="732">
                  <c:v>-1.352785145888602E-2</c:v>
                </c:pt>
                <c:pt idx="733">
                  <c:v>9.3708165997321569E-3</c:v>
                </c:pt>
                <c:pt idx="734">
                  <c:v>1.7433941705257361E-2</c:v>
                </c:pt>
                <c:pt idx="735">
                  <c:v>-8.1059173196433854E-3</c:v>
                </c:pt>
                <c:pt idx="736">
                  <c:v>-6.9761202039172465E-3</c:v>
                </c:pt>
                <c:pt idx="737">
                  <c:v>-1.339764201500504E-3</c:v>
                </c:pt>
                <c:pt idx="738">
                  <c:v>-7.1827613727054596E-3</c:v>
                </c:pt>
                <c:pt idx="739">
                  <c:v>-1.8794048551292186E-2</c:v>
                </c:pt>
                <c:pt idx="740">
                  <c:v>-2.6034886748242947E-3</c:v>
                </c:pt>
                <c:pt idx="741">
                  <c:v>2.0999468367889573E-2</c:v>
                </c:pt>
                <c:pt idx="742">
                  <c:v>6.1513773736292521E-3</c:v>
                </c:pt>
                <c:pt idx="743">
                  <c:v>1.5480717001629563E-2</c:v>
                </c:pt>
                <c:pt idx="744">
                  <c:v>-1.577118417535428E-2</c:v>
                </c:pt>
                <c:pt idx="745">
                  <c:v>1.0807889759524514E-2</c:v>
                </c:pt>
                <c:pt idx="746">
                  <c:v>-5.9092130002685872E-3</c:v>
                </c:pt>
                <c:pt idx="747">
                  <c:v>1.6657564172583461E-2</c:v>
                </c:pt>
                <c:pt idx="748">
                  <c:v>-1.3469827586206851E-2</c:v>
                </c:pt>
                <c:pt idx="749">
                  <c:v>-1.381509032943673E-2</c:v>
                </c:pt>
                <c:pt idx="750">
                  <c:v>1.5650296815973963E-2</c:v>
                </c:pt>
                <c:pt idx="751">
                  <c:v>3.4040178571428603E-2</c:v>
                </c:pt>
                <c:pt idx="752">
                  <c:v>3.2555459521751429E-2</c:v>
                </c:pt>
                <c:pt idx="753">
                  <c:v>-7.4349442379181285E-3</c:v>
                </c:pt>
                <c:pt idx="754">
                  <c:v>-1.1309018942606719E-2</c:v>
                </c:pt>
                <c:pt idx="755">
                  <c:v>1.0571428571428454E-2</c:v>
                </c:pt>
                <c:pt idx="756">
                  <c:v>2.6092055115801704E-2</c:v>
                </c:pt>
                <c:pt idx="757">
                  <c:v>1.1565836298932375E-2</c:v>
                </c:pt>
                <c:pt idx="758">
                  <c:v>-8.8888888888893902E-4</c:v>
                </c:pt>
                <c:pt idx="759">
                  <c:v>-1.1423550087873435E-2</c:v>
                </c:pt>
                <c:pt idx="760">
                  <c:v>3.8224051749484733E-3</c:v>
                </c:pt>
                <c:pt idx="761">
                  <c:v>-1.7052023121387205E-2</c:v>
                </c:pt>
                <c:pt idx="762">
                  <c:v>-3.0269058295964157E-2</c:v>
                </c:pt>
                <c:pt idx="763">
                  <c:v>1.8846373500856828E-2</c:v>
                </c:pt>
                <c:pt idx="764">
                  <c:v>1.3603473227207008E-2</c:v>
                </c:pt>
                <c:pt idx="765">
                  <c:v>1.171303074670571E-2</c:v>
                </c:pt>
                <c:pt idx="766">
                  <c:v>1.9707375335921151E-2</c:v>
                </c:pt>
                <c:pt idx="767">
                  <c:v>2.3944926668659772E-3</c:v>
                </c:pt>
                <c:pt idx="768">
                  <c:v>1.6119221411192264E-2</c:v>
                </c:pt>
                <c:pt idx="769">
                  <c:v>8.2796688132473761E-3</c:v>
                </c:pt>
                <c:pt idx="770">
                  <c:v>2.0976831559173625E-2</c:v>
                </c:pt>
                <c:pt idx="771">
                  <c:v>4.4025157232703283E-3</c:v>
                </c:pt>
                <c:pt idx="772">
                  <c:v>-6.2499999999999778E-3</c:v>
                </c:pt>
                <c:pt idx="773">
                  <c:v>2.8204324663114733E-3</c:v>
                </c:pt>
                <c:pt idx="774">
                  <c:v>-7.465007776049748E-3</c:v>
                </c:pt>
                <c:pt idx="775">
                  <c:v>7.2055137844611039E-3</c:v>
                </c:pt>
                <c:pt idx="776">
                  <c:v>-4.9875311720698479E-3</c:v>
                </c:pt>
                <c:pt idx="777">
                  <c:v>8.1709616593337309E-3</c:v>
                </c:pt>
                <c:pt idx="778">
                  <c:v>-7.7954474586841016E-3</c:v>
                </c:pt>
                <c:pt idx="779">
                  <c:v>-1.4140793114048589E-2</c:v>
                </c:pt>
                <c:pt idx="780">
                  <c:v>-4.5899632802937074E-3</c:v>
                </c:pt>
                <c:pt idx="781">
                  <c:v>-6.0827250608272987E-3</c:v>
                </c:pt>
                <c:pt idx="782">
                  <c:v>-2.7297543221109777E-3</c:v>
                </c:pt>
                <c:pt idx="783">
                  <c:v>3.0339805825230215E-4</c:v>
                </c:pt>
                <c:pt idx="784">
                  <c:v>1.2150668286756705E-3</c:v>
                </c:pt>
                <c:pt idx="785">
                  <c:v>-3.0284675953967666E-3</c:v>
                </c:pt>
                <c:pt idx="786">
                  <c:v>-1.3739545997610625E-2</c:v>
                </c:pt>
                <c:pt idx="787">
                  <c:v>6.9172932330827663E-3</c:v>
                </c:pt>
                <c:pt idx="788">
                  <c:v>-6.8697729988053124E-3</c:v>
                </c:pt>
                <c:pt idx="789">
                  <c:v>-7.1174377224199059E-3</c:v>
                </c:pt>
                <c:pt idx="790">
                  <c:v>3.27283546563506E-3</c:v>
                </c:pt>
                <c:pt idx="791">
                  <c:v>2.2512929723151887E-2</c:v>
                </c:pt>
                <c:pt idx="792">
                  <c:v>3.0432136335956095E-4</c:v>
                </c:pt>
                <c:pt idx="793">
                  <c:v>-9.121313469138137E-4</c:v>
                </c:pt>
                <c:pt idx="794">
                  <c:v>-9.1130012150675288E-4</c:v>
                </c:pt>
                <c:pt idx="795">
                  <c:v>-1.5165301789505925E-3</c:v>
                </c:pt>
                <c:pt idx="796">
                  <c:v>-9.0909090909097046E-4</c:v>
                </c:pt>
                <c:pt idx="797">
                  <c:v>-6.6225165562913135E-3</c:v>
                </c:pt>
                <c:pt idx="798">
                  <c:v>6.0240963855417995E-4</c:v>
                </c:pt>
                <c:pt idx="799">
                  <c:v>6.0606060606060996E-3</c:v>
                </c:pt>
                <c:pt idx="800">
                  <c:v>-3.9239360096589015E-3</c:v>
                </c:pt>
                <c:pt idx="801">
                  <c:v>-1.8077734257305744E-3</c:v>
                </c:pt>
                <c:pt idx="802">
                  <c:v>-1.1908306043465267E-2</c:v>
                </c:pt>
                <c:pt idx="803">
                  <c:v>2.6865671641791433E-3</c:v>
                </c:pt>
                <c:pt idx="804">
                  <c:v>-1.788331867487547E-2</c:v>
                </c:pt>
                <c:pt idx="805">
                  <c:v>2.0951810835079243E-2</c:v>
                </c:pt>
                <c:pt idx="806">
                  <c:v>2.7010804321729864E-3</c:v>
                </c:pt>
                <c:pt idx="807">
                  <c:v>7.2551390568318386E-3</c:v>
                </c:pt>
                <c:pt idx="808">
                  <c:v>5.4711246200607189E-3</c:v>
                </c:pt>
                <c:pt idx="809">
                  <c:v>2.132196162046851E-3</c:v>
                </c:pt>
                <c:pt idx="810">
                  <c:v>4.282655246252709E-3</c:v>
                </c:pt>
                <c:pt idx="811">
                  <c:v>9.1855480710334447E-4</c:v>
                </c:pt>
                <c:pt idx="812">
                  <c:v>-6.6909975669099397E-3</c:v>
                </c:pt>
                <c:pt idx="813">
                  <c:v>-3.938200545289372E-3</c:v>
                </c:pt>
                <c:pt idx="814">
                  <c:v>-2.7190332326283428E-3</c:v>
                </c:pt>
                <c:pt idx="815">
                  <c:v>3.0303030303029388E-3</c:v>
                </c:pt>
                <c:pt idx="816">
                  <c:v>-5.7246158481469855E-3</c:v>
                </c:pt>
                <c:pt idx="817">
                  <c:v>3.0220610456330732E-3</c:v>
                </c:pt>
                <c:pt idx="818">
                  <c:v>9.0744101633388752E-4</c:v>
                </c:pt>
                <c:pt idx="819">
                  <c:v>-1.3723150357995095E-2</c:v>
                </c:pt>
                <c:pt idx="820">
                  <c:v>-4.1592394533571664E-3</c:v>
                </c:pt>
                <c:pt idx="821">
                  <c:v>2.1547799696509884E-2</c:v>
                </c:pt>
                <c:pt idx="822">
                  <c:v>-6.6324992463068222E-3</c:v>
                </c:pt>
                <c:pt idx="823">
                  <c:v>-1.4850014850014803E-2</c:v>
                </c:pt>
                <c:pt idx="824">
                  <c:v>-1.2030516431924987E-2</c:v>
                </c:pt>
                <c:pt idx="825">
                  <c:v>2.9351335485761076E-4</c:v>
                </c:pt>
                <c:pt idx="826">
                  <c:v>-1.5033246603064487E-2</c:v>
                </c:pt>
                <c:pt idx="827">
                  <c:v>-1.1996572407883543E-2</c:v>
                </c:pt>
                <c:pt idx="828">
                  <c:v>-7.6530612244897211E-3</c:v>
                </c:pt>
                <c:pt idx="829">
                  <c:v>1.4959723820483273E-2</c:v>
                </c:pt>
                <c:pt idx="830">
                  <c:v>1.2820512820512997E-2</c:v>
                </c:pt>
                <c:pt idx="831">
                  <c:v>2.0517395182872322E-2</c:v>
                </c:pt>
                <c:pt idx="832">
                  <c:v>3.222836095764281E-2</c:v>
                </c:pt>
                <c:pt idx="833">
                  <c:v>1.14871158025458E-2</c:v>
                </c:pt>
                <c:pt idx="834">
                  <c:v>-2.4775472282438926E-3</c:v>
                </c:pt>
                <c:pt idx="835">
                  <c:v>5.6057303020864424E-3</c:v>
                </c:pt>
                <c:pt idx="836">
                  <c:v>3.1240237425804729E-3</c:v>
                </c:pt>
                <c:pt idx="837">
                  <c:v>5.3391959798996247E-3</c:v>
                </c:pt>
                <c:pt idx="838">
                  <c:v>1.1114639568116758E-2</c:v>
                </c:pt>
                <c:pt idx="839">
                  <c:v>-1.9017432646593058E-3</c:v>
                </c:pt>
                <c:pt idx="840">
                  <c:v>9.6000000000000529E-3</c:v>
                </c:pt>
                <c:pt idx="841">
                  <c:v>4.3405676126878179E-2</c:v>
                </c:pt>
                <c:pt idx="842">
                  <c:v>1.8707482993197244E-2</c:v>
                </c:pt>
                <c:pt idx="843">
                  <c:v>2.7612722824187363E-2</c:v>
                </c:pt>
                <c:pt idx="844">
                  <c:v>1.4000700035003977E-3</c:v>
                </c:pt>
                <c:pt idx="845">
                  <c:v>6.6948555320647252E-3</c:v>
                </c:pt>
                <c:pt idx="846">
                  <c:v>-1.1838440111420545E-2</c:v>
                </c:pt>
                <c:pt idx="847">
                  <c:v>-1.5426808364758293E-2</c:v>
                </c:pt>
                <c:pt idx="848">
                  <c:v>5.8620689655171088E-3</c:v>
                </c:pt>
                <c:pt idx="849">
                  <c:v>5.8966354491847284E-3</c:v>
                </c:pt>
                <c:pt idx="850">
                  <c:v>3.9668229354489659E-2</c:v>
                </c:pt>
                <c:pt idx="851">
                  <c:v>2.2869789745481262E-2</c:v>
                </c:pt>
                <c:pt idx="852">
                  <c:v>6.6483084185680719E-2</c:v>
                </c:pt>
                <c:pt idx="853">
                  <c:v>-3.529411764705892E-2</c:v>
                </c:pt>
                <c:pt idx="854">
                  <c:v>1.934235976789167E-2</c:v>
                </c:pt>
                <c:pt idx="855">
                  <c:v>1.6116352201257733E-2</c:v>
                </c:pt>
                <c:pt idx="856">
                  <c:v>7.8678206136917339E-4</c:v>
                </c:pt>
                <c:pt idx="857">
                  <c:v>-2.7461749705767202E-3</c:v>
                </c:pt>
                <c:pt idx="858">
                  <c:v>-1.2398295234405388E-2</c:v>
                </c:pt>
                <c:pt idx="859">
                  <c:v>2.9106858054226414E-2</c:v>
                </c:pt>
                <c:pt idx="860">
                  <c:v>1.6619375760032584E-2</c:v>
                </c:pt>
                <c:pt idx="861">
                  <c:v>8.113590263691961E-4</c:v>
                </c:pt>
                <c:pt idx="862">
                  <c:v>2.4400162667750358E-3</c:v>
                </c:pt>
                <c:pt idx="863">
                  <c:v>7.3740270380990847E-3</c:v>
                </c:pt>
                <c:pt idx="864">
                  <c:v>9.0946672178586763E-3</c:v>
                </c:pt>
                <c:pt idx="865">
                  <c:v>-8.261049153241995E-4</c:v>
                </c:pt>
                <c:pt idx="866">
                  <c:v>1.2547051442910906E-2</c:v>
                </c:pt>
                <c:pt idx="867">
                  <c:v>-3.3347228011672003E-3</c:v>
                </c:pt>
                <c:pt idx="868">
                  <c:v>-1.760851760851756E-2</c:v>
                </c:pt>
                <c:pt idx="869">
                  <c:v>1.8348623853210899E-2</c:v>
                </c:pt>
                <c:pt idx="870">
                  <c:v>4.1876046901172526E-3</c:v>
                </c:pt>
                <c:pt idx="871">
                  <c:v>-4.1858518208448547E-4</c:v>
                </c:pt>
                <c:pt idx="872">
                  <c:v>-4.1841004184095532E-4</c:v>
                </c:pt>
                <c:pt idx="873">
                  <c:v>4.185851820845965E-4</c:v>
                </c:pt>
                <c:pt idx="874">
                  <c:v>-4.5833333333332726E-3</c:v>
                </c:pt>
                <c:pt idx="875">
                  <c:v>-1.4373716632443578E-2</c:v>
                </c:pt>
                <c:pt idx="876">
                  <c:v>-4.8456428292301679E-2</c:v>
                </c:pt>
                <c:pt idx="877">
                  <c:v>7.1608040201005085E-2</c:v>
                </c:pt>
                <c:pt idx="878">
                  <c:v>1.4012738853503182E-2</c:v>
                </c:pt>
                <c:pt idx="879">
                  <c:v>7.2892938496583071E-2</c:v>
                </c:pt>
                <c:pt idx="880">
                  <c:v>-4.4821583986074942E-2</c:v>
                </c:pt>
                <c:pt idx="881">
                  <c:v>-4.7263681592039752E-2</c:v>
                </c:pt>
                <c:pt idx="882">
                  <c:v>-2.741935483870972E-2</c:v>
                </c:pt>
                <c:pt idx="883">
                  <c:v>-2.9354207436399271E-2</c:v>
                </c:pt>
                <c:pt idx="884">
                  <c:v>8.6853533359652069E-3</c:v>
                </c:pt>
                <c:pt idx="885">
                  <c:v>1.2794882047181266E-2</c:v>
                </c:pt>
                <c:pt idx="886">
                  <c:v>-5.8712834023334604E-2</c:v>
                </c:pt>
                <c:pt idx="887">
                  <c:v>7.2024260803638107E-3</c:v>
                </c:pt>
                <c:pt idx="888">
                  <c:v>-2.2600963319747924E-2</c:v>
                </c:pt>
                <c:pt idx="889">
                  <c:v>5.2141527001861032E-3</c:v>
                </c:pt>
                <c:pt idx="890">
                  <c:v>-1.0685335298452392E-2</c:v>
                </c:pt>
                <c:pt idx="891">
                  <c:v>3.3271719038816538E-3</c:v>
                </c:pt>
                <c:pt idx="892">
                  <c:v>-1.4212827988338117E-2</c:v>
                </c:pt>
                <c:pt idx="893">
                  <c:v>-4.7552933009371912E-2</c:v>
                </c:pt>
                <c:pt idx="894">
                  <c:v>-1.4705882352941013E-2</c:v>
                </c:pt>
                <c:pt idx="895">
                  <c:v>-2.0107238605898137E-2</c:v>
                </c:pt>
                <c:pt idx="896">
                  <c:v>-6.6332916145181664E-2</c:v>
                </c:pt>
                <c:pt idx="897">
                  <c:v>8.1190798376183926E-2</c:v>
                </c:pt>
                <c:pt idx="898">
                  <c:v>3.7557037557037765E-2</c:v>
                </c:pt>
                <c:pt idx="899">
                  <c:v>7.7126654064272104E-2</c:v>
                </c:pt>
                <c:pt idx="900">
                  <c:v>9.5419847328244156E-3</c:v>
                </c:pt>
                <c:pt idx="901">
                  <c:v>1.2364760432766575E-2</c:v>
                </c:pt>
                <c:pt idx="902">
                  <c:v>1.5479876160993111E-3</c:v>
                </c:pt>
                <c:pt idx="903">
                  <c:v>-9.5822154082023658E-3</c:v>
                </c:pt>
                <c:pt idx="904">
                  <c:v>1.8345042935206779E-2</c:v>
                </c:pt>
                <c:pt idx="905">
                  <c:v>-8.8974854932302172E-3</c:v>
                </c:pt>
                <c:pt idx="906">
                  <c:v>-8.4388185654008518E-3</c:v>
                </c:pt>
                <c:pt idx="907">
                  <c:v>-7.9908675799087447E-3</c:v>
                </c:pt>
                <c:pt idx="908">
                  <c:v>-2.0134228187919434E-2</c:v>
                </c:pt>
                <c:pt idx="909">
                  <c:v>-1.6501650165016479E-2</c:v>
                </c:pt>
                <c:pt idx="910">
                  <c:v>5.8618012422360088E-2</c:v>
                </c:pt>
                <c:pt idx="911">
                  <c:v>-7.7579519006976128E-4</c:v>
                </c:pt>
                <c:pt idx="912">
                  <c:v>-1.2638835695136019E-2</c:v>
                </c:pt>
                <c:pt idx="913">
                  <c:v>-1.989489489489471E-2</c:v>
                </c:pt>
                <c:pt idx="914">
                  <c:v>-1.8422991893883522E-2</c:v>
                </c:pt>
                <c:pt idx="915">
                  <c:v>1.4958863126402377E-2</c:v>
                </c:pt>
                <c:pt idx="916">
                  <c:v>-1.6911764705882404E-2</c:v>
                </c:pt>
                <c:pt idx="917">
                  <c:v>1.0025993316004511E-2</c:v>
                </c:pt>
                <c:pt idx="918">
                  <c:v>-1.2829912023460399E-2</c:v>
                </c:pt>
                <c:pt idx="919">
                  <c:v>-2.0818377602297211E-2</c:v>
                </c:pt>
                <c:pt idx="920">
                  <c:v>5.8108621344473921E-2</c:v>
                </c:pt>
                <c:pt idx="921">
                  <c:v>8.7118084227910897E-2</c:v>
                </c:pt>
                <c:pt idx="922">
                  <c:v>4.6672428694900514E-2</c:v>
                </c:pt>
                <c:pt idx="923">
                  <c:v>-1.1955593509820561E-2</c:v>
                </c:pt>
                <c:pt idx="924">
                  <c:v>-2.9021558872305175E-2</c:v>
                </c:pt>
                <c:pt idx="925">
                  <c:v>-4.6640316205533661E-2</c:v>
                </c:pt>
                <c:pt idx="926">
                  <c:v>8.7719298245614308E-3</c:v>
                </c:pt>
                <c:pt idx="927">
                  <c:v>-3.4270311898344175E-2</c:v>
                </c:pt>
                <c:pt idx="928">
                  <c:v>-4.5220588235294179E-2</c:v>
                </c:pt>
                <c:pt idx="929">
                  <c:v>-1.0909090909090868E-2</c:v>
                </c:pt>
                <c:pt idx="930">
                  <c:v>-2.6203966005665658E-2</c:v>
                </c:pt>
                <c:pt idx="931">
                  <c:v>-1.7674089784376346E-3</c:v>
                </c:pt>
                <c:pt idx="932">
                  <c:v>5.3304904051172386E-3</c:v>
                </c:pt>
                <c:pt idx="933">
                  <c:v>-1.5395381385584495E-2</c:v>
                </c:pt>
                <c:pt idx="934">
                  <c:v>-3.8340885325895968E-3</c:v>
                </c:pt>
                <c:pt idx="935">
                  <c:v>-1.0445682451253324E-3</c:v>
                </c:pt>
                <c:pt idx="936">
                  <c:v>-5.5401662049862077E-3</c:v>
                </c:pt>
                <c:pt idx="937">
                  <c:v>1.6185784658691249E-2</c:v>
                </c:pt>
                <c:pt idx="938">
                  <c:v>-3.1026252983293645E-2</c:v>
                </c:pt>
                <c:pt idx="939">
                  <c:v>1.1379310344827642E-2</c:v>
                </c:pt>
                <c:pt idx="940">
                  <c:v>-3.7787701820680697E-3</c:v>
                </c:pt>
                <c:pt idx="941">
                  <c:v>-2.9666666666666619E-2</c:v>
                </c:pt>
                <c:pt idx="942">
                  <c:v>1.044122600202102E-2</c:v>
                </c:pt>
                <c:pt idx="943">
                  <c:v>-7.0234113712375201E-3</c:v>
                </c:pt>
                <c:pt idx="944">
                  <c:v>-3.3433634236046395E-4</c:v>
                </c:pt>
                <c:pt idx="945">
                  <c:v>-1.156642432253796E-2</c:v>
                </c:pt>
                <c:pt idx="946">
                  <c:v>-1.078783916312509E-2</c:v>
                </c:pt>
                <c:pt idx="947">
                  <c:v>-4.8796356538711727E-3</c:v>
                </c:pt>
                <c:pt idx="948">
                  <c:v>1.3029315960910726E-3</c:v>
                </c:pt>
                <c:pt idx="949">
                  <c:v>-9.7624471200785656E-4</c:v>
                </c:pt>
                <c:pt idx="950">
                  <c:v>-1.2532133676092516E-2</c:v>
                </c:pt>
                <c:pt idx="951">
                  <c:v>-6.4226075786766312E-4</c:v>
                </c:pt>
                <c:pt idx="952">
                  <c:v>-2.1370207416719134E-2</c:v>
                </c:pt>
                <c:pt idx="953">
                  <c:v>-5.3141606752109549E-3</c:v>
                </c:pt>
                <c:pt idx="954">
                  <c:v>4.4741998693664131E-2</c:v>
                </c:pt>
                <c:pt idx="955">
                  <c:v>-5.1981806367772387E-3</c:v>
                </c:pt>
                <c:pt idx="956">
                  <c:v>-1.3461538461538414E-2</c:v>
                </c:pt>
                <c:pt idx="957">
                  <c:v>-5.3110773899848307E-2</c:v>
                </c:pt>
                <c:pt idx="958">
                  <c:v>1.9808108944599168E-2</c:v>
                </c:pt>
                <c:pt idx="959">
                  <c:v>3.0959752321990663E-4</c:v>
                </c:pt>
                <c:pt idx="960">
                  <c:v>4.0257648953301084E-2</c:v>
                </c:pt>
                <c:pt idx="961">
                  <c:v>1.2899064817799566E-3</c:v>
                </c:pt>
                <c:pt idx="962">
                  <c:v>1.2736773350751296E-2</c:v>
                </c:pt>
                <c:pt idx="963">
                  <c:v>-1.2576588197355854E-2</c:v>
                </c:pt>
                <c:pt idx="964">
                  <c:v>-1.5867978419549345E-2</c:v>
                </c:pt>
                <c:pt idx="965">
                  <c:v>3.822873526601045E-3</c:v>
                </c:pt>
                <c:pt idx="966">
                  <c:v>1.9150973507819913E-3</c:v>
                </c:pt>
                <c:pt idx="967">
                  <c:v>1.2783636944710963E-3</c:v>
                </c:pt>
                <c:pt idx="968">
                  <c:v>-6.3877355477492959E-4</c:v>
                </c:pt>
                <c:pt idx="969">
                  <c:v>-4.4515103338631512E-3</c:v>
                </c:pt>
                <c:pt idx="970">
                  <c:v>-6.3191153238546516E-3</c:v>
                </c:pt>
                <c:pt idx="971">
                  <c:v>-3.1496062992125706E-3</c:v>
                </c:pt>
                <c:pt idx="972">
                  <c:v>-6.5707133917397575E-3</c:v>
                </c:pt>
                <c:pt idx="973">
                  <c:v>-7.7615647314498437E-3</c:v>
                </c:pt>
                <c:pt idx="974">
                  <c:v>-2.1685254027261625E-3</c:v>
                </c:pt>
                <c:pt idx="975">
                  <c:v>-4.9321824907520018E-3</c:v>
                </c:pt>
                <c:pt idx="976">
                  <c:v>-9.7680097680099554E-3</c:v>
                </c:pt>
                <c:pt idx="977">
                  <c:v>1.518438177874204E-2</c:v>
                </c:pt>
                <c:pt idx="978">
                  <c:v>3.4203980099500875E-3</c:v>
                </c:pt>
                <c:pt idx="979">
                  <c:v>1.9657577679137672E-2</c:v>
                </c:pt>
                <c:pt idx="980">
                  <c:v>-1.0354565422027062E-2</c:v>
                </c:pt>
                <c:pt idx="981">
                  <c:v>2.8319697923222531E-3</c:v>
                </c:pt>
                <c:pt idx="982">
                  <c:v>-3.1392868028040311E-2</c:v>
                </c:pt>
                <c:pt idx="983">
                  <c:v>-1.2044564890093312E-2</c:v>
                </c:pt>
                <c:pt idx="984">
                  <c:v>4.9289099526066416E-2</c:v>
                </c:pt>
                <c:pt idx="985">
                  <c:v>-2.7350952673632412E-2</c:v>
                </c:pt>
                <c:pt idx="986">
                  <c:v>-2.2822822822822886E-2</c:v>
                </c:pt>
                <c:pt idx="987">
                  <c:v>-8.9285714285713969E-3</c:v>
                </c:pt>
                <c:pt idx="988">
                  <c:v>-1.4373716632443467E-2</c:v>
                </c:pt>
                <c:pt idx="989">
                  <c:v>-1.2170385395537608E-2</c:v>
                </c:pt>
                <c:pt idx="990">
                  <c:v>1.1604293588629577E-3</c:v>
                </c:pt>
                <c:pt idx="991">
                  <c:v>-1.2037833190025715E-2</c:v>
                </c:pt>
                <c:pt idx="992">
                  <c:v>-9.9318955732122793E-3</c:v>
                </c:pt>
                <c:pt idx="993">
                  <c:v>-1.2608573830204528E-2</c:v>
                </c:pt>
                <c:pt idx="994">
                  <c:v>-6.9560378408458634E-3</c:v>
                </c:pt>
                <c:pt idx="995">
                  <c:v>1.2109264995775693E-2</c:v>
                </c:pt>
                <c:pt idx="996">
                  <c:v>-9.2075892857141906E-3</c:v>
                </c:pt>
                <c:pt idx="997">
                  <c:v>-1.2127894156560237E-2</c:v>
                </c:pt>
                <c:pt idx="998">
                  <c:v>6.3800277392511706E-3</c:v>
                </c:pt>
                <c:pt idx="999">
                  <c:v>7.5156576200417602E-2</c:v>
                </c:pt>
                <c:pt idx="1000">
                  <c:v>8.7224383916991055E-2</c:v>
                </c:pt>
                <c:pt idx="1001">
                  <c:v>-1.343570057581589E-2</c:v>
                </c:pt>
                <c:pt idx="1002">
                  <c:v>1.4276443867618616E-2</c:v>
                </c:pt>
                <c:pt idx="1003">
                  <c:v>6.8605031035608999E-3</c:v>
                </c:pt>
                <c:pt idx="1004">
                  <c:v>6.5767839526471583E-3</c:v>
                </c:pt>
                <c:pt idx="1005">
                  <c:v>-3.2776138970829205E-3</c:v>
                </c:pt>
                <c:pt idx="1006">
                  <c:v>-9.4155844155843216E-3</c:v>
                </c:pt>
                <c:pt idx="1007">
                  <c:v>2.941176470588247E-2</c:v>
                </c:pt>
                <c:pt idx="1008">
                  <c:v>1.2521150592216479E-2</c:v>
                </c:pt>
                <c:pt idx="1009">
                  <c:v>2.1078092605390619E-2</c:v>
                </c:pt>
                <c:pt idx="1010">
                  <c:v>-1.798439090600612E-2</c:v>
                </c:pt>
                <c:pt idx="1011">
                  <c:v>-3.0910884577441733E-2</c:v>
                </c:pt>
                <c:pt idx="1012">
                  <c:v>-1.9032258064516028E-2</c:v>
                </c:pt>
                <c:pt idx="1013">
                  <c:v>-6.4102564102563875E-3</c:v>
                </c:pt>
                <c:pt idx="1014">
                  <c:v>-1.5151515151515138E-2</c:v>
                </c:pt>
                <c:pt idx="1015">
                  <c:v>-1.0309278350515538E-2</c:v>
                </c:pt>
                <c:pt idx="1016">
                  <c:v>2.1052631578947434E-2</c:v>
                </c:pt>
                <c:pt idx="1017">
                  <c:v>-1.0416666666666741E-2</c:v>
                </c:pt>
                <c:pt idx="1018">
                  <c:v>-9.0710040663121161E-3</c:v>
                </c:pt>
                <c:pt idx="1019">
                  <c:v>-1.1135168574079923E-2</c:v>
                </c:pt>
                <c:pt idx="1020">
                  <c:v>-1.0104102878138455E-2</c:v>
                </c:pt>
                <c:pt idx="1021">
                  <c:v>8.3359061438716964E-3</c:v>
                </c:pt>
                <c:pt idx="1022">
                  <c:v>2.1766561514195537E-2</c:v>
                </c:pt>
                <c:pt idx="1023">
                  <c:v>-2.2033364809568301E-3</c:v>
                </c:pt>
                <c:pt idx="1024">
                  <c:v>-3.4504391468005435E-3</c:v>
                </c:pt>
                <c:pt idx="1025">
                  <c:v>-1.0552451893233949E-2</c:v>
                </c:pt>
                <c:pt idx="1026">
                  <c:v>2.4891101431239182E-3</c:v>
                </c:pt>
                <c:pt idx="1027">
                  <c:v>-4.6573716997923564E-2</c:v>
                </c:pt>
                <c:pt idx="1028">
                  <c:v>1.4139590854392425E-2</c:v>
                </c:pt>
                <c:pt idx="1029">
                  <c:v>2.0571077678845473E-2</c:v>
                </c:pt>
                <c:pt idx="1030">
                  <c:v>-4.8884815154293104E-3</c:v>
                </c:pt>
                <c:pt idx="1031">
                  <c:v>7.6970443349753115E-3</c:v>
                </c:pt>
                <c:pt idx="1032">
                  <c:v>3.0797659377901354E-4</c:v>
                </c:pt>
                <c:pt idx="1033">
                  <c:v>1.3420724094881376E-2</c:v>
                </c:pt>
                <c:pt idx="1034">
                  <c:v>-8.6633663366336711E-3</c:v>
                </c:pt>
                <c:pt idx="1035">
                  <c:v>2.1705426356588564E-3</c:v>
                </c:pt>
                <c:pt idx="1036">
                  <c:v>-8.6074392868121796E-3</c:v>
                </c:pt>
                <c:pt idx="1037">
                  <c:v>-1.5137753557372124E-2</c:v>
                </c:pt>
                <c:pt idx="1038">
                  <c:v>1.3190184049079789E-2</c:v>
                </c:pt>
                <c:pt idx="1039">
                  <c:v>-6.0975609756097615E-3</c:v>
                </c:pt>
                <c:pt idx="1040">
                  <c:v>1.1097410604192337E-2</c:v>
                </c:pt>
                <c:pt idx="1041">
                  <c:v>-5.8891789962286056E-2</c:v>
                </c:pt>
                <c:pt idx="1042">
                  <c:v>3.9505428226779049E-2</c:v>
                </c:pt>
                <c:pt idx="1043">
                  <c:v>-7.4827895839568725E-3</c:v>
                </c:pt>
                <c:pt idx="1044">
                  <c:v>-1.9659624413145504E-2</c:v>
                </c:pt>
                <c:pt idx="1045">
                  <c:v>-1.2746234067207318E-2</c:v>
                </c:pt>
                <c:pt idx="1046">
                  <c:v>-1.8481660506113218E-2</c:v>
                </c:pt>
                <c:pt idx="1047">
                  <c:v>-2.2512506948304645E-2</c:v>
                </c:pt>
                <c:pt idx="1048">
                  <c:v>2.7800945232137053E-4</c:v>
                </c:pt>
                <c:pt idx="1049">
                  <c:v>-1.6652789342215257E-3</c:v>
                </c:pt>
                <c:pt idx="1050">
                  <c:v>-1.206471072114057E-2</c:v>
                </c:pt>
                <c:pt idx="1051">
                  <c:v>-1.0955902492468805E-3</c:v>
                </c:pt>
                <c:pt idx="1052">
                  <c:v>5.5081244836132637E-3</c:v>
                </c:pt>
                <c:pt idx="1053">
                  <c:v>1.1702424073558149E-2</c:v>
                </c:pt>
                <c:pt idx="1054">
                  <c:v>2.7940765576977E-3</c:v>
                </c:pt>
                <c:pt idx="1055">
                  <c:v>-6.3853414769572403E-3</c:v>
                </c:pt>
                <c:pt idx="1056">
                  <c:v>2.5048705816865802E-3</c:v>
                </c:pt>
                <c:pt idx="1057">
                  <c:v>-3.0521642619311118E-3</c:v>
                </c:pt>
                <c:pt idx="1058">
                  <c:v>-6.3413289219741431E-3</c:v>
                </c:pt>
                <c:pt idx="1059">
                  <c:v>1.5113350125944613E-2</c:v>
                </c:pt>
                <c:pt idx="1060">
                  <c:v>-1.6764459346184646E-3</c:v>
                </c:pt>
                <c:pt idx="1061">
                  <c:v>-9.6845600442723168E-3</c:v>
                </c:pt>
                <c:pt idx="1062">
                  <c:v>2.7677830058103758E-4</c:v>
                </c:pt>
                <c:pt idx="1063">
                  <c:v>-7.4175824175823912E-3</c:v>
                </c:pt>
                <c:pt idx="1064">
                  <c:v>2.3046655424395768E-2</c:v>
                </c:pt>
                <c:pt idx="1065">
                  <c:v>-1.6835016835016203E-3</c:v>
                </c:pt>
                <c:pt idx="1066">
                  <c:v>3.6609405801182326E-3</c:v>
                </c:pt>
                <c:pt idx="1067">
                  <c:v>1.5151515151515138E-2</c:v>
                </c:pt>
                <c:pt idx="1068">
                  <c:v>2.859593937660776E-4</c:v>
                </c:pt>
                <c:pt idx="1069">
                  <c:v>2.5212547639988259E-2</c:v>
                </c:pt>
                <c:pt idx="1070">
                  <c:v>8.5748078060319255E-3</c:v>
                </c:pt>
                <c:pt idx="1071">
                  <c:v>8.8783663805869217E-4</c:v>
                </c:pt>
                <c:pt idx="1072">
                  <c:v>-1.4294049008168108E-2</c:v>
                </c:pt>
                <c:pt idx="1073">
                  <c:v>-1.7472335468839972E-3</c:v>
                </c:pt>
                <c:pt idx="1074">
                  <c:v>-1.3218390804597746E-2</c:v>
                </c:pt>
                <c:pt idx="1075">
                  <c:v>-8.8293933352321385E-3</c:v>
                </c:pt>
                <c:pt idx="1076">
                  <c:v>1.6796988126267065E-2</c:v>
                </c:pt>
                <c:pt idx="1077">
                  <c:v>-3.175519630484902E-3</c:v>
                </c:pt>
                <c:pt idx="1078">
                  <c:v>-5.7703404500875077E-4</c:v>
                </c:pt>
                <c:pt idx="1079">
                  <c:v>-4.3091065785694216E-3</c:v>
                </c:pt>
                <c:pt idx="1080">
                  <c:v>-1.2202043132803486E-2</c:v>
                </c:pt>
                <c:pt idx="1081">
                  <c:v>-4.8009036995200205E-3</c:v>
                </c:pt>
                <c:pt idx="1082">
                  <c:v>-1.4100394811055184E-3</c:v>
                </c:pt>
                <c:pt idx="1083">
                  <c:v>5.6433408577882815E-4</c:v>
                </c:pt>
                <c:pt idx="1084">
                  <c:v>-1.3912075681691727E-2</c:v>
                </c:pt>
                <c:pt idx="1085">
                  <c:v>-8.5517241379311493E-3</c:v>
                </c:pt>
                <c:pt idx="1086">
                  <c:v>1.2004466778336109E-2</c:v>
                </c:pt>
                <c:pt idx="1087">
                  <c:v>-1.3939224979091502E-3</c:v>
                </c:pt>
                <c:pt idx="1088">
                  <c:v>-3.6111111111111205E-3</c:v>
                </c:pt>
                <c:pt idx="1089">
                  <c:v>-1.4238773274917849E-2</c:v>
                </c:pt>
                <c:pt idx="1090">
                  <c:v>2.7457440966502933E-3</c:v>
                </c:pt>
                <c:pt idx="1091">
                  <c:v>-1.0057080728458789E-2</c:v>
                </c:pt>
                <c:pt idx="1092">
                  <c:v>-4.0606388738494426E-3</c:v>
                </c:pt>
                <c:pt idx="1093">
                  <c:v>-1.2299465240641738E-2</c:v>
                </c:pt>
                <c:pt idx="1094">
                  <c:v>1.5200868621064068E-2</c:v>
                </c:pt>
                <c:pt idx="1095">
                  <c:v>-1.2067578439259874E-2</c:v>
                </c:pt>
                <c:pt idx="1096">
                  <c:v>3.2284100080710587E-3</c:v>
                </c:pt>
                <c:pt idx="1097">
                  <c:v>-1.6146109052408764E-2</c:v>
                </c:pt>
                <c:pt idx="1098">
                  <c:v>2.7468044601577368E-2</c:v>
                </c:pt>
                <c:pt idx="1099">
                  <c:v>2.8243847874720229E-2</c:v>
                </c:pt>
                <c:pt idx="1100">
                  <c:v>-1.2154696132596676E-2</c:v>
                </c:pt>
                <c:pt idx="1101">
                  <c:v>-2.3995686168778563E-2</c:v>
                </c:pt>
                <c:pt idx="1102">
                  <c:v>-1.2250332889480742E-2</c:v>
                </c:pt>
                <c:pt idx="1103">
                  <c:v>-3.1967001804588779E-2</c:v>
                </c:pt>
                <c:pt idx="1104">
                  <c:v>-2.8793189784677042E-2</c:v>
                </c:pt>
                <c:pt idx="1105">
                  <c:v>-2.4902343750000111E-2</c:v>
                </c:pt>
                <c:pt idx="1106">
                  <c:v>-1.7745803357314127E-2</c:v>
                </c:pt>
                <c:pt idx="1107">
                  <c:v>1.9061583577712593E-2</c:v>
                </c:pt>
                <c:pt idx="1108">
                  <c:v>4.4182621502208974E-3</c:v>
                </c:pt>
                <c:pt idx="1109">
                  <c:v>-2.6927784577723823E-3</c:v>
                </c:pt>
                <c:pt idx="1110">
                  <c:v>-2.4420024420024333E-3</c:v>
                </c:pt>
                <c:pt idx="1111">
                  <c:v>2.0179372197309364E-2</c:v>
                </c:pt>
                <c:pt idx="1112">
                  <c:v>1.031965768940335E-2</c:v>
                </c:pt>
                <c:pt idx="1113">
                  <c:v>6.0774879716385399E-3</c:v>
                </c:pt>
                <c:pt idx="1114">
                  <c:v>8.1695174878733123E-3</c:v>
                </c:pt>
                <c:pt idx="1115">
                  <c:v>8.4963954685890464E-3</c:v>
                </c:pt>
                <c:pt idx="1116">
                  <c:v>3.3583053474552926E-3</c:v>
                </c:pt>
                <c:pt idx="1117">
                  <c:v>4.150453955901412E-3</c:v>
                </c:pt>
                <c:pt idx="1118">
                  <c:v>-1.8834308984474357E-2</c:v>
                </c:pt>
                <c:pt idx="1119">
                  <c:v>2.0784619381657654E-2</c:v>
                </c:pt>
                <c:pt idx="1120">
                  <c:v>-1.0381520892811524E-3</c:v>
                </c:pt>
                <c:pt idx="1121">
                  <c:v>-1.2960082944530882E-3</c:v>
                </c:pt>
                <c:pt idx="1122">
                  <c:v>-1.0769230769230753E-2</c:v>
                </c:pt>
                <c:pt idx="1123">
                  <c:v>-5.1020408163264808E-3</c:v>
                </c:pt>
                <c:pt idx="1124">
                  <c:v>-3.558718861209953E-3</c:v>
                </c:pt>
                <c:pt idx="1125">
                  <c:v>8.7179487179487314E-3</c:v>
                </c:pt>
                <c:pt idx="1126">
                  <c:v>-8.8945362134689177E-3</c:v>
                </c:pt>
                <c:pt idx="1127">
                  <c:v>-1.2794781736076288E-2</c:v>
                </c:pt>
                <c:pt idx="1128">
                  <c:v>3.0196275792653271E-3</c:v>
                </c:pt>
                <c:pt idx="1129">
                  <c:v>3.0601659751037236E-2</c:v>
                </c:pt>
                <c:pt idx="1130">
                  <c:v>-2.5926886180960285E-4</c:v>
                </c:pt>
                <c:pt idx="1131">
                  <c:v>1.6337285902503274E-2</c:v>
                </c:pt>
                <c:pt idx="1132">
                  <c:v>6.364359586316537E-3</c:v>
                </c:pt>
                <c:pt idx="1133">
                  <c:v>-3.2828930494998576E-2</c:v>
                </c:pt>
                <c:pt idx="1134">
                  <c:v>-7.6355306693814962E-3</c:v>
                </c:pt>
                <c:pt idx="1135">
                  <c:v>1.1065362840967374E-2</c:v>
                </c:pt>
                <c:pt idx="1136">
                  <c:v>-2.263581488933597E-2</c:v>
                </c:pt>
                <c:pt idx="1137">
                  <c:v>-2.0930805220389037E-2</c:v>
                </c:pt>
                <c:pt idx="1138">
                  <c:v>1.4796547472257782E-3</c:v>
                </c:pt>
                <c:pt idx="1139">
                  <c:v>1.4818473697209011E-3</c:v>
                </c:pt>
                <c:pt idx="1140">
                  <c:v>3.4696406443617267E-3</c:v>
                </c:pt>
                <c:pt idx="1141">
                  <c:v>3.7313432835821558E-3</c:v>
                </c:pt>
                <c:pt idx="1142">
                  <c:v>2.0304568527918843E-2</c:v>
                </c:pt>
                <c:pt idx="1143">
                  <c:v>-1.0547463586137562E-2</c:v>
                </c:pt>
                <c:pt idx="1144">
                  <c:v>-3.7699371677138771E-2</c:v>
                </c:pt>
                <c:pt idx="1145">
                  <c:v>-3.8517091959556771E-3</c:v>
                </c:pt>
                <c:pt idx="1146">
                  <c:v>1.4407814407814357E-2</c:v>
                </c:pt>
                <c:pt idx="1147">
                  <c:v>4.0396341463414531E-2</c:v>
                </c:pt>
                <c:pt idx="1148">
                  <c:v>-4.80404551201008E-3</c:v>
                </c:pt>
                <c:pt idx="1149">
                  <c:v>1.0217113665389466E-2</c:v>
                </c:pt>
                <c:pt idx="1150">
                  <c:v>6.6855232707636603E-3</c:v>
                </c:pt>
                <c:pt idx="1151">
                  <c:v>1.1180447217888689E-2</c:v>
                </c:pt>
                <c:pt idx="1152">
                  <c:v>-1.5576323987538387E-3</c:v>
                </c:pt>
                <c:pt idx="1153">
                  <c:v>2.6926153025859767E-2</c:v>
                </c:pt>
                <c:pt idx="1154">
                  <c:v>-1.9602718243596495E-2</c:v>
                </c:pt>
                <c:pt idx="1155">
                  <c:v>-1.1624903125807329E-2</c:v>
                </c:pt>
                <c:pt idx="1156">
                  <c:v>-5.6511687644489328E-3</c:v>
                </c:pt>
                <c:pt idx="1157">
                  <c:v>-1.5388561169529247E-3</c:v>
                </c:pt>
                <c:pt idx="1158">
                  <c:v>2.5713551041399718E-3</c:v>
                </c:pt>
                <c:pt idx="1159">
                  <c:v>1.620067938332892E-2</c:v>
                </c:pt>
                <c:pt idx="1160">
                  <c:v>7.9009744535158966E-3</c:v>
                </c:pt>
                <c:pt idx="1161">
                  <c:v>2.0424617038430348E-2</c:v>
                </c:pt>
                <c:pt idx="1162">
                  <c:v>-2.412868632707732E-3</c:v>
                </c:pt>
                <c:pt idx="1163">
                  <c:v>2.0799124247400158E-2</c:v>
                </c:pt>
                <c:pt idx="1164">
                  <c:v>-5.47045951860059E-4</c:v>
                </c:pt>
                <c:pt idx="1165">
                  <c:v>-7.3309801792017515E-3</c:v>
                </c:pt>
                <c:pt idx="1166">
                  <c:v>2.7225701061801555E-3</c:v>
                </c:pt>
                <c:pt idx="1167">
                  <c:v>1.7451523545706449E-2</c:v>
                </c:pt>
                <c:pt idx="1168">
                  <c:v>1.6648168701443034E-3</c:v>
                </c:pt>
                <c:pt idx="1169">
                  <c:v>2.2246941045604984E-3</c:v>
                </c:pt>
                <c:pt idx="1170">
                  <c:v>7.8475336322869627E-3</c:v>
                </c:pt>
                <c:pt idx="1171">
                  <c:v>8.4151472650773051E-4</c:v>
                </c:pt>
                <c:pt idx="1172">
                  <c:v>-8.6206896551724865E-3</c:v>
                </c:pt>
                <c:pt idx="1173">
                  <c:v>1.9504040122597655E-3</c:v>
                </c:pt>
                <c:pt idx="1174">
                  <c:v>7.2972214426043625E-3</c:v>
                </c:pt>
                <c:pt idx="1175">
                  <c:v>3.9447731755424265E-3</c:v>
                </c:pt>
                <c:pt idx="1176">
                  <c:v>-1.6877637130802148E-3</c:v>
                </c:pt>
                <c:pt idx="1177">
                  <c:v>-1.1676396997497895E-2</c:v>
                </c:pt>
                <c:pt idx="1178">
                  <c:v>-6.3535911602210504E-3</c:v>
                </c:pt>
                <c:pt idx="1179">
                  <c:v>-2.4800220446403731E-3</c:v>
                </c:pt>
                <c:pt idx="1180">
                  <c:v>5.8203991130818533E-3</c:v>
                </c:pt>
                <c:pt idx="1181">
                  <c:v>-4.4150110375275053E-3</c:v>
                </c:pt>
                <c:pt idx="1182">
                  <c:v>4.991680532445697E-3</c:v>
                </c:pt>
                <c:pt idx="1183">
                  <c:v>5.5493895671498983E-4</c:v>
                </c:pt>
                <c:pt idx="1184">
                  <c:v>-6.3413289219741431E-3</c:v>
                </c:pt>
                <c:pt idx="1185">
                  <c:v>-1.2792596624931929E-2</c:v>
                </c:pt>
                <c:pt idx="1186">
                  <c:v>3.8251366120218844E-3</c:v>
                </c:pt>
              </c:numCache>
            </c:numRef>
          </c:yVal>
          <c:smooth val="0"/>
          <c:extLst>
            <c:ext xmlns:c16="http://schemas.microsoft.com/office/drawing/2014/chart" uri="{C3380CC4-5D6E-409C-BE32-E72D297353CC}">
              <c16:uniqueId val="{00000003-C530-447A-AC1D-E65B38A074A6}"/>
            </c:ext>
          </c:extLst>
        </c:ser>
        <c:dLbls>
          <c:showLegendKey val="0"/>
          <c:showVal val="0"/>
          <c:showCatName val="0"/>
          <c:showSerName val="0"/>
          <c:showPercent val="0"/>
          <c:showBubbleSize val="0"/>
        </c:dLbls>
        <c:axId val="657148127"/>
        <c:axId val="657149087"/>
      </c:scatterChart>
      <c:valAx>
        <c:axId val="657148127"/>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DSEX Return</a:t>
                </a:r>
              </a:p>
            </c:rich>
          </c:tx>
          <c:overlay val="0"/>
          <c:spPr>
            <a:noFill/>
            <a:ln>
              <a:noFill/>
            </a:ln>
            <a:effectLst/>
          </c:spPr>
        </c:title>
        <c:numFmt formatCode="0.000%"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57149087"/>
        <c:crosses val="autoZero"/>
        <c:crossBetween val="midCat"/>
      </c:valAx>
      <c:valAx>
        <c:axId val="657149087"/>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GP Return</a:t>
                </a:r>
              </a:p>
            </c:rich>
          </c:tx>
          <c:layout>
            <c:manualLayout>
              <c:xMode val="edge"/>
              <c:yMode val="edge"/>
              <c:x val="9.1315292167399257E-3"/>
              <c:y val="0.42966755619755487"/>
            </c:manualLayout>
          </c:layout>
          <c:overlay val="0"/>
          <c:spPr>
            <a:noFill/>
            <a:ln>
              <a:noFill/>
            </a:ln>
            <a:effectLst/>
          </c:spPr>
        </c:title>
        <c:numFmt formatCode="0.00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657148127"/>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 Ratio</a:t>
            </a:r>
            <a:r>
              <a:rPr lang="en-US" baseline="0"/>
              <a:t> of the Companies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[1]Sheet2!$B$1</c:f>
              <c:strCache>
                <c:ptCount val="1"/>
                <c:pt idx="0">
                  <c:v>P/E</c:v>
                </c:pt>
              </c:strCache>
            </c:strRef>
          </c:tx>
          <c:spPr>
            <a:solidFill>
              <a:schemeClr val="accent1"/>
            </a:solidFill>
            <a:ln>
              <a:noFill/>
            </a:ln>
            <a:effectLst/>
          </c:spPr>
          <c:invertIfNegative val="0"/>
          <c:cat>
            <c:strRef>
              <c:f>[1]Sheet2!$A$2:$A$4</c:f>
              <c:strCache>
                <c:ptCount val="3"/>
                <c:pt idx="0">
                  <c:v>Grameenphone Ltd.</c:v>
                </c:pt>
                <c:pt idx="1">
                  <c:v>Robi Axiata PLC.</c:v>
                </c:pt>
                <c:pt idx="2">
                  <c:v>Bangladesh Submarine Cables PLC</c:v>
                </c:pt>
              </c:strCache>
            </c:strRef>
          </c:cat>
          <c:val>
            <c:numRef>
              <c:f>[1]Sheet2!$B$2:$B$4</c:f>
              <c:numCache>
                <c:formatCode>General</c:formatCode>
                <c:ptCount val="3"/>
                <c:pt idx="0">
                  <c:v>9.5388620304946077</c:v>
                </c:pt>
                <c:pt idx="1">
                  <c:v>21.194029850746265</c:v>
                </c:pt>
                <c:pt idx="2">
                  <c:v>11.453546003424348</c:v>
                </c:pt>
              </c:numCache>
            </c:numRef>
          </c:val>
          <c:extLst>
            <c:ext xmlns:c16="http://schemas.microsoft.com/office/drawing/2014/chart" uri="{C3380CC4-5D6E-409C-BE32-E72D297353CC}">
              <c16:uniqueId val="{00000000-F955-41E6-A4F1-C8CFA9407CD8}"/>
            </c:ext>
          </c:extLst>
        </c:ser>
        <c:dLbls>
          <c:showLegendKey val="0"/>
          <c:showVal val="0"/>
          <c:showCatName val="0"/>
          <c:showSerName val="0"/>
          <c:showPercent val="0"/>
          <c:showBubbleSize val="0"/>
        </c:dLbls>
        <c:gapWidth val="219"/>
        <c:overlap val="-27"/>
        <c:axId val="1433254543"/>
        <c:axId val="1433246863"/>
      </c:barChart>
      <c:lineChart>
        <c:grouping val="standard"/>
        <c:varyColors val="0"/>
        <c:ser>
          <c:idx val="1"/>
          <c:order val="1"/>
          <c:tx>
            <c:strRef>
              <c:f>[1]Sheet2!$C$1</c:f>
              <c:strCache>
                <c:ptCount val="1"/>
                <c:pt idx="0">
                  <c:v>Industry Average</c:v>
                </c:pt>
              </c:strCache>
            </c:strRef>
          </c:tx>
          <c:spPr>
            <a:ln w="28575" cap="rnd">
              <a:solidFill>
                <a:schemeClr val="accent2"/>
              </a:solidFill>
              <a:round/>
            </a:ln>
            <a:effectLst/>
          </c:spPr>
          <c:marker>
            <c:symbol val="none"/>
          </c:marker>
          <c:cat>
            <c:strRef>
              <c:f>[1]Sheet2!$A$2:$A$4</c:f>
              <c:strCache>
                <c:ptCount val="3"/>
                <c:pt idx="0">
                  <c:v>Grameenphone Ltd.</c:v>
                </c:pt>
                <c:pt idx="1">
                  <c:v>Robi Axiata PLC.</c:v>
                </c:pt>
                <c:pt idx="2">
                  <c:v>Bangladesh Submarine Cables PLC</c:v>
                </c:pt>
              </c:strCache>
            </c:strRef>
          </c:cat>
          <c:val>
            <c:numRef>
              <c:f>[1]Sheet2!$C$2:$C$4</c:f>
              <c:numCache>
                <c:formatCode>General</c:formatCode>
                <c:ptCount val="3"/>
                <c:pt idx="0">
                  <c:v>14.062145961555075</c:v>
                </c:pt>
                <c:pt idx="1">
                  <c:v>14.062145961555075</c:v>
                </c:pt>
                <c:pt idx="2">
                  <c:v>14.062145961555075</c:v>
                </c:pt>
              </c:numCache>
            </c:numRef>
          </c:val>
          <c:smooth val="0"/>
          <c:extLst>
            <c:ext xmlns:c16="http://schemas.microsoft.com/office/drawing/2014/chart" uri="{C3380CC4-5D6E-409C-BE32-E72D297353CC}">
              <c16:uniqueId val="{00000001-F955-41E6-A4F1-C8CFA9407CD8}"/>
            </c:ext>
          </c:extLst>
        </c:ser>
        <c:dLbls>
          <c:showLegendKey val="0"/>
          <c:showVal val="0"/>
          <c:showCatName val="0"/>
          <c:showSerName val="0"/>
          <c:showPercent val="0"/>
          <c:showBubbleSize val="0"/>
        </c:dLbls>
        <c:marker val="1"/>
        <c:smooth val="0"/>
        <c:axId val="1433254543"/>
        <c:axId val="1433246863"/>
      </c:lineChart>
      <c:catAx>
        <c:axId val="143325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246863"/>
        <c:crosses val="autoZero"/>
        <c:auto val="1"/>
        <c:lblAlgn val="ctr"/>
        <c:lblOffset val="100"/>
        <c:noMultiLvlLbl val="0"/>
      </c:catAx>
      <c:valAx>
        <c:axId val="143324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254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P/B</a:t>
            </a:r>
            <a:r>
              <a:rPr lang="en-US" baseline="0"/>
              <a:t> Ratio of the Companies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[1]Sheet2!$B$7</c:f>
              <c:strCache>
                <c:ptCount val="1"/>
                <c:pt idx="0">
                  <c:v>P/B</c:v>
                </c:pt>
              </c:strCache>
            </c:strRef>
          </c:tx>
          <c:spPr>
            <a:solidFill>
              <a:schemeClr val="accent6"/>
            </a:solidFill>
            <a:ln>
              <a:noFill/>
            </a:ln>
            <a:effectLst/>
          </c:spPr>
          <c:invertIfNegative val="0"/>
          <c:cat>
            <c:strRef>
              <c:f>[1]Sheet2!$A$8:$A$10</c:f>
              <c:strCache>
                <c:ptCount val="3"/>
                <c:pt idx="0">
                  <c:v>Grameenphone Ltd.</c:v>
                </c:pt>
                <c:pt idx="1">
                  <c:v>Robi Axiata PLC.</c:v>
                </c:pt>
                <c:pt idx="2">
                  <c:v>Bangladesh Submarine Cables PLC</c:v>
                </c:pt>
              </c:strCache>
            </c:strRef>
          </c:cat>
          <c:val>
            <c:numRef>
              <c:f>[1]Sheet2!$B$8:$B$10</c:f>
              <c:numCache>
                <c:formatCode>General</c:formatCode>
                <c:ptCount val="3"/>
                <c:pt idx="0">
                  <c:v>5.3496881597032999</c:v>
                </c:pt>
                <c:pt idx="1">
                  <c:v>2.1714801954367724</c:v>
                </c:pt>
                <c:pt idx="2">
                  <c:v>1.3968818373789817</c:v>
                </c:pt>
              </c:numCache>
            </c:numRef>
          </c:val>
          <c:extLst>
            <c:ext xmlns:c16="http://schemas.microsoft.com/office/drawing/2014/chart" uri="{C3380CC4-5D6E-409C-BE32-E72D297353CC}">
              <c16:uniqueId val="{00000000-C727-4696-AF55-11C93BD4E0A6}"/>
            </c:ext>
          </c:extLst>
        </c:ser>
        <c:dLbls>
          <c:showLegendKey val="0"/>
          <c:showVal val="0"/>
          <c:showCatName val="0"/>
          <c:showSerName val="0"/>
          <c:showPercent val="0"/>
          <c:showBubbleSize val="0"/>
        </c:dLbls>
        <c:gapWidth val="219"/>
        <c:overlap val="-27"/>
        <c:axId val="1369583471"/>
        <c:axId val="1369584911"/>
      </c:barChart>
      <c:lineChart>
        <c:grouping val="standard"/>
        <c:varyColors val="0"/>
        <c:ser>
          <c:idx val="1"/>
          <c:order val="1"/>
          <c:tx>
            <c:strRef>
              <c:f>[1]Sheet2!$C$7</c:f>
              <c:strCache>
                <c:ptCount val="1"/>
                <c:pt idx="0">
                  <c:v>Industry Average</c:v>
                </c:pt>
              </c:strCache>
            </c:strRef>
          </c:tx>
          <c:spPr>
            <a:ln w="28575" cap="rnd">
              <a:solidFill>
                <a:schemeClr val="accent5"/>
              </a:solidFill>
              <a:round/>
            </a:ln>
            <a:effectLst/>
          </c:spPr>
          <c:marker>
            <c:symbol val="none"/>
          </c:marker>
          <c:cat>
            <c:strRef>
              <c:f>[1]Sheet2!$A$8:$A$10</c:f>
              <c:strCache>
                <c:ptCount val="3"/>
                <c:pt idx="0">
                  <c:v>Grameenphone Ltd.</c:v>
                </c:pt>
                <c:pt idx="1">
                  <c:v>Robi Axiata PLC.</c:v>
                </c:pt>
                <c:pt idx="2">
                  <c:v>Bangladesh Submarine Cables PLC</c:v>
                </c:pt>
              </c:strCache>
            </c:strRef>
          </c:cat>
          <c:val>
            <c:numRef>
              <c:f>[1]Sheet2!$C$8:$C$10</c:f>
              <c:numCache>
                <c:formatCode>General</c:formatCode>
                <c:ptCount val="3"/>
                <c:pt idx="0">
                  <c:v>2.9726833975063514</c:v>
                </c:pt>
                <c:pt idx="1">
                  <c:v>2.9726833975063514</c:v>
                </c:pt>
                <c:pt idx="2">
                  <c:v>2.9726833975063514</c:v>
                </c:pt>
              </c:numCache>
            </c:numRef>
          </c:val>
          <c:smooth val="0"/>
          <c:extLst>
            <c:ext xmlns:c16="http://schemas.microsoft.com/office/drawing/2014/chart" uri="{C3380CC4-5D6E-409C-BE32-E72D297353CC}">
              <c16:uniqueId val="{00000001-C727-4696-AF55-11C93BD4E0A6}"/>
            </c:ext>
          </c:extLst>
        </c:ser>
        <c:dLbls>
          <c:showLegendKey val="0"/>
          <c:showVal val="0"/>
          <c:showCatName val="0"/>
          <c:showSerName val="0"/>
          <c:showPercent val="0"/>
          <c:showBubbleSize val="0"/>
        </c:dLbls>
        <c:marker val="1"/>
        <c:smooth val="0"/>
        <c:axId val="1369583471"/>
        <c:axId val="1369584911"/>
      </c:lineChart>
      <c:catAx>
        <c:axId val="136958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584911"/>
        <c:crosses val="autoZero"/>
        <c:auto val="1"/>
        <c:lblAlgn val="ctr"/>
        <c:lblOffset val="100"/>
        <c:noMultiLvlLbl val="0"/>
      </c:catAx>
      <c:valAx>
        <c:axId val="136958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583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ROA</a:t>
            </a:r>
            <a:r>
              <a:rPr lang="en-US" baseline="0"/>
              <a:t> of Companies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[1]Sheet2!$B$12</c:f>
              <c:strCache>
                <c:ptCount val="1"/>
                <c:pt idx="0">
                  <c:v>ROA</c:v>
                </c:pt>
              </c:strCache>
            </c:strRef>
          </c:tx>
          <c:spPr>
            <a:solidFill>
              <a:schemeClr val="accent1"/>
            </a:solidFill>
            <a:ln>
              <a:noFill/>
            </a:ln>
            <a:effectLst/>
          </c:spPr>
          <c:invertIfNegative val="0"/>
          <c:cat>
            <c:strRef>
              <c:f>[1]Sheet2!$A$13:$A$15</c:f>
              <c:strCache>
                <c:ptCount val="3"/>
                <c:pt idx="0">
                  <c:v>Grameenphone Ltd.</c:v>
                </c:pt>
                <c:pt idx="1">
                  <c:v>Robi Axiata PLC.</c:v>
                </c:pt>
                <c:pt idx="2">
                  <c:v>Bangladesh Submarine Cables PLC</c:v>
                </c:pt>
              </c:strCache>
            </c:strRef>
          </c:cat>
          <c:val>
            <c:numRef>
              <c:f>[1]Sheet2!$B$13:$B$15</c:f>
              <c:numCache>
                <c:formatCode>General</c:formatCode>
                <c:ptCount val="3"/>
                <c:pt idx="0">
                  <c:v>14.5</c:v>
                </c:pt>
                <c:pt idx="1">
                  <c:v>4.5</c:v>
                </c:pt>
                <c:pt idx="2">
                  <c:v>9.5</c:v>
                </c:pt>
              </c:numCache>
            </c:numRef>
          </c:val>
          <c:extLst>
            <c:ext xmlns:c16="http://schemas.microsoft.com/office/drawing/2014/chart" uri="{C3380CC4-5D6E-409C-BE32-E72D297353CC}">
              <c16:uniqueId val="{00000000-F440-46D1-B40E-AD5D69D600B1}"/>
            </c:ext>
          </c:extLst>
        </c:ser>
        <c:dLbls>
          <c:showLegendKey val="0"/>
          <c:showVal val="0"/>
          <c:showCatName val="0"/>
          <c:showSerName val="0"/>
          <c:showPercent val="0"/>
          <c:showBubbleSize val="0"/>
        </c:dLbls>
        <c:gapWidth val="219"/>
        <c:axId val="1340327871"/>
        <c:axId val="1340322111"/>
      </c:barChart>
      <c:lineChart>
        <c:grouping val="standard"/>
        <c:varyColors val="0"/>
        <c:ser>
          <c:idx val="1"/>
          <c:order val="1"/>
          <c:tx>
            <c:strRef>
              <c:f>[1]Sheet2!$C$12</c:f>
              <c:strCache>
                <c:ptCount val="1"/>
                <c:pt idx="0">
                  <c:v>Industry Average</c:v>
                </c:pt>
              </c:strCache>
            </c:strRef>
          </c:tx>
          <c:spPr>
            <a:ln w="28575" cap="rnd">
              <a:solidFill>
                <a:schemeClr val="accent3"/>
              </a:solidFill>
              <a:round/>
            </a:ln>
            <a:effectLst/>
          </c:spPr>
          <c:marker>
            <c:symbol val="none"/>
          </c:marker>
          <c:cat>
            <c:strRef>
              <c:f>[1]Sheet2!$A$13:$A$15</c:f>
              <c:strCache>
                <c:ptCount val="3"/>
                <c:pt idx="0">
                  <c:v>Grameenphone Ltd.</c:v>
                </c:pt>
                <c:pt idx="1">
                  <c:v>Robi Axiata PLC.</c:v>
                </c:pt>
                <c:pt idx="2">
                  <c:v>Bangladesh Submarine Cables PLC</c:v>
                </c:pt>
              </c:strCache>
            </c:strRef>
          </c:cat>
          <c:val>
            <c:numRef>
              <c:f>[1]Sheet2!$C$13:$C$15</c:f>
              <c:numCache>
                <c:formatCode>General</c:formatCode>
                <c:ptCount val="3"/>
                <c:pt idx="0">
                  <c:v>9.5</c:v>
                </c:pt>
                <c:pt idx="1">
                  <c:v>9.5</c:v>
                </c:pt>
                <c:pt idx="2">
                  <c:v>9.5</c:v>
                </c:pt>
              </c:numCache>
            </c:numRef>
          </c:val>
          <c:smooth val="0"/>
          <c:extLst>
            <c:ext xmlns:c16="http://schemas.microsoft.com/office/drawing/2014/chart" uri="{C3380CC4-5D6E-409C-BE32-E72D297353CC}">
              <c16:uniqueId val="{00000001-F440-46D1-B40E-AD5D69D600B1}"/>
            </c:ext>
          </c:extLst>
        </c:ser>
        <c:dLbls>
          <c:showLegendKey val="0"/>
          <c:showVal val="0"/>
          <c:showCatName val="0"/>
          <c:showSerName val="0"/>
          <c:showPercent val="0"/>
          <c:showBubbleSize val="0"/>
        </c:dLbls>
        <c:marker val="1"/>
        <c:smooth val="0"/>
        <c:axId val="1348069855"/>
        <c:axId val="1348073695"/>
      </c:lineChart>
      <c:catAx>
        <c:axId val="134032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322111"/>
        <c:crosses val="autoZero"/>
        <c:auto val="1"/>
        <c:lblAlgn val="ctr"/>
        <c:lblOffset val="100"/>
        <c:noMultiLvlLbl val="0"/>
      </c:catAx>
      <c:valAx>
        <c:axId val="1340322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327871"/>
        <c:crosses val="autoZero"/>
        <c:crossBetween val="between"/>
      </c:valAx>
      <c:valAx>
        <c:axId val="13480736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69855"/>
        <c:crosses val="max"/>
        <c:crossBetween val="between"/>
      </c:valAx>
      <c:catAx>
        <c:axId val="1348069855"/>
        <c:scaling>
          <c:orientation val="minMax"/>
        </c:scaling>
        <c:delete val="1"/>
        <c:axPos val="b"/>
        <c:numFmt formatCode="General" sourceLinked="1"/>
        <c:majorTickMark val="out"/>
        <c:minorTickMark val="none"/>
        <c:tickLblPos val="nextTo"/>
        <c:crossAx val="13480736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ROE</a:t>
            </a:r>
            <a:r>
              <a:rPr lang="en-US" baseline="0"/>
              <a:t> of Companies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[1]Sheet2!$B$17</c:f>
              <c:strCache>
                <c:ptCount val="1"/>
                <c:pt idx="0">
                  <c:v>ROE</c:v>
                </c:pt>
              </c:strCache>
            </c:strRef>
          </c:tx>
          <c:spPr>
            <a:solidFill>
              <a:schemeClr val="accent2"/>
            </a:solidFill>
            <a:ln>
              <a:noFill/>
            </a:ln>
            <a:effectLst/>
          </c:spPr>
          <c:invertIfNegative val="0"/>
          <c:cat>
            <c:strRef>
              <c:f>[1]Sheet2!$A$18:$A$20</c:f>
              <c:strCache>
                <c:ptCount val="3"/>
                <c:pt idx="0">
                  <c:v>Grameenphone Ltd.</c:v>
                </c:pt>
                <c:pt idx="1">
                  <c:v>Robi Axiata PLC.</c:v>
                </c:pt>
                <c:pt idx="2">
                  <c:v>Bangladesh Submarine Cables PLC</c:v>
                </c:pt>
              </c:strCache>
            </c:strRef>
          </c:cat>
          <c:val>
            <c:numRef>
              <c:f>[1]Sheet2!$B$18:$B$20</c:f>
              <c:numCache>
                <c:formatCode>General</c:formatCode>
                <c:ptCount val="3"/>
                <c:pt idx="0">
                  <c:v>54.8</c:v>
                </c:pt>
                <c:pt idx="1">
                  <c:v>14</c:v>
                </c:pt>
                <c:pt idx="2">
                  <c:v>13.5</c:v>
                </c:pt>
              </c:numCache>
            </c:numRef>
          </c:val>
          <c:extLst>
            <c:ext xmlns:c16="http://schemas.microsoft.com/office/drawing/2014/chart" uri="{C3380CC4-5D6E-409C-BE32-E72D297353CC}">
              <c16:uniqueId val="{00000000-B7CE-4A91-B96F-C7B7A3AFA035}"/>
            </c:ext>
          </c:extLst>
        </c:ser>
        <c:dLbls>
          <c:showLegendKey val="0"/>
          <c:showVal val="0"/>
          <c:showCatName val="0"/>
          <c:showSerName val="0"/>
          <c:showPercent val="0"/>
          <c:showBubbleSize val="0"/>
        </c:dLbls>
        <c:gapWidth val="219"/>
        <c:axId val="1433171023"/>
        <c:axId val="1433171503"/>
      </c:barChart>
      <c:lineChart>
        <c:grouping val="standard"/>
        <c:varyColors val="0"/>
        <c:ser>
          <c:idx val="1"/>
          <c:order val="1"/>
          <c:tx>
            <c:strRef>
              <c:f>[1]Sheet2!$C$17</c:f>
              <c:strCache>
                <c:ptCount val="1"/>
                <c:pt idx="0">
                  <c:v>Industry Average</c:v>
                </c:pt>
              </c:strCache>
            </c:strRef>
          </c:tx>
          <c:spPr>
            <a:ln w="28575" cap="rnd">
              <a:solidFill>
                <a:schemeClr val="accent4"/>
              </a:solidFill>
              <a:round/>
            </a:ln>
            <a:effectLst/>
          </c:spPr>
          <c:marker>
            <c:symbol val="none"/>
          </c:marker>
          <c:cat>
            <c:strRef>
              <c:f>[1]Sheet2!$A$18:$A$20</c:f>
              <c:strCache>
                <c:ptCount val="3"/>
                <c:pt idx="0">
                  <c:v>Grameenphone Ltd.</c:v>
                </c:pt>
                <c:pt idx="1">
                  <c:v>Robi Axiata PLC.</c:v>
                </c:pt>
                <c:pt idx="2">
                  <c:v>Bangladesh Submarine Cables PLC</c:v>
                </c:pt>
              </c:strCache>
            </c:strRef>
          </c:cat>
          <c:val>
            <c:numRef>
              <c:f>[1]Sheet2!$C$18:$C$20</c:f>
              <c:numCache>
                <c:formatCode>General</c:formatCode>
                <c:ptCount val="3"/>
                <c:pt idx="0">
                  <c:v>27.433333333333334</c:v>
                </c:pt>
                <c:pt idx="1">
                  <c:v>27.433333333333334</c:v>
                </c:pt>
                <c:pt idx="2">
                  <c:v>27.433333333333334</c:v>
                </c:pt>
              </c:numCache>
            </c:numRef>
          </c:val>
          <c:smooth val="0"/>
          <c:extLst>
            <c:ext xmlns:c16="http://schemas.microsoft.com/office/drawing/2014/chart" uri="{C3380CC4-5D6E-409C-BE32-E72D297353CC}">
              <c16:uniqueId val="{00000001-B7CE-4A91-B96F-C7B7A3AFA035}"/>
            </c:ext>
          </c:extLst>
        </c:ser>
        <c:dLbls>
          <c:showLegendKey val="0"/>
          <c:showVal val="0"/>
          <c:showCatName val="0"/>
          <c:showSerName val="0"/>
          <c:showPercent val="0"/>
          <c:showBubbleSize val="0"/>
        </c:dLbls>
        <c:marker val="1"/>
        <c:smooth val="0"/>
        <c:axId val="1433171023"/>
        <c:axId val="1433171503"/>
      </c:lineChart>
      <c:catAx>
        <c:axId val="143317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171503"/>
        <c:crosses val="autoZero"/>
        <c:auto val="1"/>
        <c:lblAlgn val="ctr"/>
        <c:lblOffset val="100"/>
        <c:noMultiLvlLbl val="0"/>
      </c:catAx>
      <c:valAx>
        <c:axId val="143317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171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a:t>
            </a:r>
            <a:r>
              <a:rPr lang="en-US" baseline="0"/>
              <a:t> of Key Ratios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[1]Sheet2!$A$23</c:f>
              <c:strCache>
                <c:ptCount val="1"/>
                <c:pt idx="0">
                  <c:v>Grameenphone Ltd.</c:v>
                </c:pt>
              </c:strCache>
            </c:strRef>
          </c:tx>
          <c:spPr>
            <a:solidFill>
              <a:schemeClr val="accent2"/>
            </a:solidFill>
            <a:ln>
              <a:noFill/>
            </a:ln>
            <a:effectLst/>
          </c:spPr>
          <c:invertIfNegative val="0"/>
          <c:cat>
            <c:strRef>
              <c:f>[1]Sheet2!$B$22:$D$22</c:f>
              <c:strCache>
                <c:ptCount val="3"/>
                <c:pt idx="0">
                  <c:v>P/E</c:v>
                </c:pt>
                <c:pt idx="1">
                  <c:v>P/B</c:v>
                </c:pt>
                <c:pt idx="2">
                  <c:v>P/S</c:v>
                </c:pt>
              </c:strCache>
            </c:strRef>
          </c:cat>
          <c:val>
            <c:numRef>
              <c:f>[1]Sheet2!$B$23:$D$23</c:f>
              <c:numCache>
                <c:formatCode>General</c:formatCode>
                <c:ptCount val="3"/>
                <c:pt idx="0">
                  <c:v>9.5388620304946077</c:v>
                </c:pt>
                <c:pt idx="1">
                  <c:v>5.3496881597032999</c:v>
                </c:pt>
                <c:pt idx="2">
                  <c:v>2.898867796120896</c:v>
                </c:pt>
              </c:numCache>
            </c:numRef>
          </c:val>
          <c:extLst>
            <c:ext xmlns:c16="http://schemas.microsoft.com/office/drawing/2014/chart" uri="{C3380CC4-5D6E-409C-BE32-E72D297353CC}">
              <c16:uniqueId val="{00000000-84E0-4201-BDB6-C28361253FFC}"/>
            </c:ext>
          </c:extLst>
        </c:ser>
        <c:ser>
          <c:idx val="1"/>
          <c:order val="1"/>
          <c:tx>
            <c:strRef>
              <c:f>[1]Sheet2!$A$24</c:f>
              <c:strCache>
                <c:ptCount val="1"/>
                <c:pt idx="0">
                  <c:v>Robi Axiata PLC.</c:v>
                </c:pt>
              </c:strCache>
            </c:strRef>
          </c:tx>
          <c:spPr>
            <a:solidFill>
              <a:schemeClr val="accent4"/>
            </a:solidFill>
            <a:ln>
              <a:noFill/>
            </a:ln>
            <a:effectLst/>
          </c:spPr>
          <c:invertIfNegative val="0"/>
          <c:cat>
            <c:strRef>
              <c:f>[1]Sheet2!$B$22:$D$22</c:f>
              <c:strCache>
                <c:ptCount val="3"/>
                <c:pt idx="0">
                  <c:v>P/E</c:v>
                </c:pt>
                <c:pt idx="1">
                  <c:v>P/B</c:v>
                </c:pt>
                <c:pt idx="2">
                  <c:v>P/S</c:v>
                </c:pt>
              </c:strCache>
            </c:strRef>
          </c:cat>
          <c:val>
            <c:numRef>
              <c:f>[1]Sheet2!$B$24:$D$24</c:f>
              <c:numCache>
                <c:formatCode>General</c:formatCode>
                <c:ptCount val="3"/>
                <c:pt idx="0">
                  <c:v>21.194029850746265</c:v>
                </c:pt>
                <c:pt idx="1">
                  <c:v>2.1714801954367724</c:v>
                </c:pt>
                <c:pt idx="2">
                  <c:v>1.4950127385221088</c:v>
                </c:pt>
              </c:numCache>
            </c:numRef>
          </c:val>
          <c:extLst>
            <c:ext xmlns:c16="http://schemas.microsoft.com/office/drawing/2014/chart" uri="{C3380CC4-5D6E-409C-BE32-E72D297353CC}">
              <c16:uniqueId val="{00000001-84E0-4201-BDB6-C28361253FFC}"/>
            </c:ext>
          </c:extLst>
        </c:ser>
        <c:dLbls>
          <c:showLegendKey val="0"/>
          <c:showVal val="0"/>
          <c:showCatName val="0"/>
          <c:showSerName val="0"/>
          <c:showPercent val="0"/>
          <c:showBubbleSize val="0"/>
        </c:dLbls>
        <c:gapWidth val="219"/>
        <c:overlap val="-27"/>
        <c:axId val="1354228287"/>
        <c:axId val="1431138895"/>
      </c:barChart>
      <c:lineChart>
        <c:grouping val="standard"/>
        <c:varyColors val="0"/>
        <c:ser>
          <c:idx val="2"/>
          <c:order val="2"/>
          <c:tx>
            <c:strRef>
              <c:f>[1]Sheet2!$A$25</c:f>
              <c:strCache>
                <c:ptCount val="1"/>
                <c:pt idx="0">
                  <c:v>Bangladesh Submarine Cables PLC</c:v>
                </c:pt>
              </c:strCache>
            </c:strRef>
          </c:tx>
          <c:spPr>
            <a:ln w="28575" cap="rnd">
              <a:solidFill>
                <a:schemeClr val="accent6"/>
              </a:solidFill>
              <a:round/>
            </a:ln>
            <a:effectLst/>
          </c:spPr>
          <c:marker>
            <c:symbol val="none"/>
          </c:marker>
          <c:cat>
            <c:strRef>
              <c:f>[1]Sheet2!$B$22:$D$22</c:f>
              <c:strCache>
                <c:ptCount val="3"/>
                <c:pt idx="0">
                  <c:v>P/E</c:v>
                </c:pt>
                <c:pt idx="1">
                  <c:v>P/B</c:v>
                </c:pt>
                <c:pt idx="2">
                  <c:v>P/S</c:v>
                </c:pt>
              </c:strCache>
            </c:strRef>
          </c:cat>
          <c:val>
            <c:numRef>
              <c:f>[1]Sheet2!$B$25:$D$25</c:f>
              <c:numCache>
                <c:formatCode>General</c:formatCode>
                <c:ptCount val="3"/>
                <c:pt idx="0">
                  <c:v>11.453546003424348</c:v>
                </c:pt>
                <c:pt idx="1">
                  <c:v>1.3968818373789817</c:v>
                </c:pt>
                <c:pt idx="2">
                  <c:v>5.9648051758053029</c:v>
                </c:pt>
              </c:numCache>
            </c:numRef>
          </c:val>
          <c:smooth val="0"/>
          <c:extLst>
            <c:ext xmlns:c16="http://schemas.microsoft.com/office/drawing/2014/chart" uri="{C3380CC4-5D6E-409C-BE32-E72D297353CC}">
              <c16:uniqueId val="{00000002-84E0-4201-BDB6-C28361253FFC}"/>
            </c:ext>
          </c:extLst>
        </c:ser>
        <c:dLbls>
          <c:showLegendKey val="0"/>
          <c:showVal val="0"/>
          <c:showCatName val="0"/>
          <c:showSerName val="0"/>
          <c:showPercent val="0"/>
          <c:showBubbleSize val="0"/>
        </c:dLbls>
        <c:marker val="1"/>
        <c:smooth val="0"/>
        <c:axId val="1431152815"/>
        <c:axId val="1431140335"/>
      </c:lineChart>
      <c:catAx>
        <c:axId val="135422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138895"/>
        <c:crosses val="autoZero"/>
        <c:auto val="1"/>
        <c:lblAlgn val="ctr"/>
        <c:lblOffset val="100"/>
        <c:noMultiLvlLbl val="0"/>
      </c:catAx>
      <c:valAx>
        <c:axId val="143113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228287"/>
        <c:crosses val="autoZero"/>
        <c:crossBetween val="between"/>
      </c:valAx>
      <c:valAx>
        <c:axId val="14311403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152815"/>
        <c:crosses val="max"/>
        <c:crossBetween val="between"/>
      </c:valAx>
      <c:catAx>
        <c:axId val="1431152815"/>
        <c:scaling>
          <c:orientation val="minMax"/>
        </c:scaling>
        <c:delete val="1"/>
        <c:axPos val="b"/>
        <c:numFmt formatCode="General" sourceLinked="1"/>
        <c:majorTickMark val="out"/>
        <c:minorTickMark val="none"/>
        <c:tickLblPos val="nextTo"/>
        <c:crossAx val="143114033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 Ratio</a:t>
            </a:r>
            <a:r>
              <a:rPr lang="en-US" baseline="0"/>
              <a:t> of the Companies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[1]Sheet2!$B$1</c:f>
              <c:strCache>
                <c:ptCount val="1"/>
                <c:pt idx="0">
                  <c:v>P/E</c:v>
                </c:pt>
              </c:strCache>
            </c:strRef>
          </c:tx>
          <c:spPr>
            <a:solidFill>
              <a:schemeClr val="accent1"/>
            </a:solidFill>
            <a:ln>
              <a:noFill/>
            </a:ln>
            <a:effectLst/>
          </c:spPr>
          <c:invertIfNegative val="0"/>
          <c:cat>
            <c:strRef>
              <c:f>[1]Sheet2!$A$2:$A$4</c:f>
              <c:strCache>
                <c:ptCount val="3"/>
                <c:pt idx="0">
                  <c:v>Grameenphone Ltd.</c:v>
                </c:pt>
                <c:pt idx="1">
                  <c:v>Robi Axiata PLC.</c:v>
                </c:pt>
                <c:pt idx="2">
                  <c:v>Bangladesh Submarine Cables PLC</c:v>
                </c:pt>
              </c:strCache>
            </c:strRef>
          </c:cat>
          <c:val>
            <c:numRef>
              <c:f>[1]Sheet2!$B$2:$B$4</c:f>
              <c:numCache>
                <c:formatCode>General</c:formatCode>
                <c:ptCount val="3"/>
                <c:pt idx="0">
                  <c:v>9.5388620304946077</c:v>
                </c:pt>
                <c:pt idx="1">
                  <c:v>21.194029850746265</c:v>
                </c:pt>
                <c:pt idx="2">
                  <c:v>11.453546003424348</c:v>
                </c:pt>
              </c:numCache>
            </c:numRef>
          </c:val>
          <c:extLst>
            <c:ext xmlns:c16="http://schemas.microsoft.com/office/drawing/2014/chart" uri="{C3380CC4-5D6E-409C-BE32-E72D297353CC}">
              <c16:uniqueId val="{00000000-BA20-4587-9EDE-2DDC5BC40293}"/>
            </c:ext>
          </c:extLst>
        </c:ser>
        <c:dLbls>
          <c:showLegendKey val="0"/>
          <c:showVal val="0"/>
          <c:showCatName val="0"/>
          <c:showSerName val="0"/>
          <c:showPercent val="0"/>
          <c:showBubbleSize val="0"/>
        </c:dLbls>
        <c:gapWidth val="219"/>
        <c:overlap val="-27"/>
        <c:axId val="1433254543"/>
        <c:axId val="1433246863"/>
      </c:barChart>
      <c:lineChart>
        <c:grouping val="standard"/>
        <c:varyColors val="0"/>
        <c:ser>
          <c:idx val="1"/>
          <c:order val="1"/>
          <c:tx>
            <c:strRef>
              <c:f>[1]Sheet2!$C$1</c:f>
              <c:strCache>
                <c:ptCount val="1"/>
                <c:pt idx="0">
                  <c:v>Industry Average</c:v>
                </c:pt>
              </c:strCache>
            </c:strRef>
          </c:tx>
          <c:spPr>
            <a:ln w="28575" cap="rnd">
              <a:solidFill>
                <a:schemeClr val="accent2"/>
              </a:solidFill>
              <a:round/>
            </a:ln>
            <a:effectLst/>
          </c:spPr>
          <c:marker>
            <c:symbol val="none"/>
          </c:marker>
          <c:cat>
            <c:strRef>
              <c:f>[1]Sheet2!$A$2:$A$4</c:f>
              <c:strCache>
                <c:ptCount val="3"/>
                <c:pt idx="0">
                  <c:v>Grameenphone Ltd.</c:v>
                </c:pt>
                <c:pt idx="1">
                  <c:v>Robi Axiata PLC.</c:v>
                </c:pt>
                <c:pt idx="2">
                  <c:v>Bangladesh Submarine Cables PLC</c:v>
                </c:pt>
              </c:strCache>
            </c:strRef>
          </c:cat>
          <c:val>
            <c:numRef>
              <c:f>[1]Sheet2!$C$2:$C$4</c:f>
              <c:numCache>
                <c:formatCode>General</c:formatCode>
                <c:ptCount val="3"/>
                <c:pt idx="0">
                  <c:v>14.062145961555075</c:v>
                </c:pt>
                <c:pt idx="1">
                  <c:v>14.062145961555075</c:v>
                </c:pt>
                <c:pt idx="2">
                  <c:v>14.062145961555075</c:v>
                </c:pt>
              </c:numCache>
            </c:numRef>
          </c:val>
          <c:smooth val="0"/>
          <c:extLst>
            <c:ext xmlns:c16="http://schemas.microsoft.com/office/drawing/2014/chart" uri="{C3380CC4-5D6E-409C-BE32-E72D297353CC}">
              <c16:uniqueId val="{00000001-BA20-4587-9EDE-2DDC5BC40293}"/>
            </c:ext>
          </c:extLst>
        </c:ser>
        <c:dLbls>
          <c:showLegendKey val="0"/>
          <c:showVal val="0"/>
          <c:showCatName val="0"/>
          <c:showSerName val="0"/>
          <c:showPercent val="0"/>
          <c:showBubbleSize val="0"/>
        </c:dLbls>
        <c:marker val="1"/>
        <c:smooth val="0"/>
        <c:axId val="1433254543"/>
        <c:axId val="1433246863"/>
      </c:lineChart>
      <c:catAx>
        <c:axId val="143325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246863"/>
        <c:crosses val="autoZero"/>
        <c:auto val="1"/>
        <c:lblAlgn val="ctr"/>
        <c:lblOffset val="100"/>
        <c:noMultiLvlLbl val="0"/>
      </c:catAx>
      <c:valAx>
        <c:axId val="143324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254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P/B</a:t>
            </a:r>
            <a:r>
              <a:rPr lang="en-US" baseline="0"/>
              <a:t> Ratio of the Companies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[1]Sheet2!$B$7</c:f>
              <c:strCache>
                <c:ptCount val="1"/>
                <c:pt idx="0">
                  <c:v>P/B</c:v>
                </c:pt>
              </c:strCache>
            </c:strRef>
          </c:tx>
          <c:spPr>
            <a:solidFill>
              <a:schemeClr val="accent6"/>
            </a:solidFill>
            <a:ln>
              <a:noFill/>
            </a:ln>
            <a:effectLst/>
          </c:spPr>
          <c:invertIfNegative val="0"/>
          <c:cat>
            <c:strRef>
              <c:f>[1]Sheet2!$A$8:$A$10</c:f>
              <c:strCache>
                <c:ptCount val="3"/>
                <c:pt idx="0">
                  <c:v>Grameenphone Ltd.</c:v>
                </c:pt>
                <c:pt idx="1">
                  <c:v>Robi Axiata PLC.</c:v>
                </c:pt>
                <c:pt idx="2">
                  <c:v>Bangladesh Submarine Cables PLC</c:v>
                </c:pt>
              </c:strCache>
            </c:strRef>
          </c:cat>
          <c:val>
            <c:numRef>
              <c:f>[1]Sheet2!$B$8:$B$10</c:f>
              <c:numCache>
                <c:formatCode>General</c:formatCode>
                <c:ptCount val="3"/>
                <c:pt idx="0">
                  <c:v>5.3496881597032999</c:v>
                </c:pt>
                <c:pt idx="1">
                  <c:v>2.1714801954367724</c:v>
                </c:pt>
                <c:pt idx="2">
                  <c:v>1.3968818373789817</c:v>
                </c:pt>
              </c:numCache>
            </c:numRef>
          </c:val>
          <c:extLst>
            <c:ext xmlns:c16="http://schemas.microsoft.com/office/drawing/2014/chart" uri="{C3380CC4-5D6E-409C-BE32-E72D297353CC}">
              <c16:uniqueId val="{00000000-C1AC-40C3-837E-09A64DFA1988}"/>
            </c:ext>
          </c:extLst>
        </c:ser>
        <c:dLbls>
          <c:showLegendKey val="0"/>
          <c:showVal val="0"/>
          <c:showCatName val="0"/>
          <c:showSerName val="0"/>
          <c:showPercent val="0"/>
          <c:showBubbleSize val="0"/>
        </c:dLbls>
        <c:gapWidth val="219"/>
        <c:overlap val="-27"/>
        <c:axId val="1369583471"/>
        <c:axId val="1369584911"/>
      </c:barChart>
      <c:lineChart>
        <c:grouping val="standard"/>
        <c:varyColors val="0"/>
        <c:ser>
          <c:idx val="1"/>
          <c:order val="1"/>
          <c:tx>
            <c:strRef>
              <c:f>[1]Sheet2!$C$7</c:f>
              <c:strCache>
                <c:ptCount val="1"/>
                <c:pt idx="0">
                  <c:v>Industry Average</c:v>
                </c:pt>
              </c:strCache>
            </c:strRef>
          </c:tx>
          <c:spPr>
            <a:ln w="28575" cap="rnd">
              <a:solidFill>
                <a:schemeClr val="accent5"/>
              </a:solidFill>
              <a:round/>
            </a:ln>
            <a:effectLst/>
          </c:spPr>
          <c:marker>
            <c:symbol val="none"/>
          </c:marker>
          <c:cat>
            <c:strRef>
              <c:f>[1]Sheet2!$A$8:$A$10</c:f>
              <c:strCache>
                <c:ptCount val="3"/>
                <c:pt idx="0">
                  <c:v>Grameenphone Ltd.</c:v>
                </c:pt>
                <c:pt idx="1">
                  <c:v>Robi Axiata PLC.</c:v>
                </c:pt>
                <c:pt idx="2">
                  <c:v>Bangladesh Submarine Cables PLC</c:v>
                </c:pt>
              </c:strCache>
            </c:strRef>
          </c:cat>
          <c:val>
            <c:numRef>
              <c:f>[1]Sheet2!$C$8:$C$10</c:f>
              <c:numCache>
                <c:formatCode>General</c:formatCode>
                <c:ptCount val="3"/>
                <c:pt idx="0">
                  <c:v>2.9726833975063514</c:v>
                </c:pt>
                <c:pt idx="1">
                  <c:v>2.9726833975063514</c:v>
                </c:pt>
                <c:pt idx="2">
                  <c:v>2.9726833975063514</c:v>
                </c:pt>
              </c:numCache>
            </c:numRef>
          </c:val>
          <c:smooth val="0"/>
          <c:extLst>
            <c:ext xmlns:c16="http://schemas.microsoft.com/office/drawing/2014/chart" uri="{C3380CC4-5D6E-409C-BE32-E72D297353CC}">
              <c16:uniqueId val="{00000001-C1AC-40C3-837E-09A64DFA1988}"/>
            </c:ext>
          </c:extLst>
        </c:ser>
        <c:dLbls>
          <c:showLegendKey val="0"/>
          <c:showVal val="0"/>
          <c:showCatName val="0"/>
          <c:showSerName val="0"/>
          <c:showPercent val="0"/>
          <c:showBubbleSize val="0"/>
        </c:dLbls>
        <c:marker val="1"/>
        <c:smooth val="0"/>
        <c:axId val="1369583471"/>
        <c:axId val="1369584911"/>
      </c:lineChart>
      <c:catAx>
        <c:axId val="136958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584911"/>
        <c:crosses val="autoZero"/>
        <c:auto val="1"/>
        <c:lblAlgn val="ctr"/>
        <c:lblOffset val="100"/>
        <c:noMultiLvlLbl val="0"/>
      </c:catAx>
      <c:valAx>
        <c:axId val="136958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583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ROA</a:t>
            </a:r>
            <a:r>
              <a:rPr lang="en-US" baseline="0"/>
              <a:t> of Companies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[1]Sheet2!$B$12</c:f>
              <c:strCache>
                <c:ptCount val="1"/>
                <c:pt idx="0">
                  <c:v>ROA</c:v>
                </c:pt>
              </c:strCache>
            </c:strRef>
          </c:tx>
          <c:spPr>
            <a:solidFill>
              <a:schemeClr val="accent1"/>
            </a:solidFill>
            <a:ln>
              <a:noFill/>
            </a:ln>
            <a:effectLst/>
          </c:spPr>
          <c:invertIfNegative val="0"/>
          <c:cat>
            <c:strRef>
              <c:f>[1]Sheet2!$A$13:$A$15</c:f>
              <c:strCache>
                <c:ptCount val="3"/>
                <c:pt idx="0">
                  <c:v>Grameenphone Ltd.</c:v>
                </c:pt>
                <c:pt idx="1">
                  <c:v>Robi Axiata PLC.</c:v>
                </c:pt>
                <c:pt idx="2">
                  <c:v>Bangladesh Submarine Cables PLC</c:v>
                </c:pt>
              </c:strCache>
            </c:strRef>
          </c:cat>
          <c:val>
            <c:numRef>
              <c:f>[1]Sheet2!$B$13:$B$15</c:f>
              <c:numCache>
                <c:formatCode>General</c:formatCode>
                <c:ptCount val="3"/>
                <c:pt idx="0">
                  <c:v>14.5</c:v>
                </c:pt>
                <c:pt idx="1">
                  <c:v>4.5</c:v>
                </c:pt>
                <c:pt idx="2">
                  <c:v>9.5</c:v>
                </c:pt>
              </c:numCache>
            </c:numRef>
          </c:val>
          <c:extLst>
            <c:ext xmlns:c16="http://schemas.microsoft.com/office/drawing/2014/chart" uri="{C3380CC4-5D6E-409C-BE32-E72D297353CC}">
              <c16:uniqueId val="{00000000-7D05-464D-8FFF-DFBE2DFD8814}"/>
            </c:ext>
          </c:extLst>
        </c:ser>
        <c:dLbls>
          <c:showLegendKey val="0"/>
          <c:showVal val="0"/>
          <c:showCatName val="0"/>
          <c:showSerName val="0"/>
          <c:showPercent val="0"/>
          <c:showBubbleSize val="0"/>
        </c:dLbls>
        <c:gapWidth val="219"/>
        <c:axId val="1340327871"/>
        <c:axId val="1340322111"/>
      </c:barChart>
      <c:lineChart>
        <c:grouping val="standard"/>
        <c:varyColors val="0"/>
        <c:ser>
          <c:idx val="1"/>
          <c:order val="1"/>
          <c:tx>
            <c:strRef>
              <c:f>[1]Sheet2!$C$12</c:f>
              <c:strCache>
                <c:ptCount val="1"/>
                <c:pt idx="0">
                  <c:v>Industry Average</c:v>
                </c:pt>
              </c:strCache>
            </c:strRef>
          </c:tx>
          <c:spPr>
            <a:ln w="28575" cap="rnd">
              <a:solidFill>
                <a:schemeClr val="accent3"/>
              </a:solidFill>
              <a:round/>
            </a:ln>
            <a:effectLst/>
          </c:spPr>
          <c:marker>
            <c:symbol val="none"/>
          </c:marker>
          <c:cat>
            <c:strRef>
              <c:f>[1]Sheet2!$A$13:$A$15</c:f>
              <c:strCache>
                <c:ptCount val="3"/>
                <c:pt idx="0">
                  <c:v>Grameenphone Ltd.</c:v>
                </c:pt>
                <c:pt idx="1">
                  <c:v>Robi Axiata PLC.</c:v>
                </c:pt>
                <c:pt idx="2">
                  <c:v>Bangladesh Submarine Cables PLC</c:v>
                </c:pt>
              </c:strCache>
            </c:strRef>
          </c:cat>
          <c:val>
            <c:numRef>
              <c:f>[1]Sheet2!$C$13:$C$15</c:f>
              <c:numCache>
                <c:formatCode>General</c:formatCode>
                <c:ptCount val="3"/>
                <c:pt idx="0">
                  <c:v>9.5</c:v>
                </c:pt>
                <c:pt idx="1">
                  <c:v>9.5</c:v>
                </c:pt>
                <c:pt idx="2">
                  <c:v>9.5</c:v>
                </c:pt>
              </c:numCache>
            </c:numRef>
          </c:val>
          <c:smooth val="0"/>
          <c:extLst>
            <c:ext xmlns:c16="http://schemas.microsoft.com/office/drawing/2014/chart" uri="{C3380CC4-5D6E-409C-BE32-E72D297353CC}">
              <c16:uniqueId val="{00000001-7D05-464D-8FFF-DFBE2DFD8814}"/>
            </c:ext>
          </c:extLst>
        </c:ser>
        <c:dLbls>
          <c:showLegendKey val="0"/>
          <c:showVal val="0"/>
          <c:showCatName val="0"/>
          <c:showSerName val="0"/>
          <c:showPercent val="0"/>
          <c:showBubbleSize val="0"/>
        </c:dLbls>
        <c:marker val="1"/>
        <c:smooth val="0"/>
        <c:axId val="1348069855"/>
        <c:axId val="1348073695"/>
      </c:lineChart>
      <c:catAx>
        <c:axId val="134032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322111"/>
        <c:crosses val="autoZero"/>
        <c:auto val="1"/>
        <c:lblAlgn val="ctr"/>
        <c:lblOffset val="100"/>
        <c:noMultiLvlLbl val="0"/>
      </c:catAx>
      <c:valAx>
        <c:axId val="1340322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327871"/>
        <c:crosses val="autoZero"/>
        <c:crossBetween val="between"/>
      </c:valAx>
      <c:valAx>
        <c:axId val="13480736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69855"/>
        <c:crosses val="max"/>
        <c:crossBetween val="between"/>
      </c:valAx>
      <c:catAx>
        <c:axId val="1348069855"/>
        <c:scaling>
          <c:orientation val="minMax"/>
        </c:scaling>
        <c:delete val="1"/>
        <c:axPos val="b"/>
        <c:numFmt formatCode="General" sourceLinked="1"/>
        <c:majorTickMark val="out"/>
        <c:minorTickMark val="none"/>
        <c:tickLblPos val="nextTo"/>
        <c:crossAx val="13480736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ROE</a:t>
            </a:r>
            <a:r>
              <a:rPr lang="en-US" baseline="0"/>
              <a:t> of Companies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[1]Sheet2!$B$17</c:f>
              <c:strCache>
                <c:ptCount val="1"/>
                <c:pt idx="0">
                  <c:v>ROE</c:v>
                </c:pt>
              </c:strCache>
            </c:strRef>
          </c:tx>
          <c:spPr>
            <a:solidFill>
              <a:schemeClr val="accent2"/>
            </a:solidFill>
            <a:ln>
              <a:noFill/>
            </a:ln>
            <a:effectLst/>
          </c:spPr>
          <c:invertIfNegative val="0"/>
          <c:cat>
            <c:strRef>
              <c:f>[1]Sheet2!$A$18:$A$20</c:f>
              <c:strCache>
                <c:ptCount val="3"/>
                <c:pt idx="0">
                  <c:v>Grameenphone Ltd.</c:v>
                </c:pt>
                <c:pt idx="1">
                  <c:v>Robi Axiata PLC.</c:v>
                </c:pt>
                <c:pt idx="2">
                  <c:v>Bangladesh Submarine Cables PLC</c:v>
                </c:pt>
              </c:strCache>
            </c:strRef>
          </c:cat>
          <c:val>
            <c:numRef>
              <c:f>[1]Sheet2!$B$18:$B$20</c:f>
              <c:numCache>
                <c:formatCode>General</c:formatCode>
                <c:ptCount val="3"/>
                <c:pt idx="0">
                  <c:v>54.8</c:v>
                </c:pt>
                <c:pt idx="1">
                  <c:v>14</c:v>
                </c:pt>
                <c:pt idx="2">
                  <c:v>13.5</c:v>
                </c:pt>
              </c:numCache>
            </c:numRef>
          </c:val>
          <c:extLst>
            <c:ext xmlns:c16="http://schemas.microsoft.com/office/drawing/2014/chart" uri="{C3380CC4-5D6E-409C-BE32-E72D297353CC}">
              <c16:uniqueId val="{00000000-926E-421A-AFF5-47BA908FED9A}"/>
            </c:ext>
          </c:extLst>
        </c:ser>
        <c:dLbls>
          <c:showLegendKey val="0"/>
          <c:showVal val="0"/>
          <c:showCatName val="0"/>
          <c:showSerName val="0"/>
          <c:showPercent val="0"/>
          <c:showBubbleSize val="0"/>
        </c:dLbls>
        <c:gapWidth val="219"/>
        <c:axId val="1433171023"/>
        <c:axId val="1433171503"/>
      </c:barChart>
      <c:lineChart>
        <c:grouping val="standard"/>
        <c:varyColors val="0"/>
        <c:ser>
          <c:idx val="1"/>
          <c:order val="1"/>
          <c:tx>
            <c:strRef>
              <c:f>[1]Sheet2!$C$17</c:f>
              <c:strCache>
                <c:ptCount val="1"/>
                <c:pt idx="0">
                  <c:v>Industry Average</c:v>
                </c:pt>
              </c:strCache>
            </c:strRef>
          </c:tx>
          <c:spPr>
            <a:ln w="28575" cap="rnd">
              <a:solidFill>
                <a:schemeClr val="accent4"/>
              </a:solidFill>
              <a:round/>
            </a:ln>
            <a:effectLst/>
          </c:spPr>
          <c:marker>
            <c:symbol val="none"/>
          </c:marker>
          <c:cat>
            <c:strRef>
              <c:f>[1]Sheet2!$A$18:$A$20</c:f>
              <c:strCache>
                <c:ptCount val="3"/>
                <c:pt idx="0">
                  <c:v>Grameenphone Ltd.</c:v>
                </c:pt>
                <c:pt idx="1">
                  <c:v>Robi Axiata PLC.</c:v>
                </c:pt>
                <c:pt idx="2">
                  <c:v>Bangladesh Submarine Cables PLC</c:v>
                </c:pt>
              </c:strCache>
            </c:strRef>
          </c:cat>
          <c:val>
            <c:numRef>
              <c:f>[1]Sheet2!$C$18:$C$20</c:f>
              <c:numCache>
                <c:formatCode>General</c:formatCode>
                <c:ptCount val="3"/>
                <c:pt idx="0">
                  <c:v>27.433333333333334</c:v>
                </c:pt>
                <c:pt idx="1">
                  <c:v>27.433333333333334</c:v>
                </c:pt>
                <c:pt idx="2">
                  <c:v>27.433333333333334</c:v>
                </c:pt>
              </c:numCache>
            </c:numRef>
          </c:val>
          <c:smooth val="0"/>
          <c:extLst>
            <c:ext xmlns:c16="http://schemas.microsoft.com/office/drawing/2014/chart" uri="{C3380CC4-5D6E-409C-BE32-E72D297353CC}">
              <c16:uniqueId val="{00000001-926E-421A-AFF5-47BA908FED9A}"/>
            </c:ext>
          </c:extLst>
        </c:ser>
        <c:dLbls>
          <c:showLegendKey val="0"/>
          <c:showVal val="0"/>
          <c:showCatName val="0"/>
          <c:showSerName val="0"/>
          <c:showPercent val="0"/>
          <c:showBubbleSize val="0"/>
        </c:dLbls>
        <c:marker val="1"/>
        <c:smooth val="0"/>
        <c:axId val="1433171023"/>
        <c:axId val="1433171503"/>
      </c:lineChart>
      <c:catAx>
        <c:axId val="143317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171503"/>
        <c:crosses val="autoZero"/>
        <c:auto val="1"/>
        <c:lblAlgn val="ctr"/>
        <c:lblOffset val="100"/>
        <c:noMultiLvlLbl val="0"/>
      </c:catAx>
      <c:valAx>
        <c:axId val="143317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171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a:t>
            </a:r>
            <a:r>
              <a:rPr lang="en-US" baseline="0"/>
              <a:t> of Key Ratios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[1]Sheet2!$A$23</c:f>
              <c:strCache>
                <c:ptCount val="1"/>
                <c:pt idx="0">
                  <c:v>Grameenphone Ltd.</c:v>
                </c:pt>
              </c:strCache>
            </c:strRef>
          </c:tx>
          <c:spPr>
            <a:solidFill>
              <a:schemeClr val="accent2"/>
            </a:solidFill>
            <a:ln>
              <a:noFill/>
            </a:ln>
            <a:effectLst/>
          </c:spPr>
          <c:invertIfNegative val="0"/>
          <c:cat>
            <c:strRef>
              <c:f>[1]Sheet2!$B$22:$D$22</c:f>
              <c:strCache>
                <c:ptCount val="3"/>
                <c:pt idx="0">
                  <c:v>P/E</c:v>
                </c:pt>
                <c:pt idx="1">
                  <c:v>P/B</c:v>
                </c:pt>
                <c:pt idx="2">
                  <c:v>P/S</c:v>
                </c:pt>
              </c:strCache>
            </c:strRef>
          </c:cat>
          <c:val>
            <c:numRef>
              <c:f>[1]Sheet2!$B$23:$D$23</c:f>
              <c:numCache>
                <c:formatCode>General</c:formatCode>
                <c:ptCount val="3"/>
                <c:pt idx="0">
                  <c:v>9.5388620304946077</c:v>
                </c:pt>
                <c:pt idx="1">
                  <c:v>5.3496881597032999</c:v>
                </c:pt>
                <c:pt idx="2">
                  <c:v>2.898867796120896</c:v>
                </c:pt>
              </c:numCache>
            </c:numRef>
          </c:val>
          <c:extLst>
            <c:ext xmlns:c16="http://schemas.microsoft.com/office/drawing/2014/chart" uri="{C3380CC4-5D6E-409C-BE32-E72D297353CC}">
              <c16:uniqueId val="{00000000-44AE-43D0-81E6-9A557BB172B4}"/>
            </c:ext>
          </c:extLst>
        </c:ser>
        <c:ser>
          <c:idx val="1"/>
          <c:order val="1"/>
          <c:tx>
            <c:strRef>
              <c:f>[1]Sheet2!$A$24</c:f>
              <c:strCache>
                <c:ptCount val="1"/>
                <c:pt idx="0">
                  <c:v>Robi Axiata PLC.</c:v>
                </c:pt>
              </c:strCache>
            </c:strRef>
          </c:tx>
          <c:spPr>
            <a:solidFill>
              <a:schemeClr val="accent4"/>
            </a:solidFill>
            <a:ln>
              <a:noFill/>
            </a:ln>
            <a:effectLst/>
          </c:spPr>
          <c:invertIfNegative val="0"/>
          <c:cat>
            <c:strRef>
              <c:f>[1]Sheet2!$B$22:$D$22</c:f>
              <c:strCache>
                <c:ptCount val="3"/>
                <c:pt idx="0">
                  <c:v>P/E</c:v>
                </c:pt>
                <c:pt idx="1">
                  <c:v>P/B</c:v>
                </c:pt>
                <c:pt idx="2">
                  <c:v>P/S</c:v>
                </c:pt>
              </c:strCache>
            </c:strRef>
          </c:cat>
          <c:val>
            <c:numRef>
              <c:f>[1]Sheet2!$B$24:$D$24</c:f>
              <c:numCache>
                <c:formatCode>General</c:formatCode>
                <c:ptCount val="3"/>
                <c:pt idx="0">
                  <c:v>21.194029850746265</c:v>
                </c:pt>
                <c:pt idx="1">
                  <c:v>2.1714801954367724</c:v>
                </c:pt>
                <c:pt idx="2">
                  <c:v>1.4950127385221088</c:v>
                </c:pt>
              </c:numCache>
            </c:numRef>
          </c:val>
          <c:extLst>
            <c:ext xmlns:c16="http://schemas.microsoft.com/office/drawing/2014/chart" uri="{C3380CC4-5D6E-409C-BE32-E72D297353CC}">
              <c16:uniqueId val="{00000001-44AE-43D0-81E6-9A557BB172B4}"/>
            </c:ext>
          </c:extLst>
        </c:ser>
        <c:dLbls>
          <c:showLegendKey val="0"/>
          <c:showVal val="0"/>
          <c:showCatName val="0"/>
          <c:showSerName val="0"/>
          <c:showPercent val="0"/>
          <c:showBubbleSize val="0"/>
        </c:dLbls>
        <c:gapWidth val="219"/>
        <c:overlap val="-27"/>
        <c:axId val="1354228287"/>
        <c:axId val="1431138895"/>
      </c:barChart>
      <c:lineChart>
        <c:grouping val="standard"/>
        <c:varyColors val="0"/>
        <c:ser>
          <c:idx val="2"/>
          <c:order val="2"/>
          <c:tx>
            <c:strRef>
              <c:f>[1]Sheet2!$A$25</c:f>
              <c:strCache>
                <c:ptCount val="1"/>
                <c:pt idx="0">
                  <c:v>Bangladesh Submarine Cables PLC</c:v>
                </c:pt>
              </c:strCache>
            </c:strRef>
          </c:tx>
          <c:spPr>
            <a:ln w="28575" cap="rnd">
              <a:solidFill>
                <a:schemeClr val="accent6"/>
              </a:solidFill>
              <a:round/>
            </a:ln>
            <a:effectLst/>
          </c:spPr>
          <c:marker>
            <c:symbol val="none"/>
          </c:marker>
          <c:cat>
            <c:strRef>
              <c:f>[1]Sheet2!$B$22:$D$22</c:f>
              <c:strCache>
                <c:ptCount val="3"/>
                <c:pt idx="0">
                  <c:v>P/E</c:v>
                </c:pt>
                <c:pt idx="1">
                  <c:v>P/B</c:v>
                </c:pt>
                <c:pt idx="2">
                  <c:v>P/S</c:v>
                </c:pt>
              </c:strCache>
            </c:strRef>
          </c:cat>
          <c:val>
            <c:numRef>
              <c:f>[1]Sheet2!$B$25:$D$25</c:f>
              <c:numCache>
                <c:formatCode>General</c:formatCode>
                <c:ptCount val="3"/>
                <c:pt idx="0">
                  <c:v>11.453546003424348</c:v>
                </c:pt>
                <c:pt idx="1">
                  <c:v>1.3968818373789817</c:v>
                </c:pt>
                <c:pt idx="2">
                  <c:v>5.9648051758053029</c:v>
                </c:pt>
              </c:numCache>
            </c:numRef>
          </c:val>
          <c:smooth val="0"/>
          <c:extLst>
            <c:ext xmlns:c16="http://schemas.microsoft.com/office/drawing/2014/chart" uri="{C3380CC4-5D6E-409C-BE32-E72D297353CC}">
              <c16:uniqueId val="{00000002-44AE-43D0-81E6-9A557BB172B4}"/>
            </c:ext>
          </c:extLst>
        </c:ser>
        <c:dLbls>
          <c:showLegendKey val="0"/>
          <c:showVal val="0"/>
          <c:showCatName val="0"/>
          <c:showSerName val="0"/>
          <c:showPercent val="0"/>
          <c:showBubbleSize val="0"/>
        </c:dLbls>
        <c:marker val="1"/>
        <c:smooth val="0"/>
        <c:axId val="1431152815"/>
        <c:axId val="1431140335"/>
      </c:lineChart>
      <c:catAx>
        <c:axId val="135422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138895"/>
        <c:crosses val="autoZero"/>
        <c:auto val="1"/>
        <c:lblAlgn val="ctr"/>
        <c:lblOffset val="100"/>
        <c:noMultiLvlLbl val="0"/>
      </c:catAx>
      <c:valAx>
        <c:axId val="143113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228287"/>
        <c:crosses val="autoZero"/>
        <c:crossBetween val="between"/>
      </c:valAx>
      <c:valAx>
        <c:axId val="14311403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152815"/>
        <c:crosses val="max"/>
        <c:crossBetween val="between"/>
      </c:valAx>
      <c:catAx>
        <c:axId val="1431152815"/>
        <c:scaling>
          <c:orientation val="minMax"/>
        </c:scaling>
        <c:delete val="1"/>
        <c:axPos val="b"/>
        <c:numFmt formatCode="General" sourceLinked="1"/>
        <c:majorTickMark val="out"/>
        <c:minorTickMark val="none"/>
        <c:tickLblPos val="nextTo"/>
        <c:crossAx val="143114033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 PPE vs Net PPE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Visualization!$A$2</c:f>
              <c:strCache>
                <c:ptCount val="1"/>
                <c:pt idx="0">
                  <c:v>Net PPE/ Sales</c:v>
                </c:pt>
              </c:strCache>
            </c:strRef>
          </c:tx>
          <c:spPr>
            <a:ln w="28575" cap="rnd">
              <a:solidFill>
                <a:schemeClr val="accent1"/>
              </a:solidFill>
              <a:round/>
            </a:ln>
            <a:effectLst/>
          </c:spPr>
          <c:marker>
            <c:symbol val="none"/>
          </c:marker>
          <c:val>
            <c:numRef>
              <c:f>Visualization!$B$2:$G$2</c:f>
              <c:numCache>
                <c:formatCode>0.00%</c:formatCode>
                <c:ptCount val="6"/>
                <c:pt idx="0">
                  <c:v>0.88917281585291885</c:v>
                </c:pt>
                <c:pt idx="1">
                  <c:v>0.9903097757985051</c:v>
                </c:pt>
                <c:pt idx="2">
                  <c:v>1.0704097410457192</c:v>
                </c:pt>
                <c:pt idx="3">
                  <c:v>1.1501975130640105</c:v>
                </c:pt>
                <c:pt idx="4">
                  <c:v>1.1033287116977843</c:v>
                </c:pt>
                <c:pt idx="5">
                  <c:v>0.12955003005011081</c:v>
                </c:pt>
              </c:numCache>
            </c:numRef>
          </c:val>
          <c:smooth val="0"/>
          <c:extLst>
            <c:ext xmlns:c16="http://schemas.microsoft.com/office/drawing/2014/chart" uri="{C3380CC4-5D6E-409C-BE32-E72D297353CC}">
              <c16:uniqueId val="{00000000-F20C-41B8-AD0C-4781B621687B}"/>
            </c:ext>
          </c:extLst>
        </c:ser>
        <c:ser>
          <c:idx val="1"/>
          <c:order val="1"/>
          <c:tx>
            <c:strRef>
              <c:f>Visualization!$A$3</c:f>
              <c:strCache>
                <c:ptCount val="1"/>
                <c:pt idx="0">
                  <c:v>Gross PPE/Sales</c:v>
                </c:pt>
              </c:strCache>
            </c:strRef>
          </c:tx>
          <c:spPr>
            <a:ln w="28575" cap="rnd">
              <a:solidFill>
                <a:schemeClr val="accent5">
                  <a:lumMod val="40000"/>
                  <a:lumOff val="60000"/>
                </a:schemeClr>
              </a:solidFill>
              <a:round/>
            </a:ln>
            <a:effectLst/>
          </c:spPr>
          <c:marker>
            <c:symbol val="none"/>
          </c:marker>
          <c:val>
            <c:numRef>
              <c:f>Visualization!$B$3:$G$3</c:f>
              <c:numCache>
                <c:formatCode>0.00%</c:formatCode>
                <c:ptCount val="6"/>
                <c:pt idx="0">
                  <c:v>1.3311903035545174</c:v>
                </c:pt>
                <c:pt idx="1">
                  <c:v>1.2823747012139386</c:v>
                </c:pt>
                <c:pt idx="2">
                  <c:v>1.2600003933852233</c:v>
                </c:pt>
                <c:pt idx="3">
                  <c:v>1.284957822349164</c:v>
                </c:pt>
                <c:pt idx="4">
                  <c:v>1.3065064063116885</c:v>
                </c:pt>
                <c:pt idx="5">
                  <c:v>1.2859719221069774</c:v>
                </c:pt>
              </c:numCache>
            </c:numRef>
          </c:val>
          <c:smooth val="0"/>
          <c:extLst>
            <c:ext xmlns:c16="http://schemas.microsoft.com/office/drawing/2014/chart" uri="{C3380CC4-5D6E-409C-BE32-E72D297353CC}">
              <c16:uniqueId val="{00000001-F20C-41B8-AD0C-4781B621687B}"/>
            </c:ext>
          </c:extLst>
        </c:ser>
        <c:dLbls>
          <c:showLegendKey val="0"/>
          <c:showVal val="0"/>
          <c:showCatName val="0"/>
          <c:showSerName val="0"/>
          <c:showPercent val="0"/>
          <c:showBubbleSize val="0"/>
        </c:dLbls>
        <c:smooth val="0"/>
        <c:axId val="36822384"/>
        <c:axId val="36833424"/>
      </c:lineChart>
      <c:catAx>
        <c:axId val="368223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3424"/>
        <c:crosses val="autoZero"/>
        <c:auto val="1"/>
        <c:lblAlgn val="ctr"/>
        <c:lblOffset val="100"/>
        <c:noMultiLvlLbl val="0"/>
      </c:catAx>
      <c:valAx>
        <c:axId val="368334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22384"/>
        <c:crosses val="autoZero"/>
        <c:crossBetween val="between"/>
      </c:valAx>
      <c:spPr>
        <a:noFill/>
        <a:ln w="25400">
          <a:noFill/>
        </a:ln>
        <a:effectLst/>
      </c:spPr>
    </c:plotArea>
    <c:legend>
      <c:legendPos val="t"/>
      <c:overlay val="0"/>
      <c:spPr>
        <a:noFill/>
        <a:ln>
          <a:solidFill>
            <a:schemeClr val="accent5">
              <a:lumMod val="40000"/>
              <a:lumOff val="60000"/>
              <a:alpha val="90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13</xdr:col>
      <xdr:colOff>277416</xdr:colOff>
      <xdr:row>14</xdr:row>
      <xdr:rowOff>63102</xdr:rowOff>
    </xdr:from>
    <xdr:to>
      <xdr:col>17</xdr:col>
      <xdr:colOff>51197</xdr:colOff>
      <xdr:row>28</xdr:row>
      <xdr:rowOff>139302</xdr:rowOff>
    </xdr:to>
    <xdr:graphicFrame macro="">
      <xdr:nvGraphicFramePr>
        <xdr:cNvPr id="2" name="Chart 1">
          <a:extLst>
            <a:ext uri="{FF2B5EF4-FFF2-40B4-BE49-F238E27FC236}">
              <a16:creationId xmlns:a16="http://schemas.microsoft.com/office/drawing/2014/main" id="{E7B40827-4749-4EEE-8276-C9B386911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1</xdr:row>
      <xdr:rowOff>171450</xdr:rowOff>
    </xdr:from>
    <xdr:to>
      <xdr:col>7</xdr:col>
      <xdr:colOff>0</xdr:colOff>
      <xdr:row>6</xdr:row>
      <xdr:rowOff>57150</xdr:rowOff>
    </xdr:to>
    <xdr:sp macro="" textlink="">
      <xdr:nvSpPr>
        <xdr:cNvPr id="2" name="TextBox 1" hidden="1">
          <a:extLst>
            <a:ext uri="{FF2B5EF4-FFF2-40B4-BE49-F238E27FC236}">
              <a16:creationId xmlns:a16="http://schemas.microsoft.com/office/drawing/2014/main" id="{5CF5B68B-BC5B-49C4-AD1A-C8D5DF6BE970}"/>
            </a:ext>
          </a:extLst>
        </xdr:cNvPr>
        <xdr:cNvSpPr txBox="1"/>
      </xdr:nvSpPr>
      <xdr:spPr>
        <a:xfrm>
          <a:off x="3587750" y="171450"/>
          <a:ext cx="2590800" cy="819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604837</xdr:colOff>
      <xdr:row>23</xdr:row>
      <xdr:rowOff>0</xdr:rowOff>
    </xdr:from>
    <xdr:to>
      <xdr:col>14</xdr:col>
      <xdr:colOff>101599</xdr:colOff>
      <xdr:row>34</xdr:row>
      <xdr:rowOff>38100</xdr:rowOff>
    </xdr:to>
    <xdr:sp macro="" textlink="">
      <xdr:nvSpPr>
        <xdr:cNvPr id="2" name="TextBox 1">
          <a:extLst>
            <a:ext uri="{FF2B5EF4-FFF2-40B4-BE49-F238E27FC236}">
              <a16:creationId xmlns:a16="http://schemas.microsoft.com/office/drawing/2014/main" id="{D0CD2350-45DA-E302-7B2B-90F2E3EF39B4}"/>
            </a:ext>
          </a:extLst>
        </xdr:cNvPr>
        <xdr:cNvSpPr txBox="1"/>
      </xdr:nvSpPr>
      <xdr:spPr>
        <a:xfrm>
          <a:off x="11542712" y="4198938"/>
          <a:ext cx="7212012" cy="20462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Assumptions:</a:t>
          </a:r>
        </a:p>
        <a:p>
          <a:r>
            <a:rPr lang="en-US" sz="1100"/>
            <a:t>1. Here</a:t>
          </a:r>
          <a:r>
            <a:rPr lang="en-US" sz="1100" baseline="0"/>
            <a:t> we are considering "</a:t>
          </a:r>
          <a:r>
            <a:rPr lang="en-US" sz="1100" i="1" baseline="0"/>
            <a:t>cost of material and traffic charges</a:t>
          </a:r>
          <a:r>
            <a:rPr lang="en-US" sz="1100" baseline="0"/>
            <a:t>" as COGS.</a:t>
          </a:r>
        </a:p>
        <a:p>
          <a:r>
            <a:rPr lang="en-US" sz="1100"/>
            <a:t>2.</a:t>
          </a:r>
          <a:r>
            <a:rPr lang="en-US" sz="1100" baseline="0"/>
            <a:t> "</a:t>
          </a:r>
          <a:r>
            <a:rPr lang="en-US" sz="1100" i="1" baseline="0"/>
            <a:t>Salaries and personnel cost", "Operation and maintenance", "Sales, marketing and commissions", "Revenue sharing, spectrum charges and licence fees</a:t>
          </a:r>
          <a:r>
            <a:rPr lang="en-US" sz="1100" baseline="0"/>
            <a:t>" considering as operating expense.</a:t>
          </a:r>
        </a:p>
        <a:p>
          <a:r>
            <a:rPr lang="en-US" sz="1100" baseline="0"/>
            <a:t>3. Considering "</a:t>
          </a:r>
          <a:r>
            <a:rPr lang="en-US" sz="1100" i="1" baseline="0"/>
            <a:t>Depreciation and Ammortisation </a:t>
          </a:r>
          <a:r>
            <a:rPr lang="en-US" sz="1100" baseline="0"/>
            <a:t>"part of EBITDA.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18</xdr:row>
      <xdr:rowOff>0</xdr:rowOff>
    </xdr:from>
    <xdr:to>
      <xdr:col>11</xdr:col>
      <xdr:colOff>355600</xdr:colOff>
      <xdr:row>23</xdr:row>
      <xdr:rowOff>171450</xdr:rowOff>
    </xdr:to>
    <xdr:sp macro="" textlink="">
      <xdr:nvSpPr>
        <xdr:cNvPr id="3" name="TextBox 2">
          <a:extLst>
            <a:ext uri="{FF2B5EF4-FFF2-40B4-BE49-F238E27FC236}">
              <a16:creationId xmlns:a16="http://schemas.microsoft.com/office/drawing/2014/main" id="{EA482A06-035F-4FD5-A6E4-4272B3C7C3B4}"/>
            </a:ext>
          </a:extLst>
        </xdr:cNvPr>
        <xdr:cNvSpPr txBox="1"/>
      </xdr:nvSpPr>
      <xdr:spPr>
        <a:xfrm>
          <a:off x="2571750" y="3314700"/>
          <a:ext cx="7962900" cy="109220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 following Revenue Forecast was done using the CAGR.</a:t>
          </a:r>
          <a:br>
            <a:rPr lang="en-GB" sz="1100" baseline="0"/>
          </a:br>
          <a:br>
            <a:rPr lang="en-GB" sz="1100" baseline="0"/>
          </a:br>
          <a:r>
            <a:rPr lang="en-GB" sz="1100" b="0" i="0" u="none" strike="noStrike">
              <a:solidFill>
                <a:schemeClr val="dk1"/>
              </a:solidFill>
              <a:effectLst/>
              <a:latin typeface="+mn-lt"/>
              <a:ea typeface="+mn-ea"/>
              <a:cs typeface="+mn-cs"/>
            </a:rPr>
            <a:t>CAGR is not the best method for GP’s sales forecasting because it smooths out year‑to‑year volatility and ignores external factors like subscriber count changes, regulatory shifts, competition, technology upgrades (4G--&gt;5G) etc. It also assumes a constant growth rate, which is unrealistic in a mature, highly regulated telecom market where revenue can be flat or even decline in some years.</a:t>
          </a:r>
          <a:endParaRPr lang="en-GB"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243025</xdr:colOff>
      <xdr:row>3</xdr:row>
      <xdr:rowOff>172469</xdr:rowOff>
    </xdr:from>
    <xdr:to>
      <xdr:col>19</xdr:col>
      <xdr:colOff>124492</xdr:colOff>
      <xdr:row>9</xdr:row>
      <xdr:rowOff>157417</xdr:rowOff>
    </xdr:to>
    <xdr:sp macro="" textlink="">
      <xdr:nvSpPr>
        <xdr:cNvPr id="2" name="TextBox 1">
          <a:extLst>
            <a:ext uri="{FF2B5EF4-FFF2-40B4-BE49-F238E27FC236}">
              <a16:creationId xmlns:a16="http://schemas.microsoft.com/office/drawing/2014/main" id="{F357F740-315F-42A1-AE35-B34AA623ADA8}"/>
            </a:ext>
          </a:extLst>
        </xdr:cNvPr>
        <xdr:cNvSpPr txBox="1"/>
      </xdr:nvSpPr>
      <xdr:spPr>
        <a:xfrm>
          <a:off x="11790618" y="533086"/>
          <a:ext cx="5384800" cy="106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To calculate Smartphone Users</a:t>
          </a:r>
          <a:r>
            <a:rPr lang="en-US" sz="1100" baseline="0"/>
            <a:t> we divided the value of mobile data users by 0.95, considering that the smartphone users are 95% which is equal to the number of mobile data users. This is because the exact number of Smartphone users data is not available.</a:t>
          </a:r>
        </a:p>
        <a:p>
          <a:endParaRPr lang="en-US" sz="1100" baseline="0"/>
        </a:p>
        <a:p>
          <a:r>
            <a:rPr lang="en-US" sz="1100"/>
            <a:t>* ARPU:</a:t>
          </a:r>
          <a:r>
            <a:rPr lang="en-US" sz="1100" baseline="0"/>
            <a:t> Average Revenue per User</a:t>
          </a:r>
        </a:p>
        <a:p>
          <a:endParaRPr lang="en-US" sz="1100"/>
        </a:p>
      </xdr:txBody>
    </xdr:sp>
    <xdr:clientData/>
  </xdr:twoCellAnchor>
  <xdr:twoCellAnchor>
    <xdr:from>
      <xdr:col>7</xdr:col>
      <xdr:colOff>0</xdr:colOff>
      <xdr:row>25</xdr:row>
      <xdr:rowOff>0</xdr:rowOff>
    </xdr:from>
    <xdr:to>
      <xdr:col>12</xdr:col>
      <xdr:colOff>86392</xdr:colOff>
      <xdr:row>38</xdr:row>
      <xdr:rowOff>59463</xdr:rowOff>
    </xdr:to>
    <xdr:sp macro="" textlink="">
      <xdr:nvSpPr>
        <xdr:cNvPr id="3" name="TextBox 2">
          <a:extLst>
            <a:ext uri="{FF2B5EF4-FFF2-40B4-BE49-F238E27FC236}">
              <a16:creationId xmlns:a16="http://schemas.microsoft.com/office/drawing/2014/main" id="{F9327713-F730-4563-ABBA-2812B2CE0C14}"/>
            </a:ext>
          </a:extLst>
        </xdr:cNvPr>
        <xdr:cNvSpPr txBox="1"/>
      </xdr:nvSpPr>
      <xdr:spPr>
        <a:xfrm>
          <a:off x="9862099" y="4507716"/>
          <a:ext cx="40767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t>Assumptions:</a:t>
          </a:r>
        </a:p>
        <a:p>
          <a:endParaRPr lang="en-US" sz="1100"/>
        </a:p>
        <a:p>
          <a:pPr marL="171450" indent="-171450">
            <a:buFont typeface="Wingdings" panose="05000000000000000000" pitchFamily="2" charset="2"/>
            <a:buChar char="q"/>
          </a:pPr>
          <a:r>
            <a:rPr lang="en-US" sz="1100"/>
            <a:t>GP</a:t>
          </a:r>
          <a:r>
            <a:rPr lang="en-US" sz="1100" baseline="0"/>
            <a:t> market share is seemed to decline marginally due to competitive intensity despite subscriber growth.</a:t>
          </a:r>
        </a:p>
        <a:p>
          <a:pPr marL="171450" indent="-171450">
            <a:buFont typeface="Wingdings" panose="05000000000000000000" pitchFamily="2" charset="2"/>
            <a:buChar char="q"/>
          </a:pPr>
          <a:r>
            <a:rPr lang="en-US" sz="1100" baseline="0"/>
            <a:t>ARPU growth is conservative and below inflation due to price competition and regulatory constraints.</a:t>
          </a:r>
        </a:p>
        <a:p>
          <a:pPr marL="0" indent="0">
            <a:buFont typeface="Wingdings" panose="05000000000000000000" pitchFamily="2" charset="2"/>
            <a:buNone/>
          </a:pPr>
          <a:endParaRPr lang="en-US" sz="1100" baseline="0"/>
        </a:p>
        <a:p>
          <a:pPr marL="0" indent="0">
            <a:buFont typeface="Wingdings" panose="05000000000000000000" pitchFamily="2" charset="2"/>
            <a:buNone/>
          </a:pPr>
          <a:endParaRPr lang="en-US" sz="1100" baseline="0"/>
        </a:p>
        <a:p>
          <a:pPr marL="0" indent="0">
            <a:buFont typeface="Wingdings" panose="05000000000000000000" pitchFamily="2" charset="2"/>
            <a:buNone/>
          </a:pPr>
          <a:r>
            <a:rPr lang="en-US" sz="1100" baseline="0"/>
            <a:t>The forecast starts from the total telecom market size (industry subscribers), applies expected industry growth, the narrows down using Grameenphone's market share to estimate subscribers. Revenue is derived by applying forecasted ARPU, making it a classic top-down approach.</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171714</xdr:colOff>
      <xdr:row>15</xdr:row>
      <xdr:rowOff>92604</xdr:rowOff>
    </xdr:from>
    <xdr:to>
      <xdr:col>10</xdr:col>
      <xdr:colOff>72761</xdr:colOff>
      <xdr:row>17</xdr:row>
      <xdr:rowOff>97367</xdr:rowOff>
    </xdr:to>
    <xdr:cxnSp macro="">
      <xdr:nvCxnSpPr>
        <xdr:cNvPr id="6" name="Straight Arrow Connector 5">
          <a:extLst>
            <a:ext uri="{FF2B5EF4-FFF2-40B4-BE49-F238E27FC236}">
              <a16:creationId xmlns:a16="http://schemas.microsoft.com/office/drawing/2014/main" id="{ACD4CF77-3B52-4432-84E3-7CA36CE24065}"/>
            </a:ext>
          </a:extLst>
        </xdr:cNvPr>
        <xdr:cNvCxnSpPr/>
      </xdr:nvCxnSpPr>
      <xdr:spPr>
        <a:xfrm flipV="1">
          <a:off x="10146506" y="3320521"/>
          <a:ext cx="1243807" cy="381794"/>
        </a:xfrm>
        <a:prstGeom prst="straightConnector1">
          <a:avLst/>
        </a:prstGeom>
        <a:ln>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121650</xdr:colOff>
      <xdr:row>30</xdr:row>
      <xdr:rowOff>112059</xdr:rowOff>
    </xdr:from>
    <xdr:to>
      <xdr:col>9</xdr:col>
      <xdr:colOff>429558</xdr:colOff>
      <xdr:row>30</xdr:row>
      <xdr:rowOff>134268</xdr:rowOff>
    </xdr:to>
    <xdr:cxnSp macro="">
      <xdr:nvCxnSpPr>
        <xdr:cNvPr id="10" name="Straight Arrow Connector 9">
          <a:extLst>
            <a:ext uri="{FF2B5EF4-FFF2-40B4-BE49-F238E27FC236}">
              <a16:creationId xmlns:a16="http://schemas.microsoft.com/office/drawing/2014/main" id="{95C717E5-D6B4-41C8-AED7-13B0623BEEC1}"/>
            </a:ext>
          </a:extLst>
        </xdr:cNvPr>
        <xdr:cNvCxnSpPr/>
      </xdr:nvCxnSpPr>
      <xdr:spPr>
        <a:xfrm flipV="1">
          <a:off x="10449738" y="6938309"/>
          <a:ext cx="914894" cy="22209"/>
        </a:xfrm>
        <a:prstGeom prst="straightConnector1">
          <a:avLst/>
        </a:prstGeom>
        <a:ln>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547326</xdr:colOff>
      <xdr:row>27</xdr:row>
      <xdr:rowOff>36697</xdr:rowOff>
    </xdr:from>
    <xdr:to>
      <xdr:col>14</xdr:col>
      <xdr:colOff>438142</xdr:colOff>
      <xdr:row>32</xdr:row>
      <xdr:rowOff>107012</xdr:rowOff>
    </xdr:to>
    <xdr:sp macro="" textlink="">
      <xdr:nvSpPr>
        <xdr:cNvPr id="11" name="TextBox 10">
          <a:extLst>
            <a:ext uri="{FF2B5EF4-FFF2-40B4-BE49-F238E27FC236}">
              <a16:creationId xmlns:a16="http://schemas.microsoft.com/office/drawing/2014/main" id="{F2C22A16-391D-4584-9E62-1F225BE53ABD}"/>
            </a:ext>
          </a:extLst>
        </xdr:cNvPr>
        <xdr:cNvSpPr txBox="1"/>
      </xdr:nvSpPr>
      <xdr:spPr>
        <a:xfrm>
          <a:off x="11482400" y="6246623"/>
          <a:ext cx="4391845" cy="1116198"/>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Loans and Borrowings have</a:t>
          </a:r>
          <a:r>
            <a:rPr lang="en-US" sz="1200" baseline="0"/>
            <a:t> been accounted only for the loans and not leased loans (as GP's leased properties are their assets). 2020 has a sudden huge negative figure in interest expense due to Covid year situation (many loans payments were forgiven) hence it is omitted as an outlier.</a:t>
          </a:r>
          <a:endParaRPr lang="en-US" sz="1200"/>
        </a:p>
      </xdr:txBody>
    </xdr:sp>
    <xdr:clientData/>
  </xdr:twoCellAnchor>
  <xdr:twoCellAnchor>
    <xdr:from>
      <xdr:col>8</xdr:col>
      <xdr:colOff>188784</xdr:colOff>
      <xdr:row>35</xdr:row>
      <xdr:rowOff>8582</xdr:rowOff>
    </xdr:from>
    <xdr:to>
      <xdr:col>9</xdr:col>
      <xdr:colOff>430547</xdr:colOff>
      <xdr:row>35</xdr:row>
      <xdr:rowOff>8582</xdr:rowOff>
    </xdr:to>
    <xdr:cxnSp macro="">
      <xdr:nvCxnSpPr>
        <xdr:cNvPr id="12" name="Straight Arrow Connector 11">
          <a:extLst>
            <a:ext uri="{FF2B5EF4-FFF2-40B4-BE49-F238E27FC236}">
              <a16:creationId xmlns:a16="http://schemas.microsoft.com/office/drawing/2014/main" id="{CB51B142-691C-4A21-BFD7-BCC8BE84C975}"/>
            </a:ext>
          </a:extLst>
        </xdr:cNvPr>
        <xdr:cNvCxnSpPr/>
      </xdr:nvCxnSpPr>
      <xdr:spPr>
        <a:xfrm>
          <a:off x="9456352" y="7946082"/>
          <a:ext cx="851019" cy="0"/>
        </a:xfrm>
        <a:prstGeom prst="straightConnector1">
          <a:avLst/>
        </a:prstGeom>
        <a:ln>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521541</xdr:colOff>
      <xdr:row>34</xdr:row>
      <xdr:rowOff>8893</xdr:rowOff>
    </xdr:from>
    <xdr:to>
      <xdr:col>14</xdr:col>
      <xdr:colOff>49427</xdr:colOff>
      <xdr:row>36</xdr:row>
      <xdr:rowOff>145878</xdr:rowOff>
    </xdr:to>
    <xdr:sp macro="" textlink="">
      <xdr:nvSpPr>
        <xdr:cNvPr id="13" name="TextBox 12">
          <a:extLst>
            <a:ext uri="{FF2B5EF4-FFF2-40B4-BE49-F238E27FC236}">
              <a16:creationId xmlns:a16="http://schemas.microsoft.com/office/drawing/2014/main" id="{8D646539-7135-4EA1-9DF6-FD7AF6AB5F52}"/>
            </a:ext>
          </a:extLst>
        </xdr:cNvPr>
        <xdr:cNvSpPr txBox="1"/>
      </xdr:nvSpPr>
      <xdr:spPr>
        <a:xfrm>
          <a:off x="10398365" y="7766190"/>
          <a:ext cx="3552413" cy="497391"/>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Total</a:t>
          </a:r>
          <a:r>
            <a:rPr lang="en-US" sz="1200" baseline="0"/>
            <a:t> dividend paid has been taken into account for accurate figures. </a:t>
          </a:r>
          <a:endParaRPr lang="en-US" sz="1200"/>
        </a:p>
      </xdr:txBody>
    </xdr:sp>
    <xdr:clientData/>
  </xdr:twoCellAnchor>
  <xdr:twoCellAnchor>
    <xdr:from>
      <xdr:col>7</xdr:col>
      <xdr:colOff>506283</xdr:colOff>
      <xdr:row>42</xdr:row>
      <xdr:rowOff>77230</xdr:rowOff>
    </xdr:from>
    <xdr:to>
      <xdr:col>8</xdr:col>
      <xdr:colOff>310410</xdr:colOff>
      <xdr:row>42</xdr:row>
      <xdr:rowOff>77230</xdr:rowOff>
    </xdr:to>
    <xdr:cxnSp macro="">
      <xdr:nvCxnSpPr>
        <xdr:cNvPr id="14" name="Straight Arrow Connector 13">
          <a:extLst>
            <a:ext uri="{FF2B5EF4-FFF2-40B4-BE49-F238E27FC236}">
              <a16:creationId xmlns:a16="http://schemas.microsoft.com/office/drawing/2014/main" id="{311C03C3-9E46-4DC2-8D8C-268BD13B1934}"/>
            </a:ext>
          </a:extLst>
        </xdr:cNvPr>
        <xdr:cNvCxnSpPr/>
      </xdr:nvCxnSpPr>
      <xdr:spPr>
        <a:xfrm>
          <a:off x="8726959" y="9284730"/>
          <a:ext cx="851019" cy="0"/>
        </a:xfrm>
        <a:prstGeom prst="straightConnector1">
          <a:avLst/>
        </a:prstGeom>
        <a:ln>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459413</xdr:colOff>
      <xdr:row>41</xdr:row>
      <xdr:rowOff>6834</xdr:rowOff>
    </xdr:from>
    <xdr:to>
      <xdr:col>13</xdr:col>
      <xdr:colOff>304799</xdr:colOff>
      <xdr:row>43</xdr:row>
      <xdr:rowOff>143819</xdr:rowOff>
    </xdr:to>
    <xdr:sp macro="" textlink="">
      <xdr:nvSpPr>
        <xdr:cNvPr id="15" name="TextBox 14">
          <a:extLst>
            <a:ext uri="{FF2B5EF4-FFF2-40B4-BE49-F238E27FC236}">
              <a16:creationId xmlns:a16="http://schemas.microsoft.com/office/drawing/2014/main" id="{63DDE42E-BF75-4DFD-9093-64399D62DCAB}"/>
            </a:ext>
          </a:extLst>
        </xdr:cNvPr>
        <xdr:cNvSpPr txBox="1"/>
      </xdr:nvSpPr>
      <xdr:spPr>
        <a:xfrm>
          <a:off x="9726981" y="9034131"/>
          <a:ext cx="3552413" cy="497391"/>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Gross PPE value has been taken into account in these figures.</a:t>
          </a:r>
        </a:p>
      </xdr:txBody>
    </xdr:sp>
    <xdr:clientData/>
  </xdr:twoCellAnchor>
  <xdr:twoCellAnchor>
    <xdr:from>
      <xdr:col>7</xdr:col>
      <xdr:colOff>231690</xdr:colOff>
      <xdr:row>51</xdr:row>
      <xdr:rowOff>128716</xdr:rowOff>
    </xdr:from>
    <xdr:to>
      <xdr:col>8</xdr:col>
      <xdr:colOff>35817</xdr:colOff>
      <xdr:row>51</xdr:row>
      <xdr:rowOff>128716</xdr:rowOff>
    </xdr:to>
    <xdr:cxnSp macro="">
      <xdr:nvCxnSpPr>
        <xdr:cNvPr id="16" name="Straight Arrow Connector 15">
          <a:extLst>
            <a:ext uri="{FF2B5EF4-FFF2-40B4-BE49-F238E27FC236}">
              <a16:creationId xmlns:a16="http://schemas.microsoft.com/office/drawing/2014/main" id="{710031DA-2B9A-40B3-A54C-4E5A42E8084B}"/>
            </a:ext>
          </a:extLst>
        </xdr:cNvPr>
        <xdr:cNvCxnSpPr/>
      </xdr:nvCxnSpPr>
      <xdr:spPr>
        <a:xfrm>
          <a:off x="8452366" y="10597635"/>
          <a:ext cx="851019" cy="0"/>
        </a:xfrm>
        <a:prstGeom prst="straightConnector1">
          <a:avLst/>
        </a:prstGeom>
        <a:ln>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124752</xdr:colOff>
      <xdr:row>50</xdr:row>
      <xdr:rowOff>75482</xdr:rowOff>
    </xdr:from>
    <xdr:to>
      <xdr:col>11</xdr:col>
      <xdr:colOff>1261420</xdr:colOff>
      <xdr:row>53</xdr:row>
      <xdr:rowOff>32264</xdr:rowOff>
    </xdr:to>
    <xdr:sp macro="" textlink="">
      <xdr:nvSpPr>
        <xdr:cNvPr id="17" name="TextBox 16">
          <a:extLst>
            <a:ext uri="{FF2B5EF4-FFF2-40B4-BE49-F238E27FC236}">
              <a16:creationId xmlns:a16="http://schemas.microsoft.com/office/drawing/2014/main" id="{83294EEB-D98C-4C4D-87F4-3C7BB7B5CBA8}"/>
            </a:ext>
          </a:extLst>
        </xdr:cNvPr>
        <xdr:cNvSpPr txBox="1"/>
      </xdr:nvSpPr>
      <xdr:spPr>
        <a:xfrm>
          <a:off x="9392320" y="10364198"/>
          <a:ext cx="2964438" cy="49739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Weights</a:t>
          </a:r>
          <a:r>
            <a:rPr lang="en-US" sz="1200" baseline="0"/>
            <a:t> have been assigned to different PPE components. </a:t>
          </a:r>
          <a:endParaRPr lang="en-US" sz="1200"/>
        </a:p>
      </xdr:txBody>
    </xdr:sp>
    <xdr:clientData/>
  </xdr:twoCellAnchor>
  <xdr:twoCellAnchor>
    <xdr:from>
      <xdr:col>8</xdr:col>
      <xdr:colOff>59266</xdr:colOff>
      <xdr:row>19</xdr:row>
      <xdr:rowOff>110068</xdr:rowOff>
    </xdr:from>
    <xdr:to>
      <xdr:col>9</xdr:col>
      <xdr:colOff>300566</xdr:colOff>
      <xdr:row>19</xdr:row>
      <xdr:rowOff>110068</xdr:rowOff>
    </xdr:to>
    <xdr:cxnSp macro="">
      <xdr:nvCxnSpPr>
        <xdr:cNvPr id="18" name="Straight Arrow Connector 17">
          <a:extLst>
            <a:ext uri="{FF2B5EF4-FFF2-40B4-BE49-F238E27FC236}">
              <a16:creationId xmlns:a16="http://schemas.microsoft.com/office/drawing/2014/main" id="{7F8658FC-E35F-4E4B-BA23-225F22CB72CE}"/>
            </a:ext>
          </a:extLst>
        </xdr:cNvPr>
        <xdr:cNvCxnSpPr/>
      </xdr:nvCxnSpPr>
      <xdr:spPr>
        <a:xfrm>
          <a:off x="9550399" y="4114801"/>
          <a:ext cx="850900" cy="0"/>
        </a:xfrm>
        <a:prstGeom prst="straightConnector1">
          <a:avLst/>
        </a:prstGeom>
        <a:ln>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323346</xdr:colOff>
      <xdr:row>19</xdr:row>
      <xdr:rowOff>16303</xdr:rowOff>
    </xdr:from>
    <xdr:to>
      <xdr:col>13</xdr:col>
      <xdr:colOff>43126</xdr:colOff>
      <xdr:row>22</xdr:row>
      <xdr:rowOff>0</xdr:rowOff>
    </xdr:to>
    <xdr:sp macro="" textlink="">
      <xdr:nvSpPr>
        <xdr:cNvPr id="19" name="TextBox 18">
          <a:extLst>
            <a:ext uri="{FF2B5EF4-FFF2-40B4-BE49-F238E27FC236}">
              <a16:creationId xmlns:a16="http://schemas.microsoft.com/office/drawing/2014/main" id="{658EFA05-DAC8-462E-A41B-B0F62383495A}"/>
            </a:ext>
          </a:extLst>
        </xdr:cNvPr>
        <xdr:cNvSpPr txBox="1"/>
      </xdr:nvSpPr>
      <xdr:spPr>
        <a:xfrm>
          <a:off x="10906679" y="3991668"/>
          <a:ext cx="3298270" cy="675584"/>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[Current assets - Cash &amp; cash equivalents</a:t>
          </a:r>
          <a:r>
            <a:rPr lang="en-US" sz="1200" baseline="0"/>
            <a:t> = Total Current Assets ]has been taken into account and then averaged for rate.</a:t>
          </a:r>
          <a:endParaRPr lang="en-US" sz="1200"/>
        </a:p>
      </xdr:txBody>
    </xdr:sp>
    <xdr:clientData/>
  </xdr:twoCellAnchor>
  <xdr:twoCellAnchor>
    <xdr:from>
      <xdr:col>4</xdr:col>
      <xdr:colOff>890309</xdr:colOff>
      <xdr:row>76</xdr:row>
      <xdr:rowOff>58918</xdr:rowOff>
    </xdr:from>
    <xdr:to>
      <xdr:col>5</xdr:col>
      <xdr:colOff>727167</xdr:colOff>
      <xdr:row>76</xdr:row>
      <xdr:rowOff>58918</xdr:rowOff>
    </xdr:to>
    <xdr:cxnSp macro="">
      <xdr:nvCxnSpPr>
        <xdr:cNvPr id="3" name="Straight Arrow Connector 2">
          <a:extLst>
            <a:ext uri="{FF2B5EF4-FFF2-40B4-BE49-F238E27FC236}">
              <a16:creationId xmlns:a16="http://schemas.microsoft.com/office/drawing/2014/main" id="{58EF2274-CA17-4EB2-9BA8-F4BE633F229D}"/>
            </a:ext>
          </a:extLst>
        </xdr:cNvPr>
        <xdr:cNvCxnSpPr/>
      </xdr:nvCxnSpPr>
      <xdr:spPr>
        <a:xfrm>
          <a:off x="6585670" y="14323506"/>
          <a:ext cx="851549" cy="0"/>
        </a:xfrm>
        <a:prstGeom prst="straightConnector1">
          <a:avLst/>
        </a:prstGeom>
        <a:ln>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858044</xdr:colOff>
      <xdr:row>73</xdr:row>
      <xdr:rowOff>306277</xdr:rowOff>
    </xdr:from>
    <xdr:to>
      <xdr:col>11</xdr:col>
      <xdr:colOff>657679</xdr:colOff>
      <xdr:row>82</xdr:row>
      <xdr:rowOff>170090</xdr:rowOff>
    </xdr:to>
    <xdr:sp macro="" textlink="">
      <xdr:nvSpPr>
        <xdr:cNvPr id="5" name="TextBox 4">
          <a:extLst>
            <a:ext uri="{FF2B5EF4-FFF2-40B4-BE49-F238E27FC236}">
              <a16:creationId xmlns:a16="http://schemas.microsoft.com/office/drawing/2014/main" id="{52F6EFB9-3B19-47CE-9ABA-ADB09EB2594D}"/>
            </a:ext>
          </a:extLst>
        </xdr:cNvPr>
        <xdr:cNvSpPr txBox="1"/>
      </xdr:nvSpPr>
      <xdr:spPr>
        <a:xfrm>
          <a:off x="7752330" y="14848911"/>
          <a:ext cx="5185795" cy="1683768"/>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Net PPE % has been taken into account for</a:t>
          </a:r>
          <a:r>
            <a:rPr lang="en-US" sz="1200" baseline="0"/>
            <a:t> leased assets in order to find the non current leased liabilities based on ppe %, as GP is a telecom company with major assets components being leased. These PPE components are part of rights-of-use assets. </a:t>
          </a:r>
          <a:r>
            <a:rPr lang="en-US" sz="1200" i="1" baseline="0"/>
            <a:t>"</a:t>
          </a:r>
          <a:r>
            <a:rPr lang="en-US" sz="1200" i="1"/>
            <a:t>Grameenphone leases land, rooftop, office &amp; residential spaces, warehouse, tower infrastructure facilities and</a:t>
          </a:r>
          <a:r>
            <a:rPr lang="en-US" sz="1200" i="1" baseline="0"/>
            <a:t> ar</a:t>
          </a:r>
          <a:r>
            <a:rPr lang="en-US" sz="1200" i="1"/>
            <a:t>e optical network. Telecom licences and spectrums have also been chosen to consider as lease after implementation of IFRS 16. Information about leases for which Grameenphone is a lessee is presented below." </a:t>
          </a:r>
          <a:r>
            <a:rPr lang="en-US" sz="1200" i="0"/>
            <a:t>[GP</a:t>
          </a:r>
          <a:r>
            <a:rPr lang="en-US" sz="1200" i="0" baseline="0"/>
            <a:t> Annual Report Information]</a:t>
          </a:r>
          <a:endParaRPr lang="en-US" sz="1200" i="1" baseline="0"/>
        </a:p>
        <a:p>
          <a:endParaRPr lang="en-US" sz="1200"/>
        </a:p>
      </xdr:txBody>
    </xdr:sp>
    <xdr:clientData/>
  </xdr:twoCellAnchor>
  <xdr:twoCellAnchor>
    <xdr:from>
      <xdr:col>19</xdr:col>
      <xdr:colOff>297656</xdr:colOff>
      <xdr:row>15</xdr:row>
      <xdr:rowOff>0</xdr:rowOff>
    </xdr:from>
    <xdr:to>
      <xdr:col>20</xdr:col>
      <xdr:colOff>538955</xdr:colOff>
      <xdr:row>15</xdr:row>
      <xdr:rowOff>0</xdr:rowOff>
    </xdr:to>
    <xdr:cxnSp macro="">
      <xdr:nvCxnSpPr>
        <xdr:cNvPr id="21" name="Straight Arrow Connector 20">
          <a:extLst>
            <a:ext uri="{FF2B5EF4-FFF2-40B4-BE49-F238E27FC236}">
              <a16:creationId xmlns:a16="http://schemas.microsoft.com/office/drawing/2014/main" id="{3DB0E08B-9CB8-4FE3-A404-C6133B1FDB37}"/>
            </a:ext>
          </a:extLst>
        </xdr:cNvPr>
        <xdr:cNvCxnSpPr/>
      </xdr:nvCxnSpPr>
      <xdr:spPr>
        <a:xfrm>
          <a:off x="19890052" y="3227917"/>
          <a:ext cx="849841" cy="0"/>
        </a:xfrm>
        <a:prstGeom prst="straightConnector1">
          <a:avLst/>
        </a:prstGeom>
        <a:ln>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19843</xdr:colOff>
      <xdr:row>10</xdr:row>
      <xdr:rowOff>138905</xdr:rowOff>
    </xdr:from>
    <xdr:to>
      <xdr:col>29</xdr:col>
      <xdr:colOff>345514</xdr:colOff>
      <xdr:row>18</xdr:row>
      <xdr:rowOff>186764</xdr:rowOff>
    </xdr:to>
    <xdr:sp macro="" textlink="">
      <xdr:nvSpPr>
        <xdr:cNvPr id="22" name="TextBox 21">
          <a:extLst>
            <a:ext uri="{FF2B5EF4-FFF2-40B4-BE49-F238E27FC236}">
              <a16:creationId xmlns:a16="http://schemas.microsoft.com/office/drawing/2014/main" id="{F210B7AB-CE16-4809-ACD3-0D04B49C327B}"/>
            </a:ext>
          </a:extLst>
        </xdr:cNvPr>
        <xdr:cNvSpPr txBox="1"/>
      </xdr:nvSpPr>
      <xdr:spPr>
        <a:xfrm>
          <a:off x="21516461" y="2389420"/>
          <a:ext cx="5181553" cy="17380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mn-lt"/>
            </a:rPr>
            <a:t>The bottom-up implied revenue growth rates range from 3.03% to 5.57% over the forecast period, with the average closely aligned with the industry growth rate of 4.46%. Early-period growth remains below industry levels, while later-period growth reflects expected improvements in data monetization and value-added services, leading to modest outperformance of the industry average. Hence, bottom</a:t>
          </a:r>
          <a:r>
            <a:rPr lang="en-US" sz="1200" baseline="0">
              <a:latin typeface="+mn-lt"/>
            </a:rPr>
            <a:t> up approach rates have been taken into sales forecast. CAGR and Average growth rate is not an appropriate measure of sales due to its simplicity and no reflection of how revenue has been made. </a:t>
          </a:r>
          <a:endParaRPr lang="en-US" sz="1200">
            <a:latin typeface="+mn-lt"/>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84385</xdr:colOff>
      <xdr:row>21</xdr:row>
      <xdr:rowOff>125843</xdr:rowOff>
    </xdr:from>
    <xdr:to>
      <xdr:col>9</xdr:col>
      <xdr:colOff>531277</xdr:colOff>
      <xdr:row>21</xdr:row>
      <xdr:rowOff>132193</xdr:rowOff>
    </xdr:to>
    <xdr:cxnSp macro="">
      <xdr:nvCxnSpPr>
        <xdr:cNvPr id="3" name="Straight Arrow Connector 2">
          <a:extLst>
            <a:ext uri="{FF2B5EF4-FFF2-40B4-BE49-F238E27FC236}">
              <a16:creationId xmlns:a16="http://schemas.microsoft.com/office/drawing/2014/main" id="{1C09DD18-4997-A8FF-5DF7-E34F241ADB80}"/>
            </a:ext>
          </a:extLst>
        </xdr:cNvPr>
        <xdr:cNvCxnSpPr/>
      </xdr:nvCxnSpPr>
      <xdr:spPr>
        <a:xfrm flipV="1">
          <a:off x="12685424" y="3177142"/>
          <a:ext cx="1213840" cy="6350"/>
        </a:xfrm>
        <a:prstGeom prst="straightConnector1">
          <a:avLst/>
        </a:prstGeom>
        <a:ln>
          <a:solidFill>
            <a:schemeClr val="accent5">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34306</xdr:colOff>
      <xdr:row>14</xdr:row>
      <xdr:rowOff>63582</xdr:rowOff>
    </xdr:from>
    <xdr:to>
      <xdr:col>9</xdr:col>
      <xdr:colOff>481198</xdr:colOff>
      <xdr:row>14</xdr:row>
      <xdr:rowOff>69932</xdr:rowOff>
    </xdr:to>
    <xdr:cxnSp macro="">
      <xdr:nvCxnSpPr>
        <xdr:cNvPr id="5" name="Straight Arrow Connector 4">
          <a:extLst>
            <a:ext uri="{FF2B5EF4-FFF2-40B4-BE49-F238E27FC236}">
              <a16:creationId xmlns:a16="http://schemas.microsoft.com/office/drawing/2014/main" id="{E0F257E8-5219-4FB9-AA1F-5261B7F02A93}"/>
            </a:ext>
          </a:extLst>
        </xdr:cNvPr>
        <xdr:cNvCxnSpPr/>
      </xdr:nvCxnSpPr>
      <xdr:spPr>
        <a:xfrm flipV="1">
          <a:off x="12635345" y="1787153"/>
          <a:ext cx="1213840" cy="6350"/>
        </a:xfrm>
        <a:prstGeom prst="straightConnector1">
          <a:avLst/>
        </a:prstGeom>
        <a:ln>
          <a:solidFill>
            <a:schemeClr val="accent5">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578672</xdr:colOff>
      <xdr:row>13</xdr:row>
      <xdr:rowOff>112765</xdr:rowOff>
    </xdr:from>
    <xdr:to>
      <xdr:col>12</xdr:col>
      <xdr:colOff>1781298</xdr:colOff>
      <xdr:row>19</xdr:row>
      <xdr:rowOff>107209</xdr:rowOff>
    </xdr:to>
    <xdr:sp macro="" textlink="">
      <xdr:nvSpPr>
        <xdr:cNvPr id="6" name="TextBox 5">
          <a:extLst>
            <a:ext uri="{FF2B5EF4-FFF2-40B4-BE49-F238E27FC236}">
              <a16:creationId xmlns:a16="http://schemas.microsoft.com/office/drawing/2014/main" id="{F3B58D44-A919-4467-B094-ADAA60753A3F}"/>
            </a:ext>
          </a:extLst>
        </xdr:cNvPr>
        <xdr:cNvSpPr txBox="1"/>
      </xdr:nvSpPr>
      <xdr:spPr>
        <a:xfrm>
          <a:off x="13946659" y="1654908"/>
          <a:ext cx="3717886" cy="11324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Other operating</a:t>
          </a:r>
          <a:r>
            <a:rPr lang="en-US" sz="1100" baseline="0"/>
            <a:t> expenses/income and foreign exchange loss/gain is assumed to be CONSTANT. </a:t>
          </a:r>
        </a:p>
        <a:p>
          <a:r>
            <a:rPr lang="en-US" sz="1100"/>
            <a:t>2. This</a:t>
          </a:r>
          <a:r>
            <a:rPr lang="en-US" sz="1100" baseline="0"/>
            <a:t> also includes Interest Income of </a:t>
          </a:r>
          <a:r>
            <a:rPr lang="en-US" sz="1100">
              <a:solidFill>
                <a:schemeClr val="dk1"/>
              </a:solidFill>
              <a:effectLst/>
              <a:latin typeface="+mn-lt"/>
              <a:ea typeface="+mn-ea"/>
              <a:cs typeface="+mn-cs"/>
            </a:rPr>
            <a:t>715732000</a:t>
          </a:r>
          <a:r>
            <a:rPr lang="en-US" sz="1100" baseline="0">
              <a:solidFill>
                <a:schemeClr val="dk1"/>
              </a:solidFill>
              <a:effectLst/>
              <a:latin typeface="+mn-lt"/>
              <a:ea typeface="+mn-ea"/>
              <a:cs typeface="+mn-cs"/>
            </a:rPr>
            <a:t> BDT)</a:t>
          </a:r>
          <a:r>
            <a:rPr lang="en-US" sz="1100" baseline="0"/>
            <a:t>. </a:t>
          </a:r>
          <a:r>
            <a:rPr lang="en-US" sz="1100">
              <a:solidFill>
                <a:schemeClr val="dk1"/>
              </a:solidFill>
              <a:effectLst/>
              <a:latin typeface="+mn-lt"/>
              <a:ea typeface="+mn-ea"/>
              <a:cs typeface="+mn-cs"/>
            </a:rPr>
            <a:t>Interest Income</a:t>
          </a:r>
          <a:r>
            <a:rPr lang="en-US" sz="1100" baseline="0">
              <a:solidFill>
                <a:schemeClr val="dk1"/>
              </a:solidFill>
              <a:effectLst/>
              <a:latin typeface="+mn-lt"/>
              <a:ea typeface="+mn-ea"/>
              <a:cs typeface="+mn-cs"/>
            </a:rPr>
            <a:t> is assumed to be interest earned on cash &amp; marketable securities, which has been kept constant (low significance level from vertical analysis of income statement)</a:t>
          </a:r>
          <a:endParaRPr lang="en-US" sz="1100"/>
        </a:p>
        <a:p>
          <a:endParaRPr lang="en-US" sz="1100"/>
        </a:p>
      </xdr:txBody>
    </xdr:sp>
    <xdr:clientData/>
  </xdr:twoCellAnchor>
  <xdr:twoCellAnchor>
    <xdr:from>
      <xdr:col>9</xdr:col>
      <xdr:colOff>594075</xdr:colOff>
      <xdr:row>20</xdr:row>
      <xdr:rowOff>79067</xdr:rowOff>
    </xdr:from>
    <xdr:to>
      <xdr:col>12</xdr:col>
      <xdr:colOff>1620188</xdr:colOff>
      <xdr:row>23</xdr:row>
      <xdr:rowOff>153799</xdr:rowOff>
    </xdr:to>
    <xdr:sp macro="" textlink="">
      <xdr:nvSpPr>
        <xdr:cNvPr id="7" name="TextBox 6">
          <a:extLst>
            <a:ext uri="{FF2B5EF4-FFF2-40B4-BE49-F238E27FC236}">
              <a16:creationId xmlns:a16="http://schemas.microsoft.com/office/drawing/2014/main" id="{3032518A-C7D4-41C7-B819-3ADCC11DA3DB}"/>
            </a:ext>
          </a:extLst>
        </xdr:cNvPr>
        <xdr:cNvSpPr txBox="1"/>
      </xdr:nvSpPr>
      <xdr:spPr>
        <a:xfrm>
          <a:off x="13962062" y="2948937"/>
          <a:ext cx="3541373" cy="6190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Finance expenses/Income</a:t>
          </a:r>
          <a:r>
            <a:rPr lang="en-US" sz="1100" baseline="0"/>
            <a:t> components have been mentioned separately. Other than interest for loans, all other factors are CONSTANT.</a:t>
          </a:r>
          <a:endParaRPr lang="en-US" sz="1100"/>
        </a:p>
      </xdr:txBody>
    </xdr:sp>
    <xdr:clientData/>
  </xdr:twoCellAnchor>
  <xdr:twoCellAnchor>
    <xdr:from>
      <xdr:col>8</xdr:col>
      <xdr:colOff>138925</xdr:colOff>
      <xdr:row>56</xdr:row>
      <xdr:rowOff>151963</xdr:rowOff>
    </xdr:from>
    <xdr:to>
      <xdr:col>9</xdr:col>
      <xdr:colOff>737529</xdr:colOff>
      <xdr:row>56</xdr:row>
      <xdr:rowOff>158313</xdr:rowOff>
    </xdr:to>
    <xdr:cxnSp macro="">
      <xdr:nvCxnSpPr>
        <xdr:cNvPr id="8" name="Straight Arrow Connector 7">
          <a:extLst>
            <a:ext uri="{FF2B5EF4-FFF2-40B4-BE49-F238E27FC236}">
              <a16:creationId xmlns:a16="http://schemas.microsoft.com/office/drawing/2014/main" id="{83040A65-5A57-4BC6-8A7C-50B9F84D828F}"/>
            </a:ext>
          </a:extLst>
        </xdr:cNvPr>
        <xdr:cNvCxnSpPr/>
      </xdr:nvCxnSpPr>
      <xdr:spPr>
        <a:xfrm flipV="1">
          <a:off x="12717633" y="9006289"/>
          <a:ext cx="1369166" cy="6350"/>
        </a:xfrm>
        <a:prstGeom prst="straightConnector1">
          <a:avLst/>
        </a:prstGeom>
        <a:ln>
          <a:solidFill>
            <a:schemeClr val="accent5">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864241</xdr:colOff>
      <xdr:row>52</xdr:row>
      <xdr:rowOff>185067</xdr:rowOff>
    </xdr:from>
    <xdr:to>
      <xdr:col>12</xdr:col>
      <xdr:colOff>1897866</xdr:colOff>
      <xdr:row>59</xdr:row>
      <xdr:rowOff>0</xdr:rowOff>
    </xdr:to>
    <xdr:sp macro="" textlink="">
      <xdr:nvSpPr>
        <xdr:cNvPr id="9" name="TextBox 8">
          <a:extLst>
            <a:ext uri="{FF2B5EF4-FFF2-40B4-BE49-F238E27FC236}">
              <a16:creationId xmlns:a16="http://schemas.microsoft.com/office/drawing/2014/main" id="{46482DAB-6F35-4282-AC96-06C67F98F8DF}"/>
            </a:ext>
          </a:extLst>
        </xdr:cNvPr>
        <xdr:cNvSpPr txBox="1"/>
      </xdr:nvSpPr>
      <xdr:spPr>
        <a:xfrm>
          <a:off x="14213511" y="8668382"/>
          <a:ext cx="3545085" cy="8066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Cash is adjusted as the balancing figure in the pro-forma balance sheet to ensure Assets equal Liabilities and Equity, reflecting surplus funds generated after financing operating assets.</a:t>
          </a:r>
          <a:endParaRPr lang="en-US" sz="1100"/>
        </a:p>
      </xdr:txBody>
    </xdr:sp>
    <xdr:clientData/>
  </xdr:twoCellAnchor>
  <xdr:twoCellAnchor>
    <xdr:from>
      <xdr:col>8</xdr:col>
      <xdr:colOff>95869</xdr:colOff>
      <xdr:row>45</xdr:row>
      <xdr:rowOff>129249</xdr:rowOff>
    </xdr:from>
    <xdr:to>
      <xdr:col>9</xdr:col>
      <xdr:colOff>394318</xdr:colOff>
      <xdr:row>45</xdr:row>
      <xdr:rowOff>135599</xdr:rowOff>
    </xdr:to>
    <xdr:cxnSp macro="">
      <xdr:nvCxnSpPr>
        <xdr:cNvPr id="10" name="Straight Arrow Connector 9">
          <a:extLst>
            <a:ext uri="{FF2B5EF4-FFF2-40B4-BE49-F238E27FC236}">
              <a16:creationId xmlns:a16="http://schemas.microsoft.com/office/drawing/2014/main" id="{BC0F1464-252D-4BCF-80E8-6F71C72A943C}"/>
            </a:ext>
          </a:extLst>
        </xdr:cNvPr>
        <xdr:cNvCxnSpPr/>
      </xdr:nvCxnSpPr>
      <xdr:spPr>
        <a:xfrm flipV="1">
          <a:off x="12674577" y="7314024"/>
          <a:ext cx="1069011" cy="6350"/>
        </a:xfrm>
        <a:prstGeom prst="straightConnector1">
          <a:avLst/>
        </a:prstGeom>
        <a:ln>
          <a:solidFill>
            <a:schemeClr val="accent5">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489022</xdr:colOff>
      <xdr:row>42</xdr:row>
      <xdr:rowOff>160575</xdr:rowOff>
    </xdr:from>
    <xdr:to>
      <xdr:col>13</xdr:col>
      <xdr:colOff>14269</xdr:colOff>
      <xdr:row>48</xdr:row>
      <xdr:rowOff>35674</xdr:rowOff>
    </xdr:to>
    <xdr:sp macro="" textlink="">
      <xdr:nvSpPr>
        <xdr:cNvPr id="11" name="TextBox 10">
          <a:extLst>
            <a:ext uri="{FF2B5EF4-FFF2-40B4-BE49-F238E27FC236}">
              <a16:creationId xmlns:a16="http://schemas.microsoft.com/office/drawing/2014/main" id="{9063EAA9-8AF3-46F5-98A6-FC6C36069503}"/>
            </a:ext>
          </a:extLst>
        </xdr:cNvPr>
        <xdr:cNvSpPr txBox="1"/>
      </xdr:nvSpPr>
      <xdr:spPr>
        <a:xfrm>
          <a:off x="13838292" y="6974339"/>
          <a:ext cx="4398337" cy="8026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Gross</a:t>
          </a:r>
          <a:r>
            <a:rPr lang="en-US" sz="1100" baseline="0"/>
            <a:t> PPE and Depreciation had been creating an error in referencing, hence the summation of Net PPE and Accumulated Depreciation has been calculated on another row and only the value is shown in the Gross PPE section (hidden)</a:t>
          </a:r>
          <a:endParaRPr lang="en-US" sz="1100"/>
        </a:p>
      </xdr:txBody>
    </xdr:sp>
    <xdr:clientData/>
  </xdr:twoCellAnchor>
  <xdr:twoCellAnchor>
    <xdr:from>
      <xdr:col>8</xdr:col>
      <xdr:colOff>140975</xdr:colOff>
      <xdr:row>51</xdr:row>
      <xdr:rowOff>72498</xdr:rowOff>
    </xdr:from>
    <xdr:to>
      <xdr:col>9</xdr:col>
      <xdr:colOff>439424</xdr:colOff>
      <xdr:row>51</xdr:row>
      <xdr:rowOff>78848</xdr:rowOff>
    </xdr:to>
    <xdr:cxnSp macro="">
      <xdr:nvCxnSpPr>
        <xdr:cNvPr id="12" name="Straight Arrow Connector 11">
          <a:extLst>
            <a:ext uri="{FF2B5EF4-FFF2-40B4-BE49-F238E27FC236}">
              <a16:creationId xmlns:a16="http://schemas.microsoft.com/office/drawing/2014/main" id="{33E0F29F-8521-4649-B0BB-88C4E7BE16D3}"/>
            </a:ext>
          </a:extLst>
        </xdr:cNvPr>
        <xdr:cNvCxnSpPr/>
      </xdr:nvCxnSpPr>
      <xdr:spPr>
        <a:xfrm flipV="1">
          <a:off x="12719683" y="8370307"/>
          <a:ext cx="1069011" cy="6350"/>
        </a:xfrm>
        <a:prstGeom prst="straightConnector1">
          <a:avLst/>
        </a:prstGeom>
        <a:ln>
          <a:solidFill>
            <a:schemeClr val="accent5">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539181</xdr:colOff>
      <xdr:row>49</xdr:row>
      <xdr:rowOff>122108</xdr:rowOff>
    </xdr:from>
    <xdr:to>
      <xdr:col>12</xdr:col>
      <xdr:colOff>28540</xdr:colOff>
      <xdr:row>52</xdr:row>
      <xdr:rowOff>28539</xdr:rowOff>
    </xdr:to>
    <xdr:sp macro="" textlink="">
      <xdr:nvSpPr>
        <xdr:cNvPr id="13" name="TextBox 12">
          <a:extLst>
            <a:ext uri="{FF2B5EF4-FFF2-40B4-BE49-F238E27FC236}">
              <a16:creationId xmlns:a16="http://schemas.microsoft.com/office/drawing/2014/main" id="{93C60467-723E-4837-B661-8C9B5B2C25EC}"/>
            </a:ext>
          </a:extLst>
        </xdr:cNvPr>
        <xdr:cNvSpPr txBox="1"/>
      </xdr:nvSpPr>
      <xdr:spPr>
        <a:xfrm>
          <a:off x="13888451" y="8048906"/>
          <a:ext cx="2000819" cy="4629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Other components of</a:t>
          </a:r>
          <a:r>
            <a:rPr lang="en-US" sz="1100" baseline="0"/>
            <a:t> the non-current assets are CONSTANT.</a:t>
          </a:r>
          <a:endParaRPr lang="en-US" sz="1100"/>
        </a:p>
      </xdr:txBody>
    </xdr:sp>
    <xdr:clientData/>
  </xdr:twoCellAnchor>
  <xdr:twoCellAnchor>
    <xdr:from>
      <xdr:col>8</xdr:col>
      <xdr:colOff>260596</xdr:colOff>
      <xdr:row>85</xdr:row>
      <xdr:rowOff>128427</xdr:rowOff>
    </xdr:from>
    <xdr:to>
      <xdr:col>9</xdr:col>
      <xdr:colOff>285393</xdr:colOff>
      <xdr:row>85</xdr:row>
      <xdr:rowOff>138249</xdr:rowOff>
    </xdr:to>
    <xdr:cxnSp macro="">
      <xdr:nvCxnSpPr>
        <xdr:cNvPr id="2" name="Straight Arrow Connector 1">
          <a:extLst>
            <a:ext uri="{FF2B5EF4-FFF2-40B4-BE49-F238E27FC236}">
              <a16:creationId xmlns:a16="http://schemas.microsoft.com/office/drawing/2014/main" id="{8CA8F3D1-2DDC-4AEB-96E4-48BF0C5BC258}"/>
            </a:ext>
          </a:extLst>
        </xdr:cNvPr>
        <xdr:cNvCxnSpPr/>
      </xdr:nvCxnSpPr>
      <xdr:spPr>
        <a:xfrm flipV="1">
          <a:off x="12839304" y="13206573"/>
          <a:ext cx="795359" cy="9822"/>
        </a:xfrm>
        <a:prstGeom prst="straightConnector1">
          <a:avLst/>
        </a:prstGeom>
        <a:ln>
          <a:solidFill>
            <a:schemeClr val="accent5">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241139</xdr:colOff>
      <xdr:row>36</xdr:row>
      <xdr:rowOff>160760</xdr:rowOff>
    </xdr:from>
    <xdr:to>
      <xdr:col>9</xdr:col>
      <xdr:colOff>539589</xdr:colOff>
      <xdr:row>36</xdr:row>
      <xdr:rowOff>167110</xdr:rowOff>
    </xdr:to>
    <xdr:cxnSp macro="">
      <xdr:nvCxnSpPr>
        <xdr:cNvPr id="4" name="Straight Arrow Connector 3">
          <a:extLst>
            <a:ext uri="{FF2B5EF4-FFF2-40B4-BE49-F238E27FC236}">
              <a16:creationId xmlns:a16="http://schemas.microsoft.com/office/drawing/2014/main" id="{B6C1B0B2-B445-4B1B-9288-CCCE32ED82ED}"/>
            </a:ext>
          </a:extLst>
        </xdr:cNvPr>
        <xdr:cNvCxnSpPr/>
      </xdr:nvCxnSpPr>
      <xdr:spPr>
        <a:xfrm flipV="1">
          <a:off x="11036139" y="5473861"/>
          <a:ext cx="909336" cy="6350"/>
        </a:xfrm>
        <a:prstGeom prst="straightConnector1">
          <a:avLst/>
        </a:prstGeom>
        <a:ln>
          <a:solidFill>
            <a:schemeClr val="accent5">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577171</xdr:colOff>
      <xdr:row>32</xdr:row>
      <xdr:rowOff>85043</xdr:rowOff>
    </xdr:from>
    <xdr:to>
      <xdr:col>12</xdr:col>
      <xdr:colOff>1043215</xdr:colOff>
      <xdr:row>38</xdr:row>
      <xdr:rowOff>60475</xdr:rowOff>
    </xdr:to>
    <xdr:sp macro="" textlink="">
      <xdr:nvSpPr>
        <xdr:cNvPr id="14" name="TextBox 13">
          <a:extLst>
            <a:ext uri="{FF2B5EF4-FFF2-40B4-BE49-F238E27FC236}">
              <a16:creationId xmlns:a16="http://schemas.microsoft.com/office/drawing/2014/main" id="{CF102AC1-63C0-4BF7-9112-BA189B2CFCA6}"/>
            </a:ext>
          </a:extLst>
        </xdr:cNvPr>
        <xdr:cNvSpPr txBox="1"/>
      </xdr:nvSpPr>
      <xdr:spPr>
        <a:xfrm>
          <a:off x="13942409" y="5134805"/>
          <a:ext cx="2983366" cy="882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Earnings</a:t>
          </a:r>
          <a:r>
            <a:rPr lang="en-US" sz="1100" baseline="0"/>
            <a:t> per share = Net Income / Share Capital (adjusted for 000 figures)</a:t>
          </a:r>
          <a:endParaRPr lang="en-US" sz="1100"/>
        </a:p>
        <a:p>
          <a:r>
            <a:rPr lang="en-US" sz="1100"/>
            <a:t>2. Dividend</a:t>
          </a:r>
          <a:r>
            <a:rPr lang="en-US" sz="1100" baseline="0"/>
            <a:t> payout ratio has been calculated to find the annual retained earnings </a:t>
          </a:r>
        </a:p>
        <a:p>
          <a:endParaRPr lang="en-US" sz="1100"/>
        </a:p>
      </xdr:txBody>
    </xdr:sp>
    <xdr:clientData/>
  </xdr:twoCellAnchor>
  <xdr:twoCellAnchor>
    <xdr:from>
      <xdr:col>18</xdr:col>
      <xdr:colOff>29624</xdr:colOff>
      <xdr:row>18</xdr:row>
      <xdr:rowOff>154504</xdr:rowOff>
    </xdr:from>
    <xdr:to>
      <xdr:col>19</xdr:col>
      <xdr:colOff>1149865</xdr:colOff>
      <xdr:row>18</xdr:row>
      <xdr:rowOff>171622</xdr:rowOff>
    </xdr:to>
    <xdr:cxnSp macro="">
      <xdr:nvCxnSpPr>
        <xdr:cNvPr id="15" name="Straight Arrow Connector 14">
          <a:extLst>
            <a:ext uri="{FF2B5EF4-FFF2-40B4-BE49-F238E27FC236}">
              <a16:creationId xmlns:a16="http://schemas.microsoft.com/office/drawing/2014/main" id="{FF965FC0-A678-4AF0-9A45-A5744647EA98}"/>
            </a:ext>
          </a:extLst>
        </xdr:cNvPr>
        <xdr:cNvCxnSpPr/>
      </xdr:nvCxnSpPr>
      <xdr:spPr>
        <a:xfrm>
          <a:off x="23799219" y="2634436"/>
          <a:ext cx="1729497" cy="17118"/>
        </a:xfrm>
        <a:prstGeom prst="straightConnector1">
          <a:avLst/>
        </a:prstGeom>
        <a:ln>
          <a:solidFill>
            <a:schemeClr val="accent5">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164452</xdr:colOff>
      <xdr:row>69</xdr:row>
      <xdr:rowOff>160489</xdr:rowOff>
    </xdr:from>
    <xdr:to>
      <xdr:col>9</xdr:col>
      <xdr:colOff>763056</xdr:colOff>
      <xdr:row>69</xdr:row>
      <xdr:rowOff>166839</xdr:rowOff>
    </xdr:to>
    <xdr:cxnSp macro="">
      <xdr:nvCxnSpPr>
        <xdr:cNvPr id="16" name="Straight Arrow Connector 15">
          <a:extLst>
            <a:ext uri="{FF2B5EF4-FFF2-40B4-BE49-F238E27FC236}">
              <a16:creationId xmlns:a16="http://schemas.microsoft.com/office/drawing/2014/main" id="{97FBC780-7E48-4822-A186-FCCF5AC2CD07}"/>
            </a:ext>
          </a:extLst>
        </xdr:cNvPr>
        <xdr:cNvCxnSpPr/>
      </xdr:nvCxnSpPr>
      <xdr:spPr>
        <a:xfrm flipV="1">
          <a:off x="12743160" y="11490601"/>
          <a:ext cx="1369166" cy="6350"/>
        </a:xfrm>
        <a:prstGeom prst="straightConnector1">
          <a:avLst/>
        </a:prstGeom>
        <a:ln>
          <a:solidFill>
            <a:schemeClr val="accent5">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214416</xdr:colOff>
      <xdr:row>5</xdr:row>
      <xdr:rowOff>105310</xdr:rowOff>
    </xdr:from>
    <xdr:to>
      <xdr:col>9</xdr:col>
      <xdr:colOff>239156</xdr:colOff>
      <xdr:row>5</xdr:row>
      <xdr:rowOff>123701</xdr:rowOff>
    </xdr:to>
    <xdr:cxnSp macro="">
      <xdr:nvCxnSpPr>
        <xdr:cNvPr id="18" name="Straight Arrow Connector 17">
          <a:extLst>
            <a:ext uri="{FF2B5EF4-FFF2-40B4-BE49-F238E27FC236}">
              <a16:creationId xmlns:a16="http://schemas.microsoft.com/office/drawing/2014/main" id="{C8AE2829-A516-4715-AC9E-6F3FBA4213D2}"/>
            </a:ext>
          </a:extLst>
        </xdr:cNvPr>
        <xdr:cNvCxnSpPr/>
      </xdr:nvCxnSpPr>
      <xdr:spPr>
        <a:xfrm>
          <a:off x="12815455" y="649596"/>
          <a:ext cx="791688" cy="18391"/>
        </a:xfrm>
        <a:prstGeom prst="straightConnector1">
          <a:avLst/>
        </a:prstGeom>
        <a:ln>
          <a:solidFill>
            <a:schemeClr val="accent5">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285417</xdr:colOff>
      <xdr:row>1</xdr:row>
      <xdr:rowOff>84286</xdr:rowOff>
    </xdr:from>
    <xdr:to>
      <xdr:col>12</xdr:col>
      <xdr:colOff>1401949</xdr:colOff>
      <xdr:row>10</xdr:row>
      <xdr:rowOff>8247</xdr:rowOff>
    </xdr:to>
    <xdr:sp macro="" textlink="">
      <xdr:nvSpPr>
        <xdr:cNvPr id="20" name="TextBox 19">
          <a:extLst>
            <a:ext uri="{FF2B5EF4-FFF2-40B4-BE49-F238E27FC236}">
              <a16:creationId xmlns:a16="http://schemas.microsoft.com/office/drawing/2014/main" id="{A77A87A3-B1D3-4F2B-8173-5B546F5C00DD}"/>
            </a:ext>
          </a:extLst>
        </xdr:cNvPr>
        <xdr:cNvSpPr txBox="1"/>
      </xdr:nvSpPr>
      <xdr:spPr>
        <a:xfrm>
          <a:off x="13653404" y="265715"/>
          <a:ext cx="3631792" cy="649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Cost of material and traffic charges </a:t>
          </a:r>
          <a:r>
            <a:rPr lang="en-US" sz="1100" baseline="0"/>
            <a:t>and </a:t>
          </a:r>
          <a:r>
            <a:rPr lang="en-US" sz="1100" b="1" baseline="0"/>
            <a:t>Revenue sharing, spectrum charges and licence fees </a:t>
          </a:r>
          <a:r>
            <a:rPr lang="en-US" sz="1100" b="0" baseline="0"/>
            <a:t>is considered to be Cost of Goods Sold for GP</a:t>
          </a:r>
          <a:endParaRPr lang="en-US" sz="1100" b="1" baseline="0"/>
        </a:p>
        <a:p>
          <a:endParaRPr lang="en-US" sz="1100"/>
        </a:p>
        <a:p>
          <a:endParaRPr lang="en-US" sz="1100"/>
        </a:p>
      </xdr:txBody>
    </xdr:sp>
    <xdr:clientData/>
  </xdr:twoCellAnchor>
  <xdr:twoCellAnchor>
    <xdr:from>
      <xdr:col>8</xdr:col>
      <xdr:colOff>65974</xdr:colOff>
      <xdr:row>12</xdr:row>
      <xdr:rowOff>16494</xdr:rowOff>
    </xdr:from>
    <xdr:to>
      <xdr:col>9</xdr:col>
      <xdr:colOff>107208</xdr:colOff>
      <xdr:row>12</xdr:row>
      <xdr:rowOff>16494</xdr:rowOff>
    </xdr:to>
    <xdr:cxnSp macro="">
      <xdr:nvCxnSpPr>
        <xdr:cNvPr id="21" name="Straight Arrow Connector 20">
          <a:extLst>
            <a:ext uri="{FF2B5EF4-FFF2-40B4-BE49-F238E27FC236}">
              <a16:creationId xmlns:a16="http://schemas.microsoft.com/office/drawing/2014/main" id="{D423C779-C41F-4516-99BF-7997812781E8}"/>
            </a:ext>
          </a:extLst>
        </xdr:cNvPr>
        <xdr:cNvCxnSpPr/>
      </xdr:nvCxnSpPr>
      <xdr:spPr>
        <a:xfrm>
          <a:off x="12667013" y="1377208"/>
          <a:ext cx="808182" cy="0"/>
        </a:xfrm>
        <a:prstGeom prst="straightConnector1">
          <a:avLst/>
        </a:prstGeom>
        <a:ln>
          <a:solidFill>
            <a:schemeClr val="accent5">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255649</xdr:colOff>
      <xdr:row>10</xdr:row>
      <xdr:rowOff>222662</xdr:rowOff>
    </xdr:from>
    <xdr:to>
      <xdr:col>12</xdr:col>
      <xdr:colOff>82467</xdr:colOff>
      <xdr:row>13</xdr:row>
      <xdr:rowOff>49480</xdr:rowOff>
    </xdr:to>
    <xdr:sp macro="" textlink="">
      <xdr:nvSpPr>
        <xdr:cNvPr id="23" name="TextBox 22">
          <a:extLst>
            <a:ext uri="{FF2B5EF4-FFF2-40B4-BE49-F238E27FC236}">
              <a16:creationId xmlns:a16="http://schemas.microsoft.com/office/drawing/2014/main" id="{9AF6890D-C3ED-4234-A77D-819FDA1FC528}"/>
            </a:ext>
          </a:extLst>
        </xdr:cNvPr>
        <xdr:cNvSpPr txBox="1"/>
      </xdr:nvSpPr>
      <xdr:spPr>
        <a:xfrm>
          <a:off x="13623636" y="1129805"/>
          <a:ext cx="2342078" cy="4618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baseline="0"/>
            <a:t>Depreciation for the year changes and ammortizations remains constant</a:t>
          </a:r>
        </a:p>
        <a:p>
          <a:endParaRPr lang="en-US" sz="1100" b="0"/>
        </a:p>
        <a:p>
          <a:endParaRPr lang="en-US" sz="1100" b="0"/>
        </a:p>
      </xdr:txBody>
    </xdr:sp>
    <xdr:clientData/>
  </xdr:twoCellAnchor>
  <xdr:twoCellAnchor>
    <xdr:from>
      <xdr:col>9</xdr:col>
      <xdr:colOff>834776</xdr:colOff>
      <xdr:row>67</xdr:row>
      <xdr:rowOff>7135</xdr:rowOff>
    </xdr:from>
    <xdr:to>
      <xdr:col>12</xdr:col>
      <xdr:colOff>1676686</xdr:colOff>
      <xdr:row>71</xdr:row>
      <xdr:rowOff>85618</xdr:rowOff>
    </xdr:to>
    <xdr:sp macro="" textlink="">
      <xdr:nvSpPr>
        <xdr:cNvPr id="24" name="TextBox 23">
          <a:extLst>
            <a:ext uri="{FF2B5EF4-FFF2-40B4-BE49-F238E27FC236}">
              <a16:creationId xmlns:a16="http://schemas.microsoft.com/office/drawing/2014/main" id="{6992AF7D-1334-2907-C03D-5DB1476FFD39}"/>
            </a:ext>
          </a:extLst>
        </xdr:cNvPr>
        <xdr:cNvSpPr txBox="1"/>
      </xdr:nvSpPr>
      <xdr:spPr>
        <a:xfrm>
          <a:off x="14184046" y="10966236"/>
          <a:ext cx="3353370" cy="8205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Based</a:t>
          </a:r>
          <a:r>
            <a:rPr lang="en-US" sz="1100" baseline="0"/>
            <a:t> on the weights derived from the leased PPE assets, the weights have been assigned to the net ppe forecast to find the segmented lease liability. The summation is total leased liability. </a:t>
          </a:r>
          <a:endParaRPr lang="en-US" sz="1100"/>
        </a:p>
      </xdr:txBody>
    </xdr:sp>
    <xdr:clientData/>
  </xdr:twoCellAnchor>
  <xdr:twoCellAnchor>
    <xdr:from>
      <xdr:col>9</xdr:col>
      <xdr:colOff>606460</xdr:colOff>
      <xdr:row>76</xdr:row>
      <xdr:rowOff>142696</xdr:rowOff>
    </xdr:from>
    <xdr:to>
      <xdr:col>12</xdr:col>
      <xdr:colOff>85618</xdr:colOff>
      <xdr:row>86</xdr:row>
      <xdr:rowOff>199775</xdr:rowOff>
    </xdr:to>
    <xdr:sp macro="" textlink="">
      <xdr:nvSpPr>
        <xdr:cNvPr id="26" name="TextBox 25">
          <a:extLst>
            <a:ext uri="{FF2B5EF4-FFF2-40B4-BE49-F238E27FC236}">
              <a16:creationId xmlns:a16="http://schemas.microsoft.com/office/drawing/2014/main" id="{C144A4AA-C330-1B36-EB3A-4BDCC21B2994}"/>
            </a:ext>
          </a:extLst>
        </xdr:cNvPr>
        <xdr:cNvSpPr txBox="1"/>
      </xdr:nvSpPr>
      <xdr:spPr>
        <a:xfrm>
          <a:off x="13955730" y="12849831"/>
          <a:ext cx="1990618" cy="6207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Debt has been kept constant over the years,</a:t>
          </a:r>
          <a:r>
            <a:rPr lang="en-US" sz="1100" baseline="0"/>
            <a:t> and not letting it lower. </a:t>
          </a:r>
          <a:endParaRPr lang="en-US" sz="1100"/>
        </a:p>
      </xdr:txBody>
    </xdr:sp>
    <xdr:clientData/>
  </xdr:twoCellAnchor>
  <xdr:twoCellAnchor>
    <xdr:from>
      <xdr:col>8</xdr:col>
      <xdr:colOff>120953</xdr:colOff>
      <xdr:row>35</xdr:row>
      <xdr:rowOff>37797</xdr:rowOff>
    </xdr:from>
    <xdr:to>
      <xdr:col>9</xdr:col>
      <xdr:colOff>419402</xdr:colOff>
      <xdr:row>35</xdr:row>
      <xdr:rowOff>44147</xdr:rowOff>
    </xdr:to>
    <xdr:cxnSp macro="">
      <xdr:nvCxnSpPr>
        <xdr:cNvPr id="27" name="Straight Arrow Connector 26">
          <a:extLst>
            <a:ext uri="{FF2B5EF4-FFF2-40B4-BE49-F238E27FC236}">
              <a16:creationId xmlns:a16="http://schemas.microsoft.com/office/drawing/2014/main" id="{6EF6FB5D-287D-44C0-ABFA-565C995C6790}"/>
            </a:ext>
          </a:extLst>
        </xdr:cNvPr>
        <xdr:cNvCxnSpPr/>
      </xdr:nvCxnSpPr>
      <xdr:spPr>
        <a:xfrm flipV="1">
          <a:off x="12715120" y="5631845"/>
          <a:ext cx="1069520" cy="6350"/>
        </a:xfrm>
        <a:prstGeom prst="straightConnector1">
          <a:avLst/>
        </a:prstGeom>
        <a:ln>
          <a:solidFill>
            <a:schemeClr val="accent5">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149412</xdr:colOff>
      <xdr:row>26</xdr:row>
      <xdr:rowOff>112059</xdr:rowOff>
    </xdr:from>
    <xdr:to>
      <xdr:col>4</xdr:col>
      <xdr:colOff>961839</xdr:colOff>
      <xdr:row>26</xdr:row>
      <xdr:rowOff>112059</xdr:rowOff>
    </xdr:to>
    <xdr:cxnSp macro="">
      <xdr:nvCxnSpPr>
        <xdr:cNvPr id="3" name="Straight Arrow Connector 2">
          <a:extLst>
            <a:ext uri="{FF2B5EF4-FFF2-40B4-BE49-F238E27FC236}">
              <a16:creationId xmlns:a16="http://schemas.microsoft.com/office/drawing/2014/main" id="{167E97E3-2660-714F-04AD-936284703C62}"/>
            </a:ext>
          </a:extLst>
        </xdr:cNvPr>
        <xdr:cNvCxnSpPr/>
      </xdr:nvCxnSpPr>
      <xdr:spPr>
        <a:xfrm>
          <a:off x="7153088" y="5406838"/>
          <a:ext cx="812427"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1111251</xdr:colOff>
      <xdr:row>25</xdr:row>
      <xdr:rowOff>168088</xdr:rowOff>
    </xdr:from>
    <xdr:to>
      <xdr:col>6</xdr:col>
      <xdr:colOff>831102</xdr:colOff>
      <xdr:row>27</xdr:row>
      <xdr:rowOff>28015</xdr:rowOff>
    </xdr:to>
    <xdr:sp macro="" textlink="">
      <xdr:nvSpPr>
        <xdr:cNvPr id="4" name="TextBox 3">
          <a:extLst>
            <a:ext uri="{FF2B5EF4-FFF2-40B4-BE49-F238E27FC236}">
              <a16:creationId xmlns:a16="http://schemas.microsoft.com/office/drawing/2014/main" id="{AF116A27-5A22-B513-5A05-24044B9E84D4}"/>
            </a:ext>
          </a:extLst>
        </xdr:cNvPr>
        <xdr:cNvSpPr txBox="1"/>
      </xdr:nvSpPr>
      <xdr:spPr>
        <a:xfrm>
          <a:off x="8114927" y="5266764"/>
          <a:ext cx="2633381" cy="252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Growth</a:t>
          </a:r>
          <a:r>
            <a:rPr lang="en-US" sz="1100" baseline="0"/>
            <a:t> rate &lt; GDP growth rate considered</a:t>
          </a:r>
        </a:p>
        <a:p>
          <a:endParaRPr lang="en-US" sz="1100" baseline="0"/>
        </a:p>
        <a:p>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71437</xdr:colOff>
      <xdr:row>4</xdr:row>
      <xdr:rowOff>39688</xdr:rowOff>
    </xdr:from>
    <xdr:to>
      <xdr:col>3</xdr:col>
      <xdr:colOff>627062</xdr:colOff>
      <xdr:row>5</xdr:row>
      <xdr:rowOff>63500</xdr:rowOff>
    </xdr:to>
    <xdr:sp macro="" textlink="">
      <xdr:nvSpPr>
        <xdr:cNvPr id="2" name="TextBox 1">
          <a:extLst>
            <a:ext uri="{FF2B5EF4-FFF2-40B4-BE49-F238E27FC236}">
              <a16:creationId xmlns:a16="http://schemas.microsoft.com/office/drawing/2014/main" id="{77F8A5B1-A4BD-4F69-9439-9F94B4601F6C}"/>
            </a:ext>
          </a:extLst>
        </xdr:cNvPr>
        <xdr:cNvSpPr txBox="1"/>
      </xdr:nvSpPr>
      <xdr:spPr>
        <a:xfrm>
          <a:off x="2547937" y="1062038"/>
          <a:ext cx="1831975" cy="2206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Market</a:t>
          </a:r>
          <a:r>
            <a:rPr lang="en-US" sz="1100" baseline="0"/>
            <a:t> Price: </a:t>
          </a:r>
          <a:r>
            <a:rPr lang="en-US" sz="1100"/>
            <a:t>01-02-2026</a:t>
          </a:r>
        </a:p>
      </xdr:txBody>
    </xdr:sp>
    <xdr:clientData/>
  </xdr:twoCellAnchor>
  <xdr:twoCellAnchor>
    <xdr:from>
      <xdr:col>13</xdr:col>
      <xdr:colOff>266700</xdr:colOff>
      <xdr:row>12</xdr:row>
      <xdr:rowOff>171449</xdr:rowOff>
    </xdr:from>
    <xdr:to>
      <xdr:col>19</xdr:col>
      <xdr:colOff>495300</xdr:colOff>
      <xdr:row>25</xdr:row>
      <xdr:rowOff>114300</xdr:rowOff>
    </xdr:to>
    <xdr:graphicFrame macro="">
      <xdr:nvGraphicFramePr>
        <xdr:cNvPr id="3" name="Chart 2">
          <a:extLst>
            <a:ext uri="{FF2B5EF4-FFF2-40B4-BE49-F238E27FC236}">
              <a16:creationId xmlns:a16="http://schemas.microsoft.com/office/drawing/2014/main" id="{5807818F-E624-4E94-9365-492A78EAB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200025</xdr:colOff>
      <xdr:row>12</xdr:row>
      <xdr:rowOff>200025</xdr:rowOff>
    </xdr:from>
    <xdr:to>
      <xdr:col>27</xdr:col>
      <xdr:colOff>542925</xdr:colOff>
      <xdr:row>25</xdr:row>
      <xdr:rowOff>95250</xdr:rowOff>
    </xdr:to>
    <xdr:graphicFrame macro="">
      <xdr:nvGraphicFramePr>
        <xdr:cNvPr id="4" name="Chart 3">
          <a:extLst>
            <a:ext uri="{FF2B5EF4-FFF2-40B4-BE49-F238E27FC236}">
              <a16:creationId xmlns:a16="http://schemas.microsoft.com/office/drawing/2014/main" id="{CC88287B-6E59-4AB0-AECA-81246DE49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257175</xdr:colOff>
      <xdr:row>0</xdr:row>
      <xdr:rowOff>76200</xdr:rowOff>
    </xdr:from>
    <xdr:to>
      <xdr:col>19</xdr:col>
      <xdr:colOff>485775</xdr:colOff>
      <xdr:row>12</xdr:row>
      <xdr:rowOff>38100</xdr:rowOff>
    </xdr:to>
    <xdr:graphicFrame macro="">
      <xdr:nvGraphicFramePr>
        <xdr:cNvPr id="5" name="Chart 4">
          <a:extLst>
            <a:ext uri="{FF2B5EF4-FFF2-40B4-BE49-F238E27FC236}">
              <a16:creationId xmlns:a16="http://schemas.microsoft.com/office/drawing/2014/main" id="{CA93A16D-C346-4BE4-BE59-69334B684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190499</xdr:colOff>
      <xdr:row>0</xdr:row>
      <xdr:rowOff>76200</xdr:rowOff>
    </xdr:from>
    <xdr:to>
      <xdr:col>27</xdr:col>
      <xdr:colOff>523874</xdr:colOff>
      <xdr:row>12</xdr:row>
      <xdr:rowOff>57150</xdr:rowOff>
    </xdr:to>
    <xdr:graphicFrame macro="">
      <xdr:nvGraphicFramePr>
        <xdr:cNvPr id="6" name="Chart 5">
          <a:extLst>
            <a:ext uri="{FF2B5EF4-FFF2-40B4-BE49-F238E27FC236}">
              <a16:creationId xmlns:a16="http://schemas.microsoft.com/office/drawing/2014/main" id="{0EC71620-D3B6-4367-901C-E6BB6454B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200024</xdr:colOff>
      <xdr:row>5</xdr:row>
      <xdr:rowOff>133350</xdr:rowOff>
    </xdr:from>
    <xdr:to>
      <xdr:col>13</xdr:col>
      <xdr:colOff>0</xdr:colOff>
      <xdr:row>19</xdr:row>
      <xdr:rowOff>123825</xdr:rowOff>
    </xdr:to>
    <xdr:graphicFrame macro="">
      <xdr:nvGraphicFramePr>
        <xdr:cNvPr id="7" name="Chart 6">
          <a:extLst>
            <a:ext uri="{FF2B5EF4-FFF2-40B4-BE49-F238E27FC236}">
              <a16:creationId xmlns:a16="http://schemas.microsoft.com/office/drawing/2014/main" id="{2A9EF507-0414-43AF-9CB8-704ABEBA0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66675</xdr:colOff>
      <xdr:row>0</xdr:row>
      <xdr:rowOff>161925</xdr:rowOff>
    </xdr:from>
    <xdr:to>
      <xdr:col>11</xdr:col>
      <xdr:colOff>371475</xdr:colOff>
      <xdr:row>9</xdr:row>
      <xdr:rowOff>314325</xdr:rowOff>
    </xdr:to>
    <xdr:graphicFrame macro="">
      <xdr:nvGraphicFramePr>
        <xdr:cNvPr id="2" name="Chart 1">
          <a:extLst>
            <a:ext uri="{FF2B5EF4-FFF2-40B4-BE49-F238E27FC236}">
              <a16:creationId xmlns:a16="http://schemas.microsoft.com/office/drawing/2014/main" id="{928406D8-A091-4B00-9F6E-24F36E638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90487</xdr:colOff>
      <xdr:row>9</xdr:row>
      <xdr:rowOff>428625</xdr:rowOff>
    </xdr:from>
    <xdr:to>
      <xdr:col>11</xdr:col>
      <xdr:colOff>395287</xdr:colOff>
      <xdr:row>19</xdr:row>
      <xdr:rowOff>28575</xdr:rowOff>
    </xdr:to>
    <xdr:graphicFrame macro="">
      <xdr:nvGraphicFramePr>
        <xdr:cNvPr id="3" name="Chart 2">
          <a:extLst>
            <a:ext uri="{FF2B5EF4-FFF2-40B4-BE49-F238E27FC236}">
              <a16:creationId xmlns:a16="http://schemas.microsoft.com/office/drawing/2014/main" id="{3591B0FE-8656-4F22-A322-7F5C82A31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233362</xdr:colOff>
      <xdr:row>0</xdr:row>
      <xdr:rowOff>133350</xdr:rowOff>
    </xdr:from>
    <xdr:to>
      <xdr:col>19</xdr:col>
      <xdr:colOff>538162</xdr:colOff>
      <xdr:row>9</xdr:row>
      <xdr:rowOff>285750</xdr:rowOff>
    </xdr:to>
    <xdr:graphicFrame macro="">
      <xdr:nvGraphicFramePr>
        <xdr:cNvPr id="4" name="Chart 3">
          <a:extLst>
            <a:ext uri="{FF2B5EF4-FFF2-40B4-BE49-F238E27FC236}">
              <a16:creationId xmlns:a16="http://schemas.microsoft.com/office/drawing/2014/main" id="{8E8463D7-8CA2-4F38-9A43-2123AE072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238125</xdr:colOff>
      <xdr:row>9</xdr:row>
      <xdr:rowOff>381000</xdr:rowOff>
    </xdr:from>
    <xdr:to>
      <xdr:col>19</xdr:col>
      <xdr:colOff>542925</xdr:colOff>
      <xdr:row>18</xdr:row>
      <xdr:rowOff>171450</xdr:rowOff>
    </xdr:to>
    <xdr:graphicFrame macro="">
      <xdr:nvGraphicFramePr>
        <xdr:cNvPr id="5" name="Chart 4">
          <a:extLst>
            <a:ext uri="{FF2B5EF4-FFF2-40B4-BE49-F238E27FC236}">
              <a16:creationId xmlns:a16="http://schemas.microsoft.com/office/drawing/2014/main" id="{43AAB206-BB77-46FA-82B3-85BC700F49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781050</xdr:colOff>
      <xdr:row>19</xdr:row>
      <xdr:rowOff>171450</xdr:rowOff>
    </xdr:from>
    <xdr:to>
      <xdr:col>11</xdr:col>
      <xdr:colOff>295275</xdr:colOff>
      <xdr:row>29</xdr:row>
      <xdr:rowOff>9525</xdr:rowOff>
    </xdr:to>
    <xdr:graphicFrame macro="">
      <xdr:nvGraphicFramePr>
        <xdr:cNvPr id="6" name="Chart 5">
          <a:extLst>
            <a:ext uri="{FF2B5EF4-FFF2-40B4-BE49-F238E27FC236}">
              <a16:creationId xmlns:a16="http://schemas.microsoft.com/office/drawing/2014/main" id="{BD2A818A-B3F1-4AC8-9636-940E9256D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263525</xdr:colOff>
      <xdr:row>3</xdr:row>
      <xdr:rowOff>133350</xdr:rowOff>
    </xdr:from>
    <xdr:to>
      <xdr:col>6</xdr:col>
      <xdr:colOff>587375</xdr:colOff>
      <xdr:row>18</xdr:row>
      <xdr:rowOff>114300</xdr:rowOff>
    </xdr:to>
    <xdr:graphicFrame macro="">
      <xdr:nvGraphicFramePr>
        <xdr:cNvPr id="3" name="Chart 2">
          <a:extLst>
            <a:ext uri="{FF2B5EF4-FFF2-40B4-BE49-F238E27FC236}">
              <a16:creationId xmlns:a16="http://schemas.microsoft.com/office/drawing/2014/main" id="{3D863AF6-870A-9C2F-FDFD-7D18C177B1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ownloads\GP-Relative-Valuation.xlsx" TargetMode="External"/><Relationship Id="rId1" Type="http://schemas.openxmlformats.org/officeDocument/2006/relationships/externalLinkPath" Target="GP-Relative-Valuatio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Downloads\FIN433_Section-02_Assignment.xlsx" TargetMode="External"/><Relationship Id="rId1" Type="http://schemas.openxmlformats.org/officeDocument/2006/relationships/externalLinkPath" Target="FIN433_Section-02_Assign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lative Valution"/>
      <sheetName val="Sheet2"/>
    </sheetNames>
    <sheetDataSet>
      <sheetData sheetId="0">
        <row r="2">
          <cell r="H2">
            <v>9.5388620304946077</v>
          </cell>
          <cell r="I2">
            <v>5.3496881597032999</v>
          </cell>
          <cell r="J2">
            <v>2.898867796120896</v>
          </cell>
          <cell r="L2">
            <v>14.5</v>
          </cell>
          <cell r="M2">
            <v>54.8</v>
          </cell>
        </row>
        <row r="3">
          <cell r="H3">
            <v>21.194029850746265</v>
          </cell>
          <cell r="I3">
            <v>2.1714801954367724</v>
          </cell>
          <cell r="J3">
            <v>1.4950127385221088</v>
          </cell>
          <cell r="L3">
            <v>4.5</v>
          </cell>
          <cell r="M3">
            <v>14</v>
          </cell>
        </row>
        <row r="4">
          <cell r="H4">
            <v>11.453546003424348</v>
          </cell>
          <cell r="I4">
            <v>1.3968818373789817</v>
          </cell>
          <cell r="J4">
            <v>5.9648051758053029</v>
          </cell>
          <cell r="L4">
            <v>9.5</v>
          </cell>
          <cell r="M4">
            <v>13.5</v>
          </cell>
        </row>
        <row r="5">
          <cell r="H5">
            <v>14.062145961555075</v>
          </cell>
          <cell r="I5">
            <v>2.9726833975063514</v>
          </cell>
          <cell r="L5">
            <v>9.5</v>
          </cell>
          <cell r="M5">
            <v>27.433333333333334</v>
          </cell>
        </row>
      </sheetData>
      <sheetData sheetId="1">
        <row r="1">
          <cell r="B1" t="str">
            <v>P/E</v>
          </cell>
          <cell r="C1" t="str">
            <v>Industry Average</v>
          </cell>
        </row>
        <row r="2">
          <cell r="A2" t="str">
            <v>Grameenphone Ltd.</v>
          </cell>
          <cell r="B2">
            <v>9.5388620304946077</v>
          </cell>
          <cell r="C2">
            <v>14.062145961555075</v>
          </cell>
        </row>
        <row r="3">
          <cell r="A3" t="str">
            <v>Robi Axiata PLC.</v>
          </cell>
          <cell r="B3">
            <v>21.194029850746265</v>
          </cell>
          <cell r="C3">
            <v>14.062145961555075</v>
          </cell>
        </row>
        <row r="4">
          <cell r="A4" t="str">
            <v>Bangladesh Submarine Cables PLC</v>
          </cell>
          <cell r="B4">
            <v>11.453546003424348</v>
          </cell>
          <cell r="C4">
            <v>14.062145961555075</v>
          </cell>
        </row>
        <row r="7">
          <cell r="B7" t="str">
            <v>P/B</v>
          </cell>
          <cell r="C7" t="str">
            <v>Industry Average</v>
          </cell>
        </row>
        <row r="8">
          <cell r="A8" t="str">
            <v>Grameenphone Ltd.</v>
          </cell>
          <cell r="B8">
            <v>5.3496881597032999</v>
          </cell>
          <cell r="C8">
            <v>2.9726833975063514</v>
          </cell>
        </row>
        <row r="9">
          <cell r="A9" t="str">
            <v>Robi Axiata PLC.</v>
          </cell>
          <cell r="B9">
            <v>2.1714801954367724</v>
          </cell>
          <cell r="C9">
            <v>2.9726833975063514</v>
          </cell>
        </row>
        <row r="10">
          <cell r="A10" t="str">
            <v>Bangladesh Submarine Cables PLC</v>
          </cell>
          <cell r="B10">
            <v>1.3968818373789817</v>
          </cell>
          <cell r="C10">
            <v>2.9726833975063514</v>
          </cell>
        </row>
        <row r="12">
          <cell r="B12" t="str">
            <v>ROA</v>
          </cell>
          <cell r="C12" t="str">
            <v>Industry Average</v>
          </cell>
        </row>
        <row r="13">
          <cell r="A13" t="str">
            <v>Grameenphone Ltd.</v>
          </cell>
          <cell r="B13">
            <v>14.5</v>
          </cell>
          <cell r="C13">
            <v>9.5</v>
          </cell>
        </row>
        <row r="14">
          <cell r="A14" t="str">
            <v>Robi Axiata PLC.</v>
          </cell>
          <cell r="B14">
            <v>4.5</v>
          </cell>
          <cell r="C14">
            <v>9.5</v>
          </cell>
        </row>
        <row r="15">
          <cell r="A15" t="str">
            <v>Bangladesh Submarine Cables PLC</v>
          </cell>
          <cell r="B15">
            <v>9.5</v>
          </cell>
          <cell r="C15">
            <v>9.5</v>
          </cell>
        </row>
        <row r="17">
          <cell r="B17" t="str">
            <v>ROE</v>
          </cell>
          <cell r="C17" t="str">
            <v>Industry Average</v>
          </cell>
        </row>
        <row r="18">
          <cell r="A18" t="str">
            <v>Grameenphone Ltd.</v>
          </cell>
          <cell r="B18">
            <v>54.8</v>
          </cell>
          <cell r="C18">
            <v>27.433333333333334</v>
          </cell>
        </row>
        <row r="19">
          <cell r="A19" t="str">
            <v>Robi Axiata PLC.</v>
          </cell>
          <cell r="B19">
            <v>14</v>
          </cell>
          <cell r="C19">
            <v>27.433333333333334</v>
          </cell>
        </row>
        <row r="20">
          <cell r="A20" t="str">
            <v>Bangladesh Submarine Cables PLC</v>
          </cell>
          <cell r="B20">
            <v>13.5</v>
          </cell>
          <cell r="C20">
            <v>27.433333333333334</v>
          </cell>
        </row>
        <row r="22">
          <cell r="B22" t="str">
            <v>P/E</v>
          </cell>
          <cell r="C22" t="str">
            <v>P/B</v>
          </cell>
          <cell r="D22" t="str">
            <v>P/S</v>
          </cell>
        </row>
        <row r="23">
          <cell r="A23" t="str">
            <v>Grameenphone Ltd.</v>
          </cell>
          <cell r="B23">
            <v>9.5388620304946077</v>
          </cell>
          <cell r="C23">
            <v>5.3496881597032999</v>
          </cell>
          <cell r="D23">
            <v>2.898867796120896</v>
          </cell>
        </row>
        <row r="24">
          <cell r="A24" t="str">
            <v>Robi Axiata PLC.</v>
          </cell>
          <cell r="B24">
            <v>21.194029850746265</v>
          </cell>
          <cell r="C24">
            <v>2.1714801954367724</v>
          </cell>
          <cell r="D24">
            <v>1.4950127385221088</v>
          </cell>
        </row>
        <row r="25">
          <cell r="A25" t="str">
            <v>Bangladesh Submarine Cables PLC</v>
          </cell>
          <cell r="B25">
            <v>11.453546003424348</v>
          </cell>
          <cell r="C25">
            <v>1.3968818373789817</v>
          </cell>
          <cell r="D25">
            <v>5.9648051758053029</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P Data"/>
      <sheetName val="Return (Daily)"/>
      <sheetName val="CAPM"/>
      <sheetName val="Gordon Model for Cost of Equity"/>
      <sheetName val="Debt Calculations"/>
      <sheetName val="WACC"/>
    </sheetNames>
    <sheetDataSet>
      <sheetData sheetId="0">
        <row r="3">
          <cell r="A3">
            <v>45988</v>
          </cell>
          <cell r="B3">
            <v>278.39999999999998</v>
          </cell>
          <cell r="D3">
            <v>45988</v>
          </cell>
          <cell r="E3">
            <v>5028.1400000000003</v>
          </cell>
        </row>
        <row r="4">
          <cell r="A4">
            <v>45987</v>
          </cell>
          <cell r="B4">
            <v>277.89999999999998</v>
          </cell>
          <cell r="D4">
            <v>45987</v>
          </cell>
          <cell r="E4">
            <v>5009.8</v>
          </cell>
        </row>
        <row r="5">
          <cell r="A5">
            <v>45986</v>
          </cell>
          <cell r="B5">
            <v>277.5</v>
          </cell>
          <cell r="D5">
            <v>45986</v>
          </cell>
          <cell r="E5">
            <v>5018.28</v>
          </cell>
        </row>
        <row r="6">
          <cell r="A6">
            <v>45985</v>
          </cell>
          <cell r="B6">
            <v>275.2</v>
          </cell>
          <cell r="D6">
            <v>45985</v>
          </cell>
          <cell r="E6">
            <v>5024.8599999999997</v>
          </cell>
        </row>
        <row r="7">
          <cell r="A7">
            <v>45984</v>
          </cell>
          <cell r="B7">
            <v>274</v>
          </cell>
          <cell r="D7">
            <v>45984</v>
          </cell>
          <cell r="E7">
            <v>4915.75</v>
          </cell>
        </row>
        <row r="8">
          <cell r="A8">
            <v>45981</v>
          </cell>
          <cell r="B8">
            <v>273.3</v>
          </cell>
          <cell r="D8">
            <v>45981</v>
          </cell>
          <cell r="E8">
            <v>4869.01</v>
          </cell>
        </row>
        <row r="9">
          <cell r="A9">
            <v>45980</v>
          </cell>
          <cell r="B9">
            <v>273.89999999999998</v>
          </cell>
          <cell r="D9">
            <v>45980</v>
          </cell>
          <cell r="E9">
            <v>4901.38</v>
          </cell>
        </row>
        <row r="10">
          <cell r="A10">
            <v>45979</v>
          </cell>
          <cell r="B10">
            <v>272.39999999999998</v>
          </cell>
          <cell r="D10">
            <v>45979</v>
          </cell>
          <cell r="E10">
            <v>4846.88</v>
          </cell>
        </row>
        <row r="11">
          <cell r="A11">
            <v>45978</v>
          </cell>
          <cell r="B11">
            <v>271.89999999999998</v>
          </cell>
          <cell r="D11">
            <v>45978</v>
          </cell>
          <cell r="E11">
            <v>4774.96</v>
          </cell>
        </row>
        <row r="12">
          <cell r="A12">
            <v>45977</v>
          </cell>
          <cell r="B12">
            <v>271.39999999999998</v>
          </cell>
          <cell r="D12">
            <v>45977</v>
          </cell>
          <cell r="E12">
            <v>4732.16</v>
          </cell>
        </row>
        <row r="13">
          <cell r="A13">
            <v>45974</v>
          </cell>
          <cell r="B13">
            <v>277.2</v>
          </cell>
          <cell r="D13">
            <v>45974</v>
          </cell>
          <cell r="E13">
            <v>4702.6899999999996</v>
          </cell>
        </row>
        <row r="14">
          <cell r="A14">
            <v>45973</v>
          </cell>
          <cell r="B14">
            <v>278.5</v>
          </cell>
          <cell r="D14">
            <v>45973</v>
          </cell>
          <cell r="E14">
            <v>4825.33</v>
          </cell>
        </row>
        <row r="15">
          <cell r="A15">
            <v>45972</v>
          </cell>
          <cell r="B15">
            <v>277.7</v>
          </cell>
          <cell r="D15">
            <v>45972</v>
          </cell>
          <cell r="E15">
            <v>4872.7700000000004</v>
          </cell>
        </row>
        <row r="16">
          <cell r="A16">
            <v>45971</v>
          </cell>
          <cell r="B16">
            <v>277.3</v>
          </cell>
          <cell r="D16">
            <v>45971</v>
          </cell>
          <cell r="E16">
            <v>4860.75</v>
          </cell>
        </row>
        <row r="17">
          <cell r="A17">
            <v>45970</v>
          </cell>
          <cell r="B17">
            <v>281.10000000000002</v>
          </cell>
          <cell r="D17">
            <v>45970</v>
          </cell>
          <cell r="E17">
            <v>4899.93</v>
          </cell>
        </row>
        <row r="18">
          <cell r="A18">
            <v>45967</v>
          </cell>
          <cell r="B18">
            <v>282.8</v>
          </cell>
          <cell r="D18">
            <v>45967</v>
          </cell>
          <cell r="E18">
            <v>4967.9399999999996</v>
          </cell>
        </row>
        <row r="19">
          <cell r="A19">
            <v>45966</v>
          </cell>
          <cell r="B19">
            <v>284.3</v>
          </cell>
          <cell r="D19">
            <v>45966</v>
          </cell>
          <cell r="E19">
            <v>4986.8900000000003</v>
          </cell>
        </row>
        <row r="20">
          <cell r="A20">
            <v>45965</v>
          </cell>
          <cell r="B20">
            <v>283.3</v>
          </cell>
          <cell r="D20">
            <v>45965</v>
          </cell>
          <cell r="E20">
            <v>5019.07</v>
          </cell>
        </row>
        <row r="21">
          <cell r="A21">
            <v>45964</v>
          </cell>
          <cell r="B21">
            <v>281.10000000000002</v>
          </cell>
          <cell r="D21">
            <v>45964</v>
          </cell>
          <cell r="E21">
            <v>5061.01</v>
          </cell>
        </row>
        <row r="22">
          <cell r="A22">
            <v>45963</v>
          </cell>
          <cell r="B22">
            <v>281.60000000000002</v>
          </cell>
          <cell r="D22">
            <v>45963</v>
          </cell>
          <cell r="E22">
            <v>5115.88</v>
          </cell>
        </row>
        <row r="23">
          <cell r="A23">
            <v>45960</v>
          </cell>
          <cell r="B23">
            <v>283.39999999999998</v>
          </cell>
          <cell r="D23">
            <v>45960</v>
          </cell>
          <cell r="E23">
            <v>5122.22</v>
          </cell>
        </row>
        <row r="24">
          <cell r="A24">
            <v>45959</v>
          </cell>
          <cell r="B24">
            <v>278.7</v>
          </cell>
          <cell r="D24">
            <v>45959</v>
          </cell>
          <cell r="E24">
            <v>5092.3999999999996</v>
          </cell>
        </row>
        <row r="25">
          <cell r="A25">
            <v>45958</v>
          </cell>
          <cell r="B25">
            <v>281</v>
          </cell>
          <cell r="D25">
            <v>45958</v>
          </cell>
          <cell r="E25">
            <v>5084.13</v>
          </cell>
        </row>
        <row r="26">
          <cell r="A26">
            <v>45957</v>
          </cell>
          <cell r="B26">
            <v>282.5</v>
          </cell>
          <cell r="D26">
            <v>45957</v>
          </cell>
          <cell r="E26">
            <v>5086.8599999999997</v>
          </cell>
        </row>
        <row r="27">
          <cell r="A27">
            <v>45956</v>
          </cell>
          <cell r="B27">
            <v>286.10000000000002</v>
          </cell>
          <cell r="D27">
            <v>45956</v>
          </cell>
          <cell r="E27">
            <v>5126.9799999999996</v>
          </cell>
        </row>
        <row r="28">
          <cell r="A28">
            <v>45953</v>
          </cell>
          <cell r="B28">
            <v>287.8</v>
          </cell>
          <cell r="D28">
            <v>45953</v>
          </cell>
          <cell r="E28">
            <v>5149.8900000000003</v>
          </cell>
        </row>
        <row r="29">
          <cell r="A29">
            <v>45952</v>
          </cell>
          <cell r="B29">
            <v>286.39999999999998</v>
          </cell>
          <cell r="D29">
            <v>45952</v>
          </cell>
          <cell r="E29">
            <v>5094.7</v>
          </cell>
        </row>
        <row r="30">
          <cell r="A30">
            <v>45951</v>
          </cell>
          <cell r="B30">
            <v>285.89999999999998</v>
          </cell>
          <cell r="D30">
            <v>45951</v>
          </cell>
          <cell r="E30">
            <v>5089.33</v>
          </cell>
        </row>
        <row r="31">
          <cell r="A31">
            <v>45950</v>
          </cell>
          <cell r="B31">
            <v>287.3</v>
          </cell>
          <cell r="D31">
            <v>45950</v>
          </cell>
          <cell r="E31">
            <v>5111.6000000000004</v>
          </cell>
        </row>
        <row r="32">
          <cell r="A32">
            <v>45949</v>
          </cell>
          <cell r="B32">
            <v>287.10000000000002</v>
          </cell>
          <cell r="D32">
            <v>45949</v>
          </cell>
          <cell r="E32">
            <v>5044.34</v>
          </cell>
        </row>
        <row r="33">
          <cell r="A33">
            <v>45946</v>
          </cell>
          <cell r="B33">
            <v>287.89999999999998</v>
          </cell>
          <cell r="D33">
            <v>45946</v>
          </cell>
          <cell r="E33">
            <v>5119.42</v>
          </cell>
        </row>
        <row r="34">
          <cell r="A34">
            <v>45945</v>
          </cell>
          <cell r="B34">
            <v>290.8</v>
          </cell>
          <cell r="D34">
            <v>45945</v>
          </cell>
          <cell r="E34">
            <v>5116.51</v>
          </cell>
        </row>
        <row r="35">
          <cell r="A35">
            <v>45944</v>
          </cell>
          <cell r="B35">
            <v>292.39999999999998</v>
          </cell>
          <cell r="D35">
            <v>45944</v>
          </cell>
          <cell r="E35">
            <v>5197.2700000000004</v>
          </cell>
        </row>
        <row r="36">
          <cell r="A36">
            <v>45943</v>
          </cell>
          <cell r="B36">
            <v>294</v>
          </cell>
          <cell r="D36">
            <v>45943</v>
          </cell>
          <cell r="E36">
            <v>5227.75</v>
          </cell>
        </row>
        <row r="37">
          <cell r="A37">
            <v>45942</v>
          </cell>
          <cell r="B37">
            <v>293.5</v>
          </cell>
          <cell r="D37">
            <v>45942</v>
          </cell>
          <cell r="E37">
            <v>5202.46</v>
          </cell>
        </row>
        <row r="38">
          <cell r="A38">
            <v>45939</v>
          </cell>
          <cell r="B38">
            <v>294.3</v>
          </cell>
          <cell r="D38">
            <v>45939</v>
          </cell>
          <cell r="E38">
            <v>5283.72</v>
          </cell>
        </row>
        <row r="39">
          <cell r="A39">
            <v>45938</v>
          </cell>
          <cell r="B39">
            <v>294.2</v>
          </cell>
          <cell r="D39">
            <v>45938</v>
          </cell>
          <cell r="E39">
            <v>5337.86</v>
          </cell>
        </row>
        <row r="40">
          <cell r="A40">
            <v>45937</v>
          </cell>
          <cell r="B40">
            <v>294.7</v>
          </cell>
          <cell r="D40">
            <v>45937</v>
          </cell>
          <cell r="E40">
            <v>5377</v>
          </cell>
        </row>
        <row r="41">
          <cell r="A41">
            <v>45936</v>
          </cell>
          <cell r="B41">
            <v>298.10000000000002</v>
          </cell>
          <cell r="D41">
            <v>45936</v>
          </cell>
          <cell r="E41">
            <v>5423.64</v>
          </cell>
        </row>
        <row r="42">
          <cell r="A42">
            <v>45935</v>
          </cell>
          <cell r="B42">
            <v>298.7</v>
          </cell>
          <cell r="D42">
            <v>45935</v>
          </cell>
          <cell r="E42">
            <v>5447.63</v>
          </cell>
        </row>
        <row r="43">
          <cell r="A43">
            <v>45930</v>
          </cell>
          <cell r="B43">
            <v>299</v>
          </cell>
          <cell r="D43">
            <v>45930</v>
          </cell>
          <cell r="E43">
            <v>5415.79</v>
          </cell>
        </row>
        <row r="44">
          <cell r="A44">
            <v>45929</v>
          </cell>
          <cell r="B44">
            <v>298</v>
          </cell>
          <cell r="D44">
            <v>45929</v>
          </cell>
          <cell r="E44">
            <v>5389.78</v>
          </cell>
        </row>
        <row r="45">
          <cell r="A45">
            <v>45928</v>
          </cell>
          <cell r="B45">
            <v>299.10000000000002</v>
          </cell>
          <cell r="D45">
            <v>45928</v>
          </cell>
          <cell r="E45">
            <v>5380.08</v>
          </cell>
        </row>
        <row r="46">
          <cell r="A46">
            <v>45925</v>
          </cell>
          <cell r="B46">
            <v>298.39999999999998</v>
          </cell>
          <cell r="D46">
            <v>45925</v>
          </cell>
          <cell r="E46">
            <v>5415.13</v>
          </cell>
        </row>
        <row r="47">
          <cell r="A47">
            <v>45924</v>
          </cell>
          <cell r="B47">
            <v>299</v>
          </cell>
          <cell r="D47">
            <v>45924</v>
          </cell>
          <cell r="E47">
            <v>5392.65</v>
          </cell>
        </row>
        <row r="48">
          <cell r="A48">
            <v>45923</v>
          </cell>
          <cell r="B48">
            <v>298.5</v>
          </cell>
          <cell r="D48">
            <v>45923</v>
          </cell>
          <cell r="E48">
            <v>5347.47</v>
          </cell>
        </row>
        <row r="49">
          <cell r="A49">
            <v>45922</v>
          </cell>
          <cell r="B49">
            <v>300.10000000000002</v>
          </cell>
          <cell r="D49">
            <v>45922</v>
          </cell>
          <cell r="E49">
            <v>5337.14</v>
          </cell>
        </row>
        <row r="50">
          <cell r="A50">
            <v>45921</v>
          </cell>
          <cell r="B50">
            <v>300.3</v>
          </cell>
          <cell r="D50">
            <v>45921</v>
          </cell>
          <cell r="E50">
            <v>5381.85</v>
          </cell>
        </row>
        <row r="51">
          <cell r="A51">
            <v>45918</v>
          </cell>
          <cell r="B51">
            <v>301.10000000000002</v>
          </cell>
          <cell r="D51">
            <v>45918</v>
          </cell>
          <cell r="E51">
            <v>5449.93</v>
          </cell>
        </row>
        <row r="52">
          <cell r="A52">
            <v>45917</v>
          </cell>
          <cell r="B52">
            <v>301.8</v>
          </cell>
          <cell r="D52">
            <v>45917</v>
          </cell>
          <cell r="E52">
            <v>5492.34</v>
          </cell>
        </row>
        <row r="53">
          <cell r="A53">
            <v>45916</v>
          </cell>
          <cell r="B53">
            <v>301.8</v>
          </cell>
          <cell r="D53">
            <v>45916</v>
          </cell>
          <cell r="E53">
            <v>5509.61</v>
          </cell>
        </row>
        <row r="54">
          <cell r="A54">
            <v>45915</v>
          </cell>
          <cell r="B54">
            <v>301</v>
          </cell>
          <cell r="D54">
            <v>45915</v>
          </cell>
          <cell r="E54">
            <v>5474.72</v>
          </cell>
        </row>
        <row r="55">
          <cell r="A55">
            <v>45914</v>
          </cell>
          <cell r="B55">
            <v>299.89999999999998</v>
          </cell>
          <cell r="D55">
            <v>45914</v>
          </cell>
          <cell r="E55">
            <v>5468.35</v>
          </cell>
        </row>
        <row r="56">
          <cell r="A56">
            <v>45911</v>
          </cell>
          <cell r="B56">
            <v>301.8</v>
          </cell>
          <cell r="D56">
            <v>45911</v>
          </cell>
          <cell r="E56">
            <v>5523.78</v>
          </cell>
        </row>
        <row r="57">
          <cell r="A57">
            <v>45910</v>
          </cell>
          <cell r="B57">
            <v>300.3</v>
          </cell>
          <cell r="D57">
            <v>45910</v>
          </cell>
          <cell r="E57">
            <v>5473.15</v>
          </cell>
        </row>
        <row r="58">
          <cell r="A58">
            <v>45909</v>
          </cell>
          <cell r="B58">
            <v>300.8</v>
          </cell>
          <cell r="D58">
            <v>45909</v>
          </cell>
          <cell r="E58">
            <v>5538.25</v>
          </cell>
        </row>
        <row r="59">
          <cell r="A59">
            <v>45908</v>
          </cell>
          <cell r="B59">
            <v>305.39999999999998</v>
          </cell>
          <cell r="D59">
            <v>45908</v>
          </cell>
          <cell r="E59">
            <v>5627.59</v>
          </cell>
        </row>
        <row r="60">
          <cell r="A60">
            <v>45907</v>
          </cell>
          <cell r="B60">
            <v>306.3</v>
          </cell>
          <cell r="D60">
            <v>45907</v>
          </cell>
          <cell r="E60">
            <v>5636.15</v>
          </cell>
        </row>
        <row r="61">
          <cell r="A61">
            <v>45904</v>
          </cell>
          <cell r="B61">
            <v>304.39999999999998</v>
          </cell>
          <cell r="D61">
            <v>45904</v>
          </cell>
          <cell r="E61">
            <v>5614.28</v>
          </cell>
        </row>
        <row r="62">
          <cell r="A62">
            <v>45903</v>
          </cell>
          <cell r="B62">
            <v>309.7</v>
          </cell>
          <cell r="D62">
            <v>45903</v>
          </cell>
          <cell r="E62">
            <v>5631.62</v>
          </cell>
        </row>
        <row r="63">
          <cell r="A63">
            <v>45902</v>
          </cell>
          <cell r="B63">
            <v>310.3</v>
          </cell>
          <cell r="D63">
            <v>45902</v>
          </cell>
          <cell r="E63">
            <v>5620.92</v>
          </cell>
        </row>
        <row r="64">
          <cell r="A64">
            <v>45901</v>
          </cell>
          <cell r="B64">
            <v>307</v>
          </cell>
          <cell r="D64">
            <v>45901</v>
          </cell>
          <cell r="E64">
            <v>5583.79</v>
          </cell>
        </row>
        <row r="65">
          <cell r="A65">
            <v>45900</v>
          </cell>
          <cell r="B65">
            <v>310.39999999999998</v>
          </cell>
          <cell r="D65">
            <v>45900</v>
          </cell>
          <cell r="E65">
            <v>5594.39</v>
          </cell>
        </row>
        <row r="66">
          <cell r="A66">
            <v>45897</v>
          </cell>
          <cell r="B66">
            <v>305.39999999999998</v>
          </cell>
          <cell r="D66">
            <v>45897</v>
          </cell>
          <cell r="E66">
            <v>5517.95</v>
          </cell>
        </row>
        <row r="67">
          <cell r="A67">
            <v>45896</v>
          </cell>
          <cell r="B67">
            <v>299.60000000000002</v>
          </cell>
          <cell r="D67">
            <v>45895</v>
          </cell>
          <cell r="E67">
            <v>5448.83</v>
          </cell>
        </row>
        <row r="68">
          <cell r="A68">
            <v>45895</v>
          </cell>
          <cell r="B68">
            <v>298.60000000000002</v>
          </cell>
          <cell r="D68">
            <v>45894</v>
          </cell>
          <cell r="E68">
            <v>5455.4</v>
          </cell>
        </row>
        <row r="69">
          <cell r="A69">
            <v>45894</v>
          </cell>
          <cell r="B69">
            <v>298.7</v>
          </cell>
          <cell r="D69">
            <v>45893</v>
          </cell>
          <cell r="E69">
            <v>5389.17</v>
          </cell>
        </row>
        <row r="70">
          <cell r="A70">
            <v>45893</v>
          </cell>
          <cell r="B70">
            <v>296.60000000000002</v>
          </cell>
          <cell r="D70">
            <v>45890</v>
          </cell>
          <cell r="E70">
            <v>5374.96</v>
          </cell>
        </row>
        <row r="71">
          <cell r="A71">
            <v>45890</v>
          </cell>
          <cell r="B71">
            <v>299.2</v>
          </cell>
          <cell r="D71">
            <v>45889</v>
          </cell>
          <cell r="E71">
            <v>5379.41</v>
          </cell>
        </row>
        <row r="72">
          <cell r="A72">
            <v>45889</v>
          </cell>
          <cell r="B72">
            <v>301.8</v>
          </cell>
          <cell r="D72">
            <v>45888</v>
          </cell>
          <cell r="E72">
            <v>5410.9</v>
          </cell>
        </row>
        <row r="73">
          <cell r="A73">
            <v>45888</v>
          </cell>
          <cell r="B73">
            <v>302.10000000000002</v>
          </cell>
          <cell r="D73">
            <v>45887</v>
          </cell>
          <cell r="E73">
            <v>5419.91</v>
          </cell>
        </row>
        <row r="74">
          <cell r="A74">
            <v>45887</v>
          </cell>
          <cell r="B74">
            <v>305</v>
          </cell>
          <cell r="D74">
            <v>45886</v>
          </cell>
          <cell r="E74">
            <v>5401.49</v>
          </cell>
        </row>
        <row r="75">
          <cell r="A75">
            <v>45886</v>
          </cell>
          <cell r="B75">
            <v>303.8</v>
          </cell>
          <cell r="D75">
            <v>45883</v>
          </cell>
          <cell r="E75">
            <v>5350.25</v>
          </cell>
        </row>
        <row r="76">
          <cell r="A76">
            <v>45883</v>
          </cell>
          <cell r="B76">
            <v>304.8</v>
          </cell>
          <cell r="D76">
            <v>45882</v>
          </cell>
          <cell r="E76">
            <v>5314.33</v>
          </cell>
        </row>
        <row r="77">
          <cell r="A77">
            <v>45881</v>
          </cell>
          <cell r="B77">
            <v>315.3</v>
          </cell>
          <cell r="D77">
            <v>45881</v>
          </cell>
          <cell r="E77">
            <v>5315.45</v>
          </cell>
        </row>
        <row r="78">
          <cell r="A78">
            <v>45880</v>
          </cell>
          <cell r="B78">
            <v>316.5</v>
          </cell>
          <cell r="D78">
            <v>45880</v>
          </cell>
          <cell r="E78">
            <v>5344.05</v>
          </cell>
        </row>
        <row r="79">
          <cell r="A79">
            <v>45879</v>
          </cell>
          <cell r="B79">
            <v>316.2</v>
          </cell>
          <cell r="D79">
            <v>45879</v>
          </cell>
          <cell r="E79">
            <v>5351.03</v>
          </cell>
        </row>
        <row r="80">
          <cell r="A80">
            <v>45876</v>
          </cell>
          <cell r="B80">
            <v>315.7</v>
          </cell>
          <cell r="D80">
            <v>45876</v>
          </cell>
          <cell r="E80">
            <v>5408.07</v>
          </cell>
        </row>
        <row r="81">
          <cell r="A81">
            <v>45875</v>
          </cell>
          <cell r="B81">
            <v>317</v>
          </cell>
          <cell r="D81">
            <v>45875</v>
          </cell>
          <cell r="E81">
            <v>5471.16</v>
          </cell>
        </row>
        <row r="82">
          <cell r="A82">
            <v>45873</v>
          </cell>
          <cell r="B82">
            <v>317.2</v>
          </cell>
          <cell r="D82">
            <v>45873</v>
          </cell>
          <cell r="E82">
            <v>5485.91</v>
          </cell>
        </row>
        <row r="83">
          <cell r="A83">
            <v>45872</v>
          </cell>
          <cell r="B83">
            <v>318.5</v>
          </cell>
          <cell r="D83">
            <v>45872</v>
          </cell>
          <cell r="E83">
            <v>5536.14</v>
          </cell>
        </row>
        <row r="84">
          <cell r="A84">
            <v>45869</v>
          </cell>
          <cell r="B84">
            <v>313</v>
          </cell>
          <cell r="D84">
            <v>45869</v>
          </cell>
          <cell r="E84">
            <v>5443.42</v>
          </cell>
        </row>
        <row r="85">
          <cell r="A85">
            <v>45868</v>
          </cell>
          <cell r="B85">
            <v>312.7</v>
          </cell>
          <cell r="D85">
            <v>45868</v>
          </cell>
          <cell r="E85">
            <v>5352.2</v>
          </cell>
        </row>
        <row r="86">
          <cell r="A86">
            <v>45867</v>
          </cell>
          <cell r="B86">
            <v>312.2</v>
          </cell>
          <cell r="D86">
            <v>45867</v>
          </cell>
          <cell r="E86">
            <v>5298.47</v>
          </cell>
        </row>
        <row r="87">
          <cell r="A87">
            <v>45866</v>
          </cell>
          <cell r="B87">
            <v>319.3</v>
          </cell>
          <cell r="D87">
            <v>45866</v>
          </cell>
          <cell r="E87">
            <v>5332.07</v>
          </cell>
        </row>
        <row r="88">
          <cell r="A88">
            <v>45865</v>
          </cell>
          <cell r="B88">
            <v>320.8</v>
          </cell>
          <cell r="D88">
            <v>45865</v>
          </cell>
          <cell r="E88">
            <v>5354.83</v>
          </cell>
        </row>
        <row r="89">
          <cell r="A89">
            <v>45862</v>
          </cell>
          <cell r="B89">
            <v>321.10000000000002</v>
          </cell>
          <cell r="D89">
            <v>45862</v>
          </cell>
          <cell r="E89">
            <v>5392.04</v>
          </cell>
        </row>
        <row r="90">
          <cell r="A90">
            <v>45861</v>
          </cell>
          <cell r="B90">
            <v>323.3</v>
          </cell>
          <cell r="D90">
            <v>45861</v>
          </cell>
          <cell r="E90">
            <v>5363.95</v>
          </cell>
        </row>
        <row r="91">
          <cell r="A91">
            <v>45860</v>
          </cell>
          <cell r="B91">
            <v>313.39999999999998</v>
          </cell>
          <cell r="D91">
            <v>45860</v>
          </cell>
          <cell r="E91">
            <v>5270.57</v>
          </cell>
        </row>
        <row r="92">
          <cell r="A92">
            <v>45859</v>
          </cell>
          <cell r="B92">
            <v>310.10000000000002</v>
          </cell>
          <cell r="D92">
            <v>45859</v>
          </cell>
          <cell r="E92">
            <v>5219.62</v>
          </cell>
        </row>
        <row r="93">
          <cell r="A93">
            <v>45858</v>
          </cell>
          <cell r="B93">
            <v>303</v>
          </cell>
          <cell r="D93">
            <v>45858</v>
          </cell>
          <cell r="E93">
            <v>5194.03</v>
          </cell>
        </row>
        <row r="94">
          <cell r="A94">
            <v>45855</v>
          </cell>
          <cell r="B94">
            <v>300.2</v>
          </cell>
          <cell r="D94">
            <v>45855</v>
          </cell>
          <cell r="E94">
            <v>5132.4799999999996</v>
          </cell>
        </row>
        <row r="95">
          <cell r="A95">
            <v>45854</v>
          </cell>
          <cell r="B95">
            <v>296.8</v>
          </cell>
          <cell r="D95">
            <v>45854</v>
          </cell>
          <cell r="E95">
            <v>5116.8999999999996</v>
          </cell>
        </row>
        <row r="96">
          <cell r="A96">
            <v>45853</v>
          </cell>
          <cell r="B96">
            <v>297.60000000000002</v>
          </cell>
          <cell r="D96">
            <v>45853</v>
          </cell>
          <cell r="E96">
            <v>5062.2</v>
          </cell>
        </row>
        <row r="97">
          <cell r="A97">
            <v>45852</v>
          </cell>
          <cell r="B97">
            <v>298</v>
          </cell>
          <cell r="D97">
            <v>45852</v>
          </cell>
          <cell r="E97">
            <v>5061.83</v>
          </cell>
        </row>
        <row r="98">
          <cell r="A98">
            <v>45851</v>
          </cell>
          <cell r="B98">
            <v>299.7</v>
          </cell>
          <cell r="D98">
            <v>45851</v>
          </cell>
          <cell r="E98">
            <v>5066.4399999999996</v>
          </cell>
        </row>
        <row r="99">
          <cell r="A99">
            <v>45848</v>
          </cell>
          <cell r="B99">
            <v>299.3</v>
          </cell>
          <cell r="D99">
            <v>45848</v>
          </cell>
          <cell r="E99">
            <v>5068.04</v>
          </cell>
        </row>
        <row r="100">
          <cell r="A100">
            <v>45847</v>
          </cell>
          <cell r="B100">
            <v>299.60000000000002</v>
          </cell>
          <cell r="D100">
            <v>45847</v>
          </cell>
          <cell r="E100">
            <v>5035.47</v>
          </cell>
        </row>
        <row r="101">
          <cell r="A101">
            <v>45846</v>
          </cell>
          <cell r="B101">
            <v>298.7</v>
          </cell>
          <cell r="D101">
            <v>45846</v>
          </cell>
          <cell r="E101">
            <v>4981.6400000000003</v>
          </cell>
        </row>
        <row r="102">
          <cell r="A102">
            <v>45845</v>
          </cell>
          <cell r="B102">
            <v>299.7</v>
          </cell>
          <cell r="D102">
            <v>45845</v>
          </cell>
          <cell r="E102">
            <v>4976.16</v>
          </cell>
        </row>
        <row r="103">
          <cell r="A103">
            <v>45841</v>
          </cell>
          <cell r="B103">
            <v>299</v>
          </cell>
          <cell r="D103">
            <v>45841</v>
          </cell>
          <cell r="E103">
            <v>4894.07</v>
          </cell>
        </row>
        <row r="104">
          <cell r="A104">
            <v>45840</v>
          </cell>
          <cell r="B104">
            <v>299.89999999999998</v>
          </cell>
          <cell r="D104">
            <v>45840</v>
          </cell>
          <cell r="E104">
            <v>4865.33</v>
          </cell>
        </row>
        <row r="105">
          <cell r="A105">
            <v>45838</v>
          </cell>
          <cell r="B105">
            <v>303.10000000000002</v>
          </cell>
          <cell r="D105">
            <v>45838</v>
          </cell>
          <cell r="E105">
            <v>4838.3900000000003</v>
          </cell>
        </row>
        <row r="106">
          <cell r="A106">
            <v>45837</v>
          </cell>
          <cell r="B106">
            <v>303.5</v>
          </cell>
          <cell r="D106">
            <v>45837</v>
          </cell>
          <cell r="E106">
            <v>4839.78</v>
          </cell>
        </row>
        <row r="107">
          <cell r="A107">
            <v>45834</v>
          </cell>
          <cell r="B107">
            <v>302.7</v>
          </cell>
          <cell r="D107">
            <v>45834</v>
          </cell>
          <cell r="E107">
            <v>4832.83</v>
          </cell>
        </row>
        <row r="108">
          <cell r="A108">
            <v>45833</v>
          </cell>
          <cell r="B108">
            <v>295.8</v>
          </cell>
          <cell r="D108">
            <v>45833</v>
          </cell>
          <cell r="E108">
            <v>4767.6400000000003</v>
          </cell>
        </row>
        <row r="109">
          <cell r="A109">
            <v>45832</v>
          </cell>
          <cell r="B109">
            <v>295.7</v>
          </cell>
          <cell r="D109">
            <v>45832</v>
          </cell>
          <cell r="E109">
            <v>4717.66</v>
          </cell>
        </row>
        <row r="110">
          <cell r="A110">
            <v>45831</v>
          </cell>
          <cell r="B110">
            <v>295.5</v>
          </cell>
          <cell r="D110">
            <v>45831</v>
          </cell>
          <cell r="E110">
            <v>4695.03</v>
          </cell>
        </row>
        <row r="111">
          <cell r="A111">
            <v>45830</v>
          </cell>
          <cell r="B111">
            <v>290</v>
          </cell>
          <cell r="D111">
            <v>45830</v>
          </cell>
          <cell r="E111">
            <v>4677.6000000000004</v>
          </cell>
        </row>
        <row r="112">
          <cell r="A112">
            <v>45827</v>
          </cell>
          <cell r="B112">
            <v>294.2</v>
          </cell>
          <cell r="D112">
            <v>45827</v>
          </cell>
          <cell r="E112">
            <v>4754.41</v>
          </cell>
        </row>
        <row r="113">
          <cell r="A113">
            <v>45826</v>
          </cell>
          <cell r="B113">
            <v>291.39999999999998</v>
          </cell>
          <cell r="D113">
            <v>45826</v>
          </cell>
          <cell r="E113">
            <v>4776.83</v>
          </cell>
        </row>
        <row r="114">
          <cell r="A114">
            <v>45825</v>
          </cell>
          <cell r="B114">
            <v>284.60000000000002</v>
          </cell>
          <cell r="D114">
            <v>45825</v>
          </cell>
          <cell r="E114">
            <v>4739.6899999999996</v>
          </cell>
        </row>
        <row r="115">
          <cell r="A115">
            <v>45824</v>
          </cell>
          <cell r="B115">
            <v>286.39999999999998</v>
          </cell>
          <cell r="D115">
            <v>45824</v>
          </cell>
          <cell r="E115">
            <v>4783.66</v>
          </cell>
        </row>
        <row r="116">
          <cell r="A116">
            <v>45823</v>
          </cell>
          <cell r="B116">
            <v>284.3</v>
          </cell>
          <cell r="D116">
            <v>45823</v>
          </cell>
          <cell r="E116">
            <v>4724</v>
          </cell>
        </row>
        <row r="117">
          <cell r="A117">
            <v>45812</v>
          </cell>
          <cell r="B117">
            <v>286.2</v>
          </cell>
          <cell r="D117">
            <v>45812</v>
          </cell>
          <cell r="E117">
            <v>4709.09</v>
          </cell>
        </row>
        <row r="118">
          <cell r="A118">
            <v>45811</v>
          </cell>
          <cell r="B118">
            <v>284.39999999999998</v>
          </cell>
          <cell r="D118">
            <v>45811</v>
          </cell>
          <cell r="E118">
            <v>4664.79</v>
          </cell>
        </row>
        <row r="119">
          <cell r="A119">
            <v>45810</v>
          </cell>
          <cell r="B119">
            <v>287.2</v>
          </cell>
          <cell r="D119">
            <v>45810</v>
          </cell>
          <cell r="E119">
            <v>4689.5200000000004</v>
          </cell>
        </row>
        <row r="120">
          <cell r="A120">
            <v>45809</v>
          </cell>
          <cell r="B120">
            <v>287.10000000000002</v>
          </cell>
          <cell r="D120">
            <v>45809</v>
          </cell>
          <cell r="E120">
            <v>4668.41</v>
          </cell>
        </row>
        <row r="121">
          <cell r="A121">
            <v>45806</v>
          </cell>
          <cell r="B121">
            <v>283.39999999999998</v>
          </cell>
          <cell r="D121">
            <v>45806</v>
          </cell>
          <cell r="E121">
            <v>4637.92</v>
          </cell>
        </row>
        <row r="122">
          <cell r="A122">
            <v>45805</v>
          </cell>
          <cell r="B122">
            <v>273.2</v>
          </cell>
          <cell r="D122">
            <v>45805</v>
          </cell>
          <cell r="E122">
            <v>4615.41</v>
          </cell>
        </row>
        <row r="123">
          <cell r="A123">
            <v>45804</v>
          </cell>
          <cell r="B123">
            <v>273.60000000000002</v>
          </cell>
          <cell r="D123">
            <v>45804</v>
          </cell>
          <cell r="E123">
            <v>4678.13</v>
          </cell>
        </row>
        <row r="124">
          <cell r="A124">
            <v>45803</v>
          </cell>
          <cell r="B124">
            <v>271.2</v>
          </cell>
          <cell r="D124">
            <v>45803</v>
          </cell>
          <cell r="E124">
            <v>4719.3900000000003</v>
          </cell>
        </row>
        <row r="125">
          <cell r="A125">
            <v>45802</v>
          </cell>
          <cell r="B125">
            <v>272.3</v>
          </cell>
          <cell r="D125">
            <v>45802</v>
          </cell>
          <cell r="E125">
            <v>4736.34</v>
          </cell>
        </row>
        <row r="126">
          <cell r="A126">
            <v>45801</v>
          </cell>
          <cell r="B126">
            <v>274.5</v>
          </cell>
          <cell r="D126">
            <v>45799</v>
          </cell>
          <cell r="E126">
            <v>4785.12</v>
          </cell>
        </row>
        <row r="127">
          <cell r="A127">
            <v>45799</v>
          </cell>
          <cell r="B127">
            <v>281.89999999999998</v>
          </cell>
          <cell r="D127">
            <v>45798</v>
          </cell>
          <cell r="E127">
            <v>4801.32</v>
          </cell>
        </row>
        <row r="128">
          <cell r="A128">
            <v>45798</v>
          </cell>
          <cell r="B128">
            <v>288.39999999999998</v>
          </cell>
          <cell r="D128">
            <v>45797</v>
          </cell>
          <cell r="E128">
            <v>4795.05</v>
          </cell>
        </row>
        <row r="129">
          <cell r="A129">
            <v>45797</v>
          </cell>
          <cell r="B129">
            <v>294.5</v>
          </cell>
          <cell r="D129">
            <v>45796</v>
          </cell>
          <cell r="E129">
            <v>4776.33</v>
          </cell>
        </row>
        <row r="130">
          <cell r="A130">
            <v>45796</v>
          </cell>
          <cell r="B130">
            <v>294.10000000000002</v>
          </cell>
          <cell r="D130">
            <v>45795</v>
          </cell>
          <cell r="E130">
            <v>4791.09</v>
          </cell>
        </row>
        <row r="131">
          <cell r="A131">
            <v>45795</v>
          </cell>
          <cell r="B131">
            <v>296.2</v>
          </cell>
          <cell r="D131">
            <v>45794</v>
          </cell>
          <cell r="E131">
            <v>4820.47</v>
          </cell>
        </row>
        <row r="132">
          <cell r="A132">
            <v>45792</v>
          </cell>
          <cell r="B132">
            <v>294.89999999999998</v>
          </cell>
          <cell r="D132">
            <v>45792</v>
          </cell>
          <cell r="E132">
            <v>4781.0200000000004</v>
          </cell>
        </row>
        <row r="133">
          <cell r="A133">
            <v>45791</v>
          </cell>
          <cell r="B133">
            <v>296.89999999999998</v>
          </cell>
          <cell r="D133">
            <v>45791</v>
          </cell>
          <cell r="E133">
            <v>4835.6000000000004</v>
          </cell>
        </row>
        <row r="134">
          <cell r="A134">
            <v>45790</v>
          </cell>
          <cell r="B134">
            <v>297</v>
          </cell>
          <cell r="D134">
            <v>45790</v>
          </cell>
          <cell r="E134">
            <v>4874.58</v>
          </cell>
        </row>
        <row r="135">
          <cell r="A135">
            <v>45789</v>
          </cell>
          <cell r="B135">
            <v>298.10000000000002</v>
          </cell>
          <cell r="D135">
            <v>45789</v>
          </cell>
          <cell r="E135">
            <v>4921.5600000000004</v>
          </cell>
        </row>
        <row r="136">
          <cell r="A136">
            <v>45785</v>
          </cell>
          <cell r="B136">
            <v>298</v>
          </cell>
          <cell r="D136">
            <v>45785</v>
          </cell>
          <cell r="E136">
            <v>4902.28</v>
          </cell>
        </row>
        <row r="137">
          <cell r="A137">
            <v>45784</v>
          </cell>
          <cell r="B137">
            <v>297.3</v>
          </cell>
          <cell r="D137">
            <v>45784</v>
          </cell>
          <cell r="E137">
            <v>4802.42</v>
          </cell>
        </row>
        <row r="138">
          <cell r="A138">
            <v>45783</v>
          </cell>
          <cell r="B138">
            <v>302.10000000000002</v>
          </cell>
          <cell r="D138">
            <v>45783</v>
          </cell>
          <cell r="E138">
            <v>4951.7299999999996</v>
          </cell>
        </row>
        <row r="139">
          <cell r="A139">
            <v>45782</v>
          </cell>
          <cell r="B139">
            <v>304.10000000000002</v>
          </cell>
          <cell r="D139">
            <v>45782</v>
          </cell>
          <cell r="E139">
            <v>4964.67</v>
          </cell>
        </row>
        <row r="140">
          <cell r="A140">
            <v>45781</v>
          </cell>
          <cell r="B140">
            <v>300.2</v>
          </cell>
          <cell r="D140">
            <v>45781</v>
          </cell>
          <cell r="E140">
            <v>4956.25</v>
          </cell>
        </row>
        <row r="141">
          <cell r="A141">
            <v>45777</v>
          </cell>
          <cell r="B141">
            <v>299.60000000000002</v>
          </cell>
          <cell r="D141">
            <v>45777</v>
          </cell>
          <cell r="E141">
            <v>4917.92</v>
          </cell>
        </row>
        <row r="142">
          <cell r="A142">
            <v>45776</v>
          </cell>
          <cell r="B142">
            <v>300.2</v>
          </cell>
          <cell r="D142">
            <v>45776</v>
          </cell>
          <cell r="E142">
            <v>4935.62</v>
          </cell>
        </row>
        <row r="143">
          <cell r="A143">
            <v>45775</v>
          </cell>
          <cell r="B143">
            <v>302.5</v>
          </cell>
          <cell r="D143">
            <v>45775</v>
          </cell>
          <cell r="E143">
            <v>4952.79</v>
          </cell>
        </row>
        <row r="144">
          <cell r="A144">
            <v>45774</v>
          </cell>
          <cell r="B144">
            <v>307.8</v>
          </cell>
          <cell r="D144">
            <v>45774</v>
          </cell>
          <cell r="E144">
            <v>4995.47</v>
          </cell>
        </row>
        <row r="145">
          <cell r="A145">
            <v>45771</v>
          </cell>
          <cell r="B145">
            <v>320.5</v>
          </cell>
          <cell r="D145">
            <v>45771</v>
          </cell>
          <cell r="E145">
            <v>4972.6000000000004</v>
          </cell>
        </row>
        <row r="146">
          <cell r="A146">
            <v>45770</v>
          </cell>
          <cell r="B146">
            <v>321.3</v>
          </cell>
          <cell r="D146">
            <v>45770</v>
          </cell>
          <cell r="E146">
            <v>5022.47</v>
          </cell>
        </row>
        <row r="147">
          <cell r="A147">
            <v>45769</v>
          </cell>
          <cell r="B147">
            <v>319.7</v>
          </cell>
          <cell r="D147">
            <v>45769</v>
          </cell>
          <cell r="E147">
            <v>5026.57</v>
          </cell>
        </row>
        <row r="148">
          <cell r="A148">
            <v>45768</v>
          </cell>
          <cell r="B148">
            <v>319.5</v>
          </cell>
          <cell r="D148">
            <v>45768</v>
          </cell>
          <cell r="E148">
            <v>5044.8500000000004</v>
          </cell>
        </row>
        <row r="149">
          <cell r="A149">
            <v>45767</v>
          </cell>
          <cell r="B149">
            <v>321.10000000000002</v>
          </cell>
          <cell r="D149">
            <v>45767</v>
          </cell>
          <cell r="E149">
            <v>5074.38</v>
          </cell>
        </row>
        <row r="150">
          <cell r="A150">
            <v>45764</v>
          </cell>
          <cell r="B150">
            <v>319.89999999999998</v>
          </cell>
          <cell r="D150">
            <v>45764</v>
          </cell>
          <cell r="E150">
            <v>5097.33</v>
          </cell>
        </row>
        <row r="151">
          <cell r="A151">
            <v>45763</v>
          </cell>
          <cell r="B151">
            <v>320.89999999999998</v>
          </cell>
          <cell r="D151">
            <v>45763</v>
          </cell>
          <cell r="E151">
            <v>5105.6899999999996</v>
          </cell>
        </row>
        <row r="152">
          <cell r="A152">
            <v>45762</v>
          </cell>
          <cell r="B152">
            <v>320.8</v>
          </cell>
          <cell r="D152">
            <v>45762</v>
          </cell>
          <cell r="E152">
            <v>5132.0200000000004</v>
          </cell>
        </row>
        <row r="153">
          <cell r="A153">
            <v>45760</v>
          </cell>
          <cell r="B153">
            <v>320.10000000000002</v>
          </cell>
          <cell r="D153">
            <v>45760</v>
          </cell>
          <cell r="E153">
            <v>5169.68</v>
          </cell>
        </row>
        <row r="154">
          <cell r="A154">
            <v>45757</v>
          </cell>
          <cell r="B154">
            <v>320.60000000000002</v>
          </cell>
          <cell r="D154">
            <v>45757</v>
          </cell>
          <cell r="E154">
            <v>5205.2299999999996</v>
          </cell>
        </row>
        <row r="155">
          <cell r="A155">
            <v>45756</v>
          </cell>
          <cell r="B155">
            <v>320.8</v>
          </cell>
          <cell r="D155">
            <v>45756</v>
          </cell>
          <cell r="E155">
            <v>5196.05</v>
          </cell>
        </row>
        <row r="156">
          <cell r="A156">
            <v>45755</v>
          </cell>
          <cell r="B156">
            <v>320.5</v>
          </cell>
          <cell r="D156">
            <v>45755</v>
          </cell>
          <cell r="E156">
            <v>5185.83</v>
          </cell>
        </row>
        <row r="157">
          <cell r="A157">
            <v>45754</v>
          </cell>
          <cell r="B157">
            <v>322.5</v>
          </cell>
          <cell r="D157">
            <v>45754</v>
          </cell>
          <cell r="E157">
            <v>5196.7</v>
          </cell>
        </row>
        <row r="158">
          <cell r="A158">
            <v>45753</v>
          </cell>
          <cell r="B158">
            <v>320.8</v>
          </cell>
          <cell r="D158">
            <v>45753</v>
          </cell>
          <cell r="E158">
            <v>5205.1899999999996</v>
          </cell>
        </row>
        <row r="159">
          <cell r="A159">
            <v>45743</v>
          </cell>
          <cell r="B159">
            <v>321.89999999999998</v>
          </cell>
          <cell r="D159">
            <v>45743</v>
          </cell>
          <cell r="E159">
            <v>5219.16</v>
          </cell>
        </row>
        <row r="160">
          <cell r="A160">
            <v>45741</v>
          </cell>
          <cell r="B160">
            <v>319.5</v>
          </cell>
          <cell r="D160">
            <v>45741</v>
          </cell>
          <cell r="E160">
            <v>5214.21</v>
          </cell>
        </row>
        <row r="161">
          <cell r="A161">
            <v>45740</v>
          </cell>
          <cell r="B161">
            <v>318.39999999999998</v>
          </cell>
          <cell r="D161">
            <v>45740</v>
          </cell>
          <cell r="E161">
            <v>5196.8900000000003</v>
          </cell>
        </row>
        <row r="162">
          <cell r="A162">
            <v>45739</v>
          </cell>
          <cell r="B162">
            <v>319.89999999999998</v>
          </cell>
          <cell r="D162">
            <v>45739</v>
          </cell>
          <cell r="E162">
            <v>5183.3599999999997</v>
          </cell>
        </row>
        <row r="163">
          <cell r="A163">
            <v>45736</v>
          </cell>
          <cell r="B163">
            <v>319.60000000000002</v>
          </cell>
          <cell r="D163">
            <v>45736</v>
          </cell>
          <cell r="E163">
            <v>5201.7</v>
          </cell>
        </row>
        <row r="164">
          <cell r="A164">
            <v>45735</v>
          </cell>
          <cell r="B164">
            <v>319.7</v>
          </cell>
          <cell r="D164">
            <v>45735</v>
          </cell>
          <cell r="E164">
            <v>5207.3599999999997</v>
          </cell>
        </row>
        <row r="165">
          <cell r="A165">
            <v>45734</v>
          </cell>
          <cell r="B165">
            <v>321.2</v>
          </cell>
          <cell r="D165">
            <v>45734</v>
          </cell>
          <cell r="E165">
            <v>5210.29</v>
          </cell>
        </row>
        <row r="166">
          <cell r="A166">
            <v>45733</v>
          </cell>
          <cell r="B166">
            <v>322.60000000000002</v>
          </cell>
          <cell r="D166">
            <v>45733</v>
          </cell>
          <cell r="E166">
            <v>5205.4399999999996</v>
          </cell>
        </row>
        <row r="167">
          <cell r="A167">
            <v>45732</v>
          </cell>
          <cell r="B167">
            <v>324.8</v>
          </cell>
          <cell r="D167">
            <v>45732</v>
          </cell>
          <cell r="E167">
            <v>5221.95</v>
          </cell>
        </row>
        <row r="168">
          <cell r="A168">
            <v>45729</v>
          </cell>
          <cell r="B168">
            <v>325.39999999999998</v>
          </cell>
          <cell r="D168">
            <v>45729</v>
          </cell>
          <cell r="E168">
            <v>5225.6099999999997</v>
          </cell>
        </row>
        <row r="169">
          <cell r="A169">
            <v>45728</v>
          </cell>
          <cell r="B169">
            <v>325.5</v>
          </cell>
          <cell r="D169">
            <v>45728</v>
          </cell>
          <cell r="E169">
            <v>5216.07</v>
          </cell>
        </row>
        <row r="170">
          <cell r="A170">
            <v>45727</v>
          </cell>
          <cell r="B170">
            <v>324.89999999999998</v>
          </cell>
          <cell r="D170">
            <v>45727</v>
          </cell>
          <cell r="E170">
            <v>5199.3</v>
          </cell>
        </row>
        <row r="171">
          <cell r="A171">
            <v>45726</v>
          </cell>
          <cell r="B171">
            <v>326.8</v>
          </cell>
          <cell r="D171">
            <v>45726</v>
          </cell>
          <cell r="E171">
            <v>5190.95</v>
          </cell>
        </row>
        <row r="172">
          <cell r="A172">
            <v>45725</v>
          </cell>
          <cell r="B172">
            <v>323.89999999999998</v>
          </cell>
          <cell r="D172">
            <v>45725</v>
          </cell>
          <cell r="E172">
            <v>5174.4399999999996</v>
          </cell>
        </row>
        <row r="173">
          <cell r="A173">
            <v>45722</v>
          </cell>
          <cell r="B173">
            <v>324.8</v>
          </cell>
          <cell r="D173">
            <v>45722</v>
          </cell>
          <cell r="E173">
            <v>5203.96</v>
          </cell>
        </row>
        <row r="174">
          <cell r="A174">
            <v>45721</v>
          </cell>
          <cell r="B174">
            <v>325.3</v>
          </cell>
          <cell r="D174">
            <v>45721</v>
          </cell>
          <cell r="E174">
            <v>5196.66</v>
          </cell>
        </row>
        <row r="175">
          <cell r="A175">
            <v>45720</v>
          </cell>
          <cell r="B175">
            <v>325.39999999999998</v>
          </cell>
          <cell r="D175">
            <v>45720</v>
          </cell>
          <cell r="E175">
            <v>5194.1099999999997</v>
          </cell>
        </row>
        <row r="176">
          <cell r="A176">
            <v>45719</v>
          </cell>
          <cell r="B176">
            <v>326.89999999999998</v>
          </cell>
          <cell r="D176">
            <v>45719</v>
          </cell>
          <cell r="E176">
            <v>5220.67</v>
          </cell>
        </row>
        <row r="177">
          <cell r="A177">
            <v>45718</v>
          </cell>
          <cell r="B177">
            <v>324.89999999999998</v>
          </cell>
          <cell r="D177">
            <v>45718</v>
          </cell>
          <cell r="E177">
            <v>5236.8500000000004</v>
          </cell>
        </row>
        <row r="178">
          <cell r="A178">
            <v>45715</v>
          </cell>
          <cell r="B178">
            <v>328.2</v>
          </cell>
          <cell r="D178">
            <v>45715</v>
          </cell>
          <cell r="E178">
            <v>5247.3</v>
          </cell>
        </row>
        <row r="179">
          <cell r="A179">
            <v>45713</v>
          </cell>
          <cell r="B179">
            <v>344.1</v>
          </cell>
          <cell r="D179">
            <v>45714</v>
          </cell>
          <cell r="E179">
            <v>5253.79</v>
          </cell>
        </row>
        <row r="180">
          <cell r="A180">
            <v>45712</v>
          </cell>
          <cell r="B180">
            <v>344.9</v>
          </cell>
          <cell r="D180">
            <v>45713</v>
          </cell>
          <cell r="E180">
            <v>5267.89</v>
          </cell>
        </row>
        <row r="181">
          <cell r="A181">
            <v>45711</v>
          </cell>
          <cell r="B181">
            <v>346.4</v>
          </cell>
          <cell r="D181">
            <v>45712</v>
          </cell>
          <cell r="E181">
            <v>5234.95</v>
          </cell>
        </row>
        <row r="182">
          <cell r="A182">
            <v>45708</v>
          </cell>
          <cell r="B182">
            <v>345.7</v>
          </cell>
          <cell r="D182">
            <v>45711</v>
          </cell>
          <cell r="E182">
            <v>5224.37</v>
          </cell>
        </row>
        <row r="183">
          <cell r="A183">
            <v>45707</v>
          </cell>
          <cell r="B183">
            <v>343.7</v>
          </cell>
          <cell r="D183">
            <v>45708</v>
          </cell>
          <cell r="E183">
            <v>5200.37</v>
          </cell>
        </row>
        <row r="184">
          <cell r="A184">
            <v>45706</v>
          </cell>
          <cell r="B184">
            <v>343.8</v>
          </cell>
          <cell r="D184">
            <v>45707</v>
          </cell>
          <cell r="E184">
            <v>5192.4399999999996</v>
          </cell>
        </row>
        <row r="185">
          <cell r="A185">
            <v>45705</v>
          </cell>
          <cell r="B185">
            <v>345.8</v>
          </cell>
          <cell r="D185">
            <v>45706</v>
          </cell>
          <cell r="E185">
            <v>5203.2</v>
          </cell>
        </row>
        <row r="186">
          <cell r="A186">
            <v>45704</v>
          </cell>
          <cell r="B186">
            <v>340.6</v>
          </cell>
          <cell r="D186">
            <v>45705</v>
          </cell>
          <cell r="E186">
            <v>5211.53</v>
          </cell>
        </row>
        <row r="187">
          <cell r="A187">
            <v>45701</v>
          </cell>
          <cell r="B187">
            <v>338.6</v>
          </cell>
          <cell r="D187">
            <v>45704</v>
          </cell>
          <cell r="E187">
            <v>5198.78</v>
          </cell>
        </row>
        <row r="188">
          <cell r="A188">
            <v>45700</v>
          </cell>
          <cell r="B188">
            <v>336.9</v>
          </cell>
          <cell r="D188">
            <v>45701</v>
          </cell>
          <cell r="E188">
            <v>5201.4799999999996</v>
          </cell>
        </row>
        <row r="189">
          <cell r="A189">
            <v>45699</v>
          </cell>
          <cell r="B189">
            <v>337.1</v>
          </cell>
          <cell r="D189">
            <v>45700</v>
          </cell>
          <cell r="E189">
            <v>5189.62</v>
          </cell>
        </row>
        <row r="190">
          <cell r="A190">
            <v>45698</v>
          </cell>
          <cell r="B190">
            <v>337.6</v>
          </cell>
          <cell r="D190">
            <v>45699</v>
          </cell>
          <cell r="E190">
            <v>5192.05</v>
          </cell>
        </row>
        <row r="191">
          <cell r="A191">
            <v>45697</v>
          </cell>
          <cell r="B191">
            <v>336.6</v>
          </cell>
          <cell r="D191">
            <v>45698</v>
          </cell>
          <cell r="E191">
            <v>5174.28</v>
          </cell>
        </row>
        <row r="192">
          <cell r="A192">
            <v>45694</v>
          </cell>
          <cell r="B192">
            <v>337.8</v>
          </cell>
          <cell r="D192">
            <v>45697</v>
          </cell>
          <cell r="E192">
            <v>5165.88</v>
          </cell>
        </row>
        <row r="193">
          <cell r="A193">
            <v>45693</v>
          </cell>
          <cell r="B193">
            <v>338</v>
          </cell>
          <cell r="D193">
            <v>45694</v>
          </cell>
          <cell r="E193">
            <v>5179.18</v>
          </cell>
        </row>
        <row r="194">
          <cell r="A194">
            <v>45692</v>
          </cell>
          <cell r="B194">
            <v>338.6</v>
          </cell>
          <cell r="D194">
            <v>45693</v>
          </cell>
          <cell r="E194">
            <v>5170.0600000000004</v>
          </cell>
        </row>
        <row r="195">
          <cell r="A195">
            <v>45691</v>
          </cell>
          <cell r="B195">
            <v>337</v>
          </cell>
          <cell r="D195">
            <v>45692</v>
          </cell>
          <cell r="E195">
            <v>5147.34</v>
          </cell>
        </row>
        <row r="196">
          <cell r="A196">
            <v>45690</v>
          </cell>
          <cell r="B196">
            <v>336.8</v>
          </cell>
          <cell r="D196">
            <v>45691</v>
          </cell>
          <cell r="E196">
            <v>5145.84</v>
          </cell>
        </row>
        <row r="197">
          <cell r="A197">
            <v>45687</v>
          </cell>
          <cell r="B197">
            <v>335.4</v>
          </cell>
          <cell r="D197">
            <v>45690</v>
          </cell>
          <cell r="E197">
            <v>5126.1499999999996</v>
          </cell>
        </row>
        <row r="198">
          <cell r="A198">
            <v>45686</v>
          </cell>
          <cell r="B198">
            <v>333.1</v>
          </cell>
          <cell r="D198">
            <v>45687</v>
          </cell>
          <cell r="E198">
            <v>5112.8999999999996</v>
          </cell>
        </row>
        <row r="199">
          <cell r="A199">
            <v>45685</v>
          </cell>
          <cell r="B199">
            <v>331.7</v>
          </cell>
          <cell r="D199">
            <v>45686</v>
          </cell>
          <cell r="E199">
            <v>5112.51</v>
          </cell>
        </row>
        <row r="200">
          <cell r="A200">
            <v>45684</v>
          </cell>
          <cell r="B200">
            <v>330.8</v>
          </cell>
          <cell r="D200">
            <v>45685</v>
          </cell>
          <cell r="E200">
            <v>5126.42</v>
          </cell>
        </row>
        <row r="201">
          <cell r="A201">
            <v>45683</v>
          </cell>
          <cell r="B201">
            <v>330.1</v>
          </cell>
          <cell r="D201">
            <v>45684</v>
          </cell>
          <cell r="E201">
            <v>5130.0600000000004</v>
          </cell>
        </row>
        <row r="202">
          <cell r="A202">
            <v>45680</v>
          </cell>
          <cell r="B202">
            <v>333.7</v>
          </cell>
          <cell r="D202">
            <v>45680</v>
          </cell>
          <cell r="E202">
            <v>5166.53</v>
          </cell>
        </row>
        <row r="203">
          <cell r="A203">
            <v>45679</v>
          </cell>
          <cell r="B203">
            <v>335.7</v>
          </cell>
          <cell r="D203">
            <v>45679</v>
          </cell>
          <cell r="E203">
            <v>5177.24</v>
          </cell>
        </row>
        <row r="204">
          <cell r="A204">
            <v>45678</v>
          </cell>
          <cell r="B204">
            <v>335.8</v>
          </cell>
          <cell r="D204">
            <v>45678</v>
          </cell>
          <cell r="E204">
            <v>5202.62</v>
          </cell>
        </row>
        <row r="205">
          <cell r="A205">
            <v>45677</v>
          </cell>
          <cell r="B205">
            <v>333.1</v>
          </cell>
          <cell r="D205">
            <v>45677</v>
          </cell>
          <cell r="E205">
            <v>5195.83</v>
          </cell>
        </row>
        <row r="206">
          <cell r="A206">
            <v>45676</v>
          </cell>
          <cell r="B206">
            <v>332.5</v>
          </cell>
          <cell r="D206">
            <v>45673</v>
          </cell>
          <cell r="E206">
            <v>5133.92</v>
          </cell>
        </row>
        <row r="207">
          <cell r="A207">
            <v>45673</v>
          </cell>
          <cell r="B207">
            <v>331.1</v>
          </cell>
          <cell r="D207">
            <v>45672</v>
          </cell>
          <cell r="E207">
            <v>5142.5200000000004</v>
          </cell>
        </row>
        <row r="208">
          <cell r="A208">
            <v>45672</v>
          </cell>
          <cell r="B208">
            <v>329.4</v>
          </cell>
          <cell r="D208">
            <v>45671</v>
          </cell>
          <cell r="E208">
            <v>5150.87</v>
          </cell>
        </row>
        <row r="209">
          <cell r="A209">
            <v>45671</v>
          </cell>
          <cell r="B209">
            <v>332.9</v>
          </cell>
          <cell r="D209">
            <v>45670</v>
          </cell>
          <cell r="E209">
            <v>5151.88</v>
          </cell>
        </row>
        <row r="210">
          <cell r="A210">
            <v>45670</v>
          </cell>
          <cell r="B210">
            <v>339.1</v>
          </cell>
          <cell r="D210">
            <v>45666</v>
          </cell>
          <cell r="E210">
            <v>5194.43</v>
          </cell>
        </row>
        <row r="211">
          <cell r="A211">
            <v>45669</v>
          </cell>
          <cell r="B211">
            <v>335</v>
          </cell>
          <cell r="D211">
            <v>45665</v>
          </cell>
          <cell r="E211">
            <v>5185</v>
          </cell>
        </row>
        <row r="212">
          <cell r="A212">
            <v>45666</v>
          </cell>
          <cell r="B212">
            <v>332.4</v>
          </cell>
          <cell r="D212">
            <v>45664</v>
          </cell>
          <cell r="E212">
            <v>5190.78</v>
          </cell>
        </row>
        <row r="213">
          <cell r="A213">
            <v>45665</v>
          </cell>
          <cell r="B213">
            <v>326.7</v>
          </cell>
          <cell r="D213">
            <v>45663</v>
          </cell>
          <cell r="E213">
            <v>5198.84</v>
          </cell>
        </row>
        <row r="214">
          <cell r="A214">
            <v>45664</v>
          </cell>
          <cell r="B214">
            <v>326.10000000000002</v>
          </cell>
          <cell r="D214">
            <v>45659</v>
          </cell>
          <cell r="E214">
            <v>5199.62</v>
          </cell>
        </row>
        <row r="215">
          <cell r="A215">
            <v>45663</v>
          </cell>
          <cell r="B215">
            <v>325.2</v>
          </cell>
          <cell r="D215">
            <v>45658</v>
          </cell>
          <cell r="E215">
            <v>5218.16</v>
          </cell>
        </row>
        <row r="216">
          <cell r="A216">
            <v>45662</v>
          </cell>
          <cell r="B216">
            <v>324.7</v>
          </cell>
          <cell r="D216">
            <v>45656</v>
          </cell>
          <cell r="E216">
            <v>5216.4399999999996</v>
          </cell>
        </row>
        <row r="217">
          <cell r="A217">
            <v>45659</v>
          </cell>
          <cell r="B217">
            <v>324.2</v>
          </cell>
          <cell r="D217">
            <v>45652</v>
          </cell>
          <cell r="E217">
            <v>5184.45</v>
          </cell>
        </row>
        <row r="218">
          <cell r="A218">
            <v>45658</v>
          </cell>
          <cell r="B218">
            <v>325.10000000000002</v>
          </cell>
          <cell r="D218">
            <v>45650</v>
          </cell>
          <cell r="E218">
            <v>5169.32</v>
          </cell>
        </row>
        <row r="219">
          <cell r="A219">
            <v>45656</v>
          </cell>
          <cell r="B219">
            <v>323.10000000000002</v>
          </cell>
          <cell r="D219">
            <v>45649</v>
          </cell>
          <cell r="E219">
            <v>5170.79</v>
          </cell>
        </row>
        <row r="220">
          <cell r="A220">
            <v>45655</v>
          </cell>
          <cell r="B220">
            <v>322.5</v>
          </cell>
          <cell r="D220">
            <v>45645</v>
          </cell>
          <cell r="E220">
            <v>5221.57</v>
          </cell>
        </row>
        <row r="221">
          <cell r="A221">
            <v>45652</v>
          </cell>
          <cell r="B221">
            <v>322.5</v>
          </cell>
          <cell r="D221">
            <v>45644</v>
          </cell>
          <cell r="E221">
            <v>5208.21</v>
          </cell>
        </row>
        <row r="222">
          <cell r="A222">
            <v>45650</v>
          </cell>
          <cell r="B222">
            <v>322.5</v>
          </cell>
          <cell r="D222">
            <v>45643</v>
          </cell>
          <cell r="E222">
            <v>5224.58</v>
          </cell>
        </row>
        <row r="223">
          <cell r="A223">
            <v>45649</v>
          </cell>
          <cell r="B223">
            <v>323.5</v>
          </cell>
          <cell r="D223">
            <v>45638</v>
          </cell>
          <cell r="E223">
            <v>5105.43</v>
          </cell>
        </row>
        <row r="224">
          <cell r="A224">
            <v>45648</v>
          </cell>
          <cell r="B224">
            <v>325.2</v>
          </cell>
          <cell r="D224">
            <v>45637</v>
          </cell>
          <cell r="E224">
            <v>5124.5</v>
          </cell>
        </row>
        <row r="225">
          <cell r="A225">
            <v>45645</v>
          </cell>
          <cell r="B225">
            <v>325.39999999999998</v>
          </cell>
          <cell r="D225">
            <v>45636</v>
          </cell>
          <cell r="E225">
            <v>5166.83</v>
          </cell>
        </row>
        <row r="226">
          <cell r="A226">
            <v>45644</v>
          </cell>
          <cell r="B226">
            <v>324.2</v>
          </cell>
          <cell r="D226">
            <v>45635</v>
          </cell>
          <cell r="E226">
            <v>5166.9799999999996</v>
          </cell>
        </row>
        <row r="227">
          <cell r="A227">
            <v>45643</v>
          </cell>
          <cell r="B227">
            <v>320</v>
          </cell>
          <cell r="D227">
            <v>45631</v>
          </cell>
          <cell r="E227">
            <v>5196.82</v>
          </cell>
        </row>
        <row r="228">
          <cell r="A228">
            <v>45641</v>
          </cell>
          <cell r="B228">
            <v>314.3</v>
          </cell>
          <cell r="D228">
            <v>45630</v>
          </cell>
          <cell r="E228">
            <v>5238.37</v>
          </cell>
        </row>
        <row r="229">
          <cell r="A229">
            <v>45638</v>
          </cell>
          <cell r="B229">
            <v>314.60000000000002</v>
          </cell>
          <cell r="D229">
            <v>45629</v>
          </cell>
          <cell r="E229">
            <v>5226.05</v>
          </cell>
        </row>
        <row r="230">
          <cell r="A230">
            <v>45637</v>
          </cell>
          <cell r="B230">
            <v>313.5</v>
          </cell>
          <cell r="D230">
            <v>45628</v>
          </cell>
          <cell r="E230">
            <v>5201.9399999999996</v>
          </cell>
        </row>
        <row r="231">
          <cell r="A231">
            <v>45636</v>
          </cell>
          <cell r="B231">
            <v>316.3</v>
          </cell>
          <cell r="D231">
            <v>45624</v>
          </cell>
          <cell r="E231">
            <v>5192.59</v>
          </cell>
        </row>
        <row r="232">
          <cell r="A232">
            <v>45635</v>
          </cell>
          <cell r="B232">
            <v>317.89999999999998</v>
          </cell>
          <cell r="D232">
            <v>45623</v>
          </cell>
          <cell r="E232">
            <v>5197.9399999999996</v>
          </cell>
        </row>
        <row r="233">
          <cell r="A233">
            <v>45634</v>
          </cell>
          <cell r="B233">
            <v>318.2</v>
          </cell>
          <cell r="D233">
            <v>45622</v>
          </cell>
          <cell r="E233">
            <v>5143.13</v>
          </cell>
        </row>
        <row r="234">
          <cell r="A234">
            <v>45631</v>
          </cell>
          <cell r="B234">
            <v>317.60000000000002</v>
          </cell>
          <cell r="D234">
            <v>45621</v>
          </cell>
          <cell r="E234">
            <v>5136.13</v>
          </cell>
        </row>
        <row r="235">
          <cell r="A235">
            <v>45630</v>
          </cell>
          <cell r="B235">
            <v>320.5</v>
          </cell>
          <cell r="D235">
            <v>45617</v>
          </cell>
          <cell r="E235">
            <v>5197.58</v>
          </cell>
        </row>
        <row r="236">
          <cell r="A236">
            <v>45629</v>
          </cell>
          <cell r="B236">
            <v>323.8</v>
          </cell>
          <cell r="D236">
            <v>45616</v>
          </cell>
          <cell r="E236">
            <v>5245.26</v>
          </cell>
        </row>
        <row r="237">
          <cell r="A237">
            <v>45628</v>
          </cell>
          <cell r="B237">
            <v>319.2</v>
          </cell>
          <cell r="D237">
            <v>45615</v>
          </cell>
          <cell r="E237">
            <v>5242.66</v>
          </cell>
        </row>
        <row r="238">
          <cell r="A238">
            <v>45627</v>
          </cell>
          <cell r="B238">
            <v>317.8</v>
          </cell>
          <cell r="D238">
            <v>45614</v>
          </cell>
          <cell r="E238">
            <v>5300.07</v>
          </cell>
        </row>
        <row r="239">
          <cell r="A239">
            <v>45624</v>
          </cell>
          <cell r="B239">
            <v>319.7</v>
          </cell>
          <cell r="D239">
            <v>45610</v>
          </cell>
          <cell r="E239">
            <v>5355.33</v>
          </cell>
        </row>
        <row r="240">
          <cell r="A240">
            <v>45623</v>
          </cell>
          <cell r="B240">
            <v>321.10000000000002</v>
          </cell>
          <cell r="D240">
            <v>45609</v>
          </cell>
          <cell r="E240">
            <v>5316.02</v>
          </cell>
        </row>
        <row r="241">
          <cell r="A241">
            <v>45622</v>
          </cell>
          <cell r="B241">
            <v>318.8</v>
          </cell>
          <cell r="D241">
            <v>45608</v>
          </cell>
          <cell r="E241">
            <v>5298.37</v>
          </cell>
        </row>
        <row r="242">
          <cell r="A242">
            <v>45621</v>
          </cell>
          <cell r="B242">
            <v>315.2</v>
          </cell>
          <cell r="D242">
            <v>45607</v>
          </cell>
          <cell r="E242">
            <v>5333.42</v>
          </cell>
        </row>
        <row r="243">
          <cell r="A243">
            <v>45620</v>
          </cell>
          <cell r="B243">
            <v>317.8</v>
          </cell>
          <cell r="D243">
            <v>45603</v>
          </cell>
          <cell r="E243">
            <v>5316.33</v>
          </cell>
        </row>
        <row r="244">
          <cell r="A244">
            <v>45617</v>
          </cell>
          <cell r="B244">
            <v>318.2</v>
          </cell>
          <cell r="D244">
            <v>45602</v>
          </cell>
          <cell r="E244">
            <v>5347.08</v>
          </cell>
        </row>
        <row r="245">
          <cell r="A245">
            <v>45616</v>
          </cell>
          <cell r="B245">
            <v>322.89999999999998</v>
          </cell>
          <cell r="D245">
            <v>45601</v>
          </cell>
          <cell r="E245">
            <v>5365.02</v>
          </cell>
        </row>
        <row r="246">
          <cell r="A246">
            <v>45615</v>
          </cell>
          <cell r="B246">
            <v>320.39999999999998</v>
          </cell>
          <cell r="D246">
            <v>45600</v>
          </cell>
          <cell r="E246">
            <v>5252.5</v>
          </cell>
        </row>
        <row r="247">
          <cell r="A247">
            <v>45614</v>
          </cell>
          <cell r="B247">
            <v>318.8</v>
          </cell>
          <cell r="D247">
            <v>45596</v>
          </cell>
          <cell r="E247">
            <v>5199.3999999999996</v>
          </cell>
        </row>
        <row r="248">
          <cell r="A248">
            <v>45613</v>
          </cell>
          <cell r="B248">
            <v>320.7</v>
          </cell>
          <cell r="D248">
            <v>45595</v>
          </cell>
          <cell r="E248">
            <v>5164.84</v>
          </cell>
        </row>
        <row r="249">
          <cell r="A249">
            <v>45610</v>
          </cell>
          <cell r="B249">
            <v>326</v>
          </cell>
          <cell r="D249">
            <v>45594</v>
          </cell>
          <cell r="E249">
            <v>5017.33</v>
          </cell>
        </row>
        <row r="250">
          <cell r="A250">
            <v>45609</v>
          </cell>
          <cell r="B250">
            <v>325.5</v>
          </cell>
          <cell r="D250">
            <v>45593</v>
          </cell>
          <cell r="E250">
            <v>4898.53</v>
          </cell>
        </row>
        <row r="251">
          <cell r="A251">
            <v>45608</v>
          </cell>
          <cell r="B251">
            <v>328.8</v>
          </cell>
          <cell r="D251">
            <v>45589</v>
          </cell>
          <cell r="E251">
            <v>5114.6000000000004</v>
          </cell>
        </row>
        <row r="252">
          <cell r="A252">
            <v>45607</v>
          </cell>
          <cell r="B252">
            <v>325.60000000000002</v>
          </cell>
          <cell r="D252">
            <v>45588</v>
          </cell>
          <cell r="E252">
            <v>5169.79</v>
          </cell>
        </row>
        <row r="253">
          <cell r="A253">
            <v>45606</v>
          </cell>
          <cell r="B253">
            <v>318.3</v>
          </cell>
          <cell r="D253">
            <v>45587</v>
          </cell>
          <cell r="E253">
            <v>5241.7700000000004</v>
          </cell>
        </row>
        <row r="254">
          <cell r="A254">
            <v>45603</v>
          </cell>
          <cell r="B254">
            <v>321.10000000000002</v>
          </cell>
          <cell r="D254">
            <v>45586</v>
          </cell>
          <cell r="E254">
            <v>5173.1099999999997</v>
          </cell>
        </row>
        <row r="255">
          <cell r="A255">
            <v>45602</v>
          </cell>
          <cell r="B255">
            <v>315.7</v>
          </cell>
          <cell r="D255">
            <v>45582</v>
          </cell>
          <cell r="E255">
            <v>5257.98</v>
          </cell>
        </row>
        <row r="256">
          <cell r="A256">
            <v>45601</v>
          </cell>
          <cell r="B256">
            <v>316.10000000000002</v>
          </cell>
          <cell r="D256">
            <v>45581</v>
          </cell>
          <cell r="E256">
            <v>5316.21</v>
          </cell>
        </row>
        <row r="257">
          <cell r="A257">
            <v>45600</v>
          </cell>
          <cell r="B257">
            <v>314.8</v>
          </cell>
          <cell r="D257">
            <v>45580</v>
          </cell>
          <cell r="E257">
            <v>5365.96</v>
          </cell>
        </row>
        <row r="258">
          <cell r="A258">
            <v>45599</v>
          </cell>
          <cell r="B258">
            <v>310.39999999999998</v>
          </cell>
          <cell r="D258">
            <v>45579</v>
          </cell>
          <cell r="E258">
            <v>5373.54</v>
          </cell>
        </row>
        <row r="259">
          <cell r="A259">
            <v>45596</v>
          </cell>
          <cell r="B259">
            <v>314.2</v>
          </cell>
          <cell r="D259">
            <v>45574</v>
          </cell>
          <cell r="E259">
            <v>5422.06</v>
          </cell>
        </row>
        <row r="260">
          <cell r="A260">
            <v>45595</v>
          </cell>
          <cell r="B260">
            <v>317.5</v>
          </cell>
          <cell r="D260">
            <v>45573</v>
          </cell>
          <cell r="E260">
            <v>5323.22</v>
          </cell>
        </row>
        <row r="261">
          <cell r="A261">
            <v>45594</v>
          </cell>
          <cell r="B261">
            <v>311.2</v>
          </cell>
          <cell r="D261">
            <v>45572</v>
          </cell>
          <cell r="E261">
            <v>5335.06</v>
          </cell>
        </row>
        <row r="262">
          <cell r="A262">
            <v>45593</v>
          </cell>
          <cell r="B262">
            <v>304.60000000000002</v>
          </cell>
          <cell r="D262">
            <v>45568</v>
          </cell>
          <cell r="E262">
            <v>5462.58</v>
          </cell>
        </row>
        <row r="263">
          <cell r="A263">
            <v>45592</v>
          </cell>
          <cell r="B263">
            <v>305.7</v>
          </cell>
          <cell r="D263">
            <v>45567</v>
          </cell>
          <cell r="E263">
            <v>5453.99</v>
          </cell>
        </row>
        <row r="264">
          <cell r="A264">
            <v>45589</v>
          </cell>
          <cell r="B264">
            <v>316.89999999999998</v>
          </cell>
          <cell r="D264">
            <v>45566</v>
          </cell>
          <cell r="E264">
            <v>5586.29</v>
          </cell>
        </row>
        <row r="265">
          <cell r="A265">
            <v>45588</v>
          </cell>
          <cell r="B265">
            <v>322.3</v>
          </cell>
          <cell r="D265">
            <v>45565</v>
          </cell>
          <cell r="E265">
            <v>5624.5</v>
          </cell>
        </row>
        <row r="266">
          <cell r="A266">
            <v>45587</v>
          </cell>
          <cell r="B266">
            <v>330.7</v>
          </cell>
          <cell r="D266">
            <v>45561</v>
          </cell>
          <cell r="E266">
            <v>5639.13</v>
          </cell>
        </row>
        <row r="267">
          <cell r="A267">
            <v>45586</v>
          </cell>
          <cell r="B267">
            <v>329.3</v>
          </cell>
          <cell r="D267">
            <v>45560</v>
          </cell>
          <cell r="E267">
            <v>5736.51</v>
          </cell>
        </row>
        <row r="268">
          <cell r="A268">
            <v>45585</v>
          </cell>
          <cell r="B268">
            <v>332.8</v>
          </cell>
          <cell r="D268">
            <v>45559</v>
          </cell>
          <cell r="E268">
            <v>5777.96</v>
          </cell>
        </row>
        <row r="269">
          <cell r="A269">
            <v>45582</v>
          </cell>
          <cell r="B269">
            <v>335</v>
          </cell>
          <cell r="D269">
            <v>45558</v>
          </cell>
          <cell r="E269">
            <v>5760.39</v>
          </cell>
        </row>
        <row r="270">
          <cell r="A270">
            <v>45581</v>
          </cell>
          <cell r="B270">
            <v>337.6</v>
          </cell>
          <cell r="D270">
            <v>45554</v>
          </cell>
          <cell r="E270">
            <v>5735.27</v>
          </cell>
        </row>
        <row r="271">
          <cell r="A271">
            <v>45580</v>
          </cell>
          <cell r="B271">
            <v>335.4</v>
          </cell>
          <cell r="D271">
            <v>45553</v>
          </cell>
          <cell r="E271">
            <v>5694.14</v>
          </cell>
        </row>
        <row r="272">
          <cell r="A272">
            <v>45579</v>
          </cell>
          <cell r="B272">
            <v>335.5</v>
          </cell>
          <cell r="D272">
            <v>45552</v>
          </cell>
          <cell r="E272">
            <v>5681.6</v>
          </cell>
        </row>
        <row r="273">
          <cell r="A273">
            <v>45574</v>
          </cell>
          <cell r="B273">
            <v>338.1</v>
          </cell>
          <cell r="D273">
            <v>45547</v>
          </cell>
          <cell r="E273">
            <v>5726.52</v>
          </cell>
        </row>
        <row r="274">
          <cell r="A274">
            <v>45573</v>
          </cell>
          <cell r="B274">
            <v>329.4</v>
          </cell>
          <cell r="D274">
            <v>45546</v>
          </cell>
          <cell r="E274">
            <v>5713.96</v>
          </cell>
        </row>
        <row r="275">
          <cell r="A275">
            <v>45572</v>
          </cell>
          <cell r="B275">
            <v>325.8</v>
          </cell>
          <cell r="D275">
            <v>45545</v>
          </cell>
          <cell r="E275">
            <v>5702.83</v>
          </cell>
        </row>
        <row r="276">
          <cell r="A276">
            <v>45571</v>
          </cell>
          <cell r="B276">
            <v>332</v>
          </cell>
          <cell r="D276">
            <v>45544</v>
          </cell>
          <cell r="E276">
            <v>5629.54</v>
          </cell>
        </row>
        <row r="277">
          <cell r="A277">
            <v>45568</v>
          </cell>
          <cell r="B277">
            <v>337.9</v>
          </cell>
          <cell r="D277">
            <v>45540</v>
          </cell>
          <cell r="E277">
            <v>5728.65</v>
          </cell>
        </row>
        <row r="278">
          <cell r="A278">
            <v>45567</v>
          </cell>
          <cell r="B278">
            <v>341.1</v>
          </cell>
          <cell r="D278">
            <v>45539</v>
          </cell>
          <cell r="E278">
            <v>5739.07</v>
          </cell>
        </row>
        <row r="279">
          <cell r="A279">
            <v>45566</v>
          </cell>
          <cell r="B279">
            <v>348.5</v>
          </cell>
          <cell r="D279">
            <v>45538</v>
          </cell>
          <cell r="E279">
            <v>5786.52</v>
          </cell>
        </row>
        <row r="280">
          <cell r="A280">
            <v>45565</v>
          </cell>
          <cell r="B280">
            <v>350.2</v>
          </cell>
          <cell r="D280">
            <v>45537</v>
          </cell>
          <cell r="E280">
            <v>5803.71</v>
          </cell>
        </row>
        <row r="281">
          <cell r="A281">
            <v>45564</v>
          </cell>
          <cell r="B281">
            <v>349.3</v>
          </cell>
          <cell r="D281">
            <v>45533</v>
          </cell>
          <cell r="E281">
            <v>5804.42</v>
          </cell>
        </row>
        <row r="282">
          <cell r="A282">
            <v>45561</v>
          </cell>
          <cell r="B282">
            <v>349.4</v>
          </cell>
          <cell r="D282">
            <v>45532</v>
          </cell>
          <cell r="E282">
            <v>5756.71</v>
          </cell>
        </row>
        <row r="283">
          <cell r="A283">
            <v>45560</v>
          </cell>
          <cell r="B283">
            <v>351.4</v>
          </cell>
          <cell r="D283">
            <v>45531</v>
          </cell>
          <cell r="E283">
            <v>5685.78</v>
          </cell>
        </row>
        <row r="284">
          <cell r="A284">
            <v>45559</v>
          </cell>
          <cell r="B284">
            <v>349.4</v>
          </cell>
          <cell r="D284">
            <v>45530</v>
          </cell>
          <cell r="E284">
            <v>5700.59</v>
          </cell>
        </row>
        <row r="285">
          <cell r="A285">
            <v>45558</v>
          </cell>
          <cell r="B285">
            <v>342.8</v>
          </cell>
          <cell r="D285">
            <v>45526</v>
          </cell>
          <cell r="E285">
            <v>5699.92</v>
          </cell>
        </row>
        <row r="286">
          <cell r="A286">
            <v>45557</v>
          </cell>
          <cell r="B286">
            <v>339.7</v>
          </cell>
          <cell r="D286">
            <v>45525</v>
          </cell>
          <cell r="E286">
            <v>5606.96</v>
          </cell>
        </row>
        <row r="287">
          <cell r="A287">
            <v>45554</v>
          </cell>
          <cell r="B287">
            <v>343.4</v>
          </cell>
          <cell r="D287">
            <v>45524</v>
          </cell>
          <cell r="E287">
            <v>5715.36</v>
          </cell>
        </row>
        <row r="288">
          <cell r="A288">
            <v>45553</v>
          </cell>
          <cell r="B288">
            <v>328.5</v>
          </cell>
          <cell r="D288">
            <v>45523</v>
          </cell>
          <cell r="E288">
            <v>5775.49</v>
          </cell>
        </row>
        <row r="289">
          <cell r="A289">
            <v>45552</v>
          </cell>
          <cell r="B289">
            <v>330.8</v>
          </cell>
          <cell r="D289">
            <v>45519</v>
          </cell>
          <cell r="E289">
            <v>5903.84</v>
          </cell>
        </row>
        <row r="290">
          <cell r="A290">
            <v>45550</v>
          </cell>
          <cell r="B290">
            <v>334.1</v>
          </cell>
          <cell r="D290">
            <v>45518</v>
          </cell>
          <cell r="E290">
            <v>5952.77</v>
          </cell>
        </row>
        <row r="291">
          <cell r="A291">
            <v>45547</v>
          </cell>
          <cell r="B291">
            <v>331.6</v>
          </cell>
          <cell r="D291">
            <v>45517</v>
          </cell>
          <cell r="E291">
            <v>5867.96</v>
          </cell>
        </row>
        <row r="292">
          <cell r="A292">
            <v>45546</v>
          </cell>
          <cell r="B292">
            <v>336.4</v>
          </cell>
          <cell r="D292">
            <v>45516</v>
          </cell>
          <cell r="E292">
            <v>5932.28</v>
          </cell>
        </row>
        <row r="293">
          <cell r="A293">
            <v>45545</v>
          </cell>
          <cell r="B293">
            <v>339.8</v>
          </cell>
          <cell r="D293">
            <v>45512</v>
          </cell>
          <cell r="E293">
            <v>5924.81</v>
          </cell>
        </row>
        <row r="294">
          <cell r="A294">
            <v>45544</v>
          </cell>
          <cell r="B294">
            <v>338.7</v>
          </cell>
          <cell r="D294">
            <v>45511</v>
          </cell>
          <cell r="E294">
            <v>5618.79</v>
          </cell>
        </row>
        <row r="295">
          <cell r="A295">
            <v>45543</v>
          </cell>
          <cell r="B295">
            <v>340.1</v>
          </cell>
          <cell r="D295">
            <v>45510</v>
          </cell>
          <cell r="E295">
            <v>5426.42</v>
          </cell>
        </row>
        <row r="296">
          <cell r="A296">
            <v>45540</v>
          </cell>
          <cell r="B296">
            <v>338.4</v>
          </cell>
          <cell r="D296">
            <v>45505</v>
          </cell>
          <cell r="E296">
            <v>5333.94</v>
          </cell>
        </row>
        <row r="297">
          <cell r="A297">
            <v>45539</v>
          </cell>
          <cell r="B297">
            <v>340.3</v>
          </cell>
          <cell r="D297">
            <v>45504</v>
          </cell>
          <cell r="E297">
            <v>5280.47</v>
          </cell>
        </row>
        <row r="298">
          <cell r="A298">
            <v>45538</v>
          </cell>
          <cell r="B298">
            <v>343.4</v>
          </cell>
          <cell r="D298">
            <v>45503</v>
          </cell>
          <cell r="E298">
            <v>5269.53</v>
          </cell>
        </row>
        <row r="299">
          <cell r="A299">
            <v>45537</v>
          </cell>
          <cell r="B299">
            <v>342.9</v>
          </cell>
          <cell r="D299">
            <v>45502</v>
          </cell>
          <cell r="E299">
            <v>5330.24</v>
          </cell>
        </row>
        <row r="300">
          <cell r="A300">
            <v>45536</v>
          </cell>
          <cell r="B300">
            <v>343.1</v>
          </cell>
          <cell r="D300">
            <v>45498</v>
          </cell>
          <cell r="E300">
            <v>5413.65</v>
          </cell>
        </row>
        <row r="301">
          <cell r="A301">
            <v>45533</v>
          </cell>
          <cell r="B301">
            <v>344</v>
          </cell>
          <cell r="D301">
            <v>45497</v>
          </cell>
          <cell r="E301">
            <v>5350.83</v>
          </cell>
        </row>
        <row r="302">
          <cell r="A302">
            <v>45532</v>
          </cell>
          <cell r="B302">
            <v>348.9</v>
          </cell>
          <cell r="D302">
            <v>45491</v>
          </cell>
          <cell r="E302">
            <v>5446.5</v>
          </cell>
        </row>
        <row r="303">
          <cell r="A303">
            <v>45531</v>
          </cell>
          <cell r="B303">
            <v>329.8</v>
          </cell>
          <cell r="D303">
            <v>45489</v>
          </cell>
          <cell r="E303">
            <v>5483.14</v>
          </cell>
        </row>
        <row r="304">
          <cell r="A304">
            <v>45529</v>
          </cell>
          <cell r="B304">
            <v>336.8</v>
          </cell>
          <cell r="D304">
            <v>45488</v>
          </cell>
          <cell r="E304">
            <v>5484.97</v>
          </cell>
        </row>
        <row r="305">
          <cell r="A305">
            <v>45526</v>
          </cell>
          <cell r="B305">
            <v>346.2</v>
          </cell>
          <cell r="D305">
            <v>45484</v>
          </cell>
          <cell r="E305">
            <v>5506.78</v>
          </cell>
        </row>
        <row r="306">
          <cell r="A306">
            <v>45525</v>
          </cell>
          <cell r="B306">
            <v>334</v>
          </cell>
          <cell r="D306">
            <v>45483</v>
          </cell>
          <cell r="E306">
            <v>5568.45</v>
          </cell>
        </row>
        <row r="307">
          <cell r="A307">
            <v>45524</v>
          </cell>
          <cell r="B307">
            <v>344.3</v>
          </cell>
          <cell r="D307">
            <v>45482</v>
          </cell>
          <cell r="E307">
            <v>5594.65</v>
          </cell>
        </row>
        <row r="308">
          <cell r="A308">
            <v>45523</v>
          </cell>
          <cell r="B308">
            <v>354.8</v>
          </cell>
          <cell r="D308">
            <v>45481</v>
          </cell>
          <cell r="E308">
            <v>5564.63</v>
          </cell>
        </row>
        <row r="309">
          <cell r="A309">
            <v>45522</v>
          </cell>
          <cell r="B309">
            <v>365.7</v>
          </cell>
          <cell r="D309">
            <v>45477</v>
          </cell>
          <cell r="E309">
            <v>5497.56</v>
          </cell>
        </row>
        <row r="310">
          <cell r="A310">
            <v>45519</v>
          </cell>
          <cell r="B310">
            <v>377</v>
          </cell>
          <cell r="D310">
            <v>45476</v>
          </cell>
          <cell r="E310">
            <v>5373.84</v>
          </cell>
        </row>
        <row r="311">
          <cell r="A311">
            <v>45518</v>
          </cell>
          <cell r="B311">
            <v>379.2</v>
          </cell>
          <cell r="D311">
            <v>45475</v>
          </cell>
          <cell r="E311">
            <v>5340.19</v>
          </cell>
        </row>
        <row r="312">
          <cell r="A312">
            <v>45516</v>
          </cell>
          <cell r="B312">
            <v>355.5</v>
          </cell>
          <cell r="D312">
            <v>45470</v>
          </cell>
          <cell r="E312">
            <v>5355.41</v>
          </cell>
        </row>
        <row r="313">
          <cell r="A313">
            <v>45515</v>
          </cell>
          <cell r="B313">
            <v>345.6</v>
          </cell>
          <cell r="D313">
            <v>45469</v>
          </cell>
          <cell r="E313">
            <v>5302.72</v>
          </cell>
        </row>
        <row r="314">
          <cell r="A314">
            <v>45512</v>
          </cell>
          <cell r="B314">
            <v>317.8</v>
          </cell>
          <cell r="D314">
            <v>45468</v>
          </cell>
          <cell r="E314">
            <v>5241.84</v>
          </cell>
        </row>
        <row r="315">
          <cell r="A315">
            <v>45511</v>
          </cell>
          <cell r="B315">
            <v>292.3</v>
          </cell>
          <cell r="D315">
            <v>45467</v>
          </cell>
          <cell r="E315">
            <v>5220.1899999999996</v>
          </cell>
        </row>
        <row r="316">
          <cell r="A316">
            <v>45510</v>
          </cell>
          <cell r="B316">
            <v>268.8</v>
          </cell>
          <cell r="D316">
            <v>45463</v>
          </cell>
          <cell r="E316">
            <v>5244.13</v>
          </cell>
        </row>
        <row r="317">
          <cell r="A317">
            <v>45508</v>
          </cell>
          <cell r="B317">
            <v>247.2</v>
          </cell>
          <cell r="D317">
            <v>45462</v>
          </cell>
          <cell r="E317">
            <v>5161.38</v>
          </cell>
        </row>
        <row r="318">
          <cell r="A318">
            <v>45505</v>
          </cell>
          <cell r="B318">
            <v>254.8</v>
          </cell>
          <cell r="D318">
            <v>45456</v>
          </cell>
          <cell r="E318">
            <v>5117.8100000000004</v>
          </cell>
        </row>
        <row r="319">
          <cell r="A319">
            <v>45504</v>
          </cell>
          <cell r="B319">
            <v>252.5</v>
          </cell>
          <cell r="D319">
            <v>45455</v>
          </cell>
          <cell r="E319">
            <v>5083.2</v>
          </cell>
        </row>
        <row r="320">
          <cell r="A320">
            <v>45503</v>
          </cell>
          <cell r="B320">
            <v>250.8</v>
          </cell>
          <cell r="D320">
            <v>45454</v>
          </cell>
          <cell r="E320">
            <v>5070.0200000000004</v>
          </cell>
        </row>
        <row r="321">
          <cell r="A321">
            <v>45502</v>
          </cell>
          <cell r="B321">
            <v>254.2</v>
          </cell>
          <cell r="D321">
            <v>45453</v>
          </cell>
          <cell r="E321">
            <v>5105.8900000000003</v>
          </cell>
        </row>
        <row r="322">
          <cell r="A322">
            <v>45501</v>
          </cell>
          <cell r="B322">
            <v>257</v>
          </cell>
          <cell r="D322">
            <v>45449</v>
          </cell>
          <cell r="E322">
            <v>5237.32</v>
          </cell>
        </row>
        <row r="323">
          <cell r="A323">
            <v>45498</v>
          </cell>
          <cell r="B323">
            <v>254.1</v>
          </cell>
          <cell r="D323">
            <v>45448</v>
          </cell>
          <cell r="E323">
            <v>5224.37</v>
          </cell>
        </row>
        <row r="324">
          <cell r="A324">
            <v>45497</v>
          </cell>
          <cell r="B324">
            <v>249.1</v>
          </cell>
          <cell r="D324">
            <v>45447</v>
          </cell>
          <cell r="E324">
            <v>5247.53</v>
          </cell>
        </row>
        <row r="325">
          <cell r="A325">
            <v>45491</v>
          </cell>
          <cell r="B325">
            <v>251.6</v>
          </cell>
          <cell r="D325">
            <v>45446</v>
          </cell>
          <cell r="E325">
            <v>5235.63</v>
          </cell>
        </row>
        <row r="326">
          <cell r="A326">
            <v>45489</v>
          </cell>
          <cell r="B326">
            <v>249.3</v>
          </cell>
          <cell r="D326">
            <v>45442</v>
          </cell>
          <cell r="E326">
            <v>5251.96</v>
          </cell>
        </row>
        <row r="327">
          <cell r="A327">
            <v>45488</v>
          </cell>
          <cell r="B327">
            <v>244.6</v>
          </cell>
          <cell r="D327">
            <v>45441</v>
          </cell>
          <cell r="E327">
            <v>5228.53</v>
          </cell>
        </row>
        <row r="328">
          <cell r="A328">
            <v>45487</v>
          </cell>
          <cell r="B328">
            <v>244.5</v>
          </cell>
          <cell r="D328">
            <v>45440</v>
          </cell>
          <cell r="E328">
            <v>5278.88</v>
          </cell>
        </row>
        <row r="329">
          <cell r="A329">
            <v>45484</v>
          </cell>
          <cell r="B329">
            <v>243.5</v>
          </cell>
          <cell r="D329">
            <v>45439</v>
          </cell>
          <cell r="E329">
            <v>5310.52</v>
          </cell>
        </row>
        <row r="330">
          <cell r="A330">
            <v>45483</v>
          </cell>
          <cell r="B330">
            <v>244.7</v>
          </cell>
          <cell r="D330">
            <v>45435</v>
          </cell>
          <cell r="E330">
            <v>5312.4</v>
          </cell>
        </row>
        <row r="331">
          <cell r="A331">
            <v>45482</v>
          </cell>
          <cell r="B331">
            <v>245.1</v>
          </cell>
          <cell r="D331">
            <v>45433</v>
          </cell>
          <cell r="E331">
            <v>5371.1</v>
          </cell>
        </row>
        <row r="332">
          <cell r="A332">
            <v>45481</v>
          </cell>
          <cell r="B332">
            <v>248.8</v>
          </cell>
          <cell r="D332">
            <v>45432</v>
          </cell>
          <cell r="E332">
            <v>5393.65</v>
          </cell>
        </row>
        <row r="333">
          <cell r="A333">
            <v>45480</v>
          </cell>
          <cell r="B333">
            <v>251.2</v>
          </cell>
          <cell r="D333">
            <v>45428</v>
          </cell>
          <cell r="E333">
            <v>5517.42</v>
          </cell>
        </row>
        <row r="334">
          <cell r="A334">
            <v>45477</v>
          </cell>
          <cell r="B334">
            <v>245.6</v>
          </cell>
          <cell r="D334">
            <v>45427</v>
          </cell>
          <cell r="E334">
            <v>5527.4</v>
          </cell>
        </row>
        <row r="335">
          <cell r="A335">
            <v>45476</v>
          </cell>
          <cell r="B335">
            <v>240.2</v>
          </cell>
          <cell r="D335">
            <v>45426</v>
          </cell>
          <cell r="E335">
            <v>5585.62</v>
          </cell>
        </row>
        <row r="336">
          <cell r="A336">
            <v>45475</v>
          </cell>
          <cell r="B336">
            <v>244</v>
          </cell>
          <cell r="D336">
            <v>45425</v>
          </cell>
          <cell r="E336">
            <v>5666.76</v>
          </cell>
        </row>
        <row r="337">
          <cell r="A337">
            <v>45473</v>
          </cell>
          <cell r="B337">
            <v>247.7</v>
          </cell>
          <cell r="D337">
            <v>45421</v>
          </cell>
          <cell r="E337">
            <v>5661.05</v>
          </cell>
        </row>
        <row r="338">
          <cell r="A338">
            <v>45470</v>
          </cell>
          <cell r="B338">
            <v>241.4</v>
          </cell>
          <cell r="D338">
            <v>45420</v>
          </cell>
          <cell r="E338">
            <v>5690.78</v>
          </cell>
        </row>
        <row r="339">
          <cell r="A339">
            <v>45469</v>
          </cell>
          <cell r="B339">
            <v>236.2</v>
          </cell>
          <cell r="D339">
            <v>45419</v>
          </cell>
          <cell r="E339">
            <v>5725.28</v>
          </cell>
        </row>
        <row r="340">
          <cell r="A340">
            <v>45468</v>
          </cell>
          <cell r="B340">
            <v>228.7</v>
          </cell>
          <cell r="D340">
            <v>45418</v>
          </cell>
          <cell r="E340">
            <v>5727.02</v>
          </cell>
        </row>
        <row r="341">
          <cell r="A341">
            <v>45467</v>
          </cell>
          <cell r="B341">
            <v>228.2</v>
          </cell>
          <cell r="D341">
            <v>45414</v>
          </cell>
          <cell r="E341">
            <v>5615.65</v>
          </cell>
        </row>
        <row r="342">
          <cell r="A342">
            <v>45466</v>
          </cell>
          <cell r="B342">
            <v>226.9</v>
          </cell>
          <cell r="D342">
            <v>45412</v>
          </cell>
          <cell r="E342">
            <v>5584.65</v>
          </cell>
        </row>
        <row r="343">
          <cell r="A343">
            <v>45463</v>
          </cell>
          <cell r="B343">
            <v>224.9</v>
          </cell>
          <cell r="D343">
            <v>45411</v>
          </cell>
          <cell r="E343">
            <v>5569.69</v>
          </cell>
        </row>
        <row r="344">
          <cell r="A344">
            <v>45462</v>
          </cell>
          <cell r="B344">
            <v>222.2</v>
          </cell>
          <cell r="D344">
            <v>45407</v>
          </cell>
          <cell r="E344">
            <v>5518.48</v>
          </cell>
        </row>
        <row r="345">
          <cell r="A345">
            <v>45456</v>
          </cell>
          <cell r="B345">
            <v>224.1</v>
          </cell>
          <cell r="D345">
            <v>45406</v>
          </cell>
          <cell r="E345">
            <v>5578.97</v>
          </cell>
        </row>
        <row r="346">
          <cell r="A346">
            <v>45455</v>
          </cell>
          <cell r="B346">
            <v>223</v>
          </cell>
          <cell r="D346">
            <v>45405</v>
          </cell>
          <cell r="E346">
            <v>5633.61</v>
          </cell>
        </row>
        <row r="347">
          <cell r="A347">
            <v>45454</v>
          </cell>
          <cell r="B347">
            <v>223.5</v>
          </cell>
          <cell r="D347">
            <v>45404</v>
          </cell>
          <cell r="E347">
            <v>5674.87</v>
          </cell>
        </row>
        <row r="348">
          <cell r="A348">
            <v>45453</v>
          </cell>
          <cell r="B348">
            <v>225.4</v>
          </cell>
          <cell r="D348">
            <v>45400</v>
          </cell>
          <cell r="E348">
            <v>5686.69</v>
          </cell>
        </row>
        <row r="349">
          <cell r="A349">
            <v>45452</v>
          </cell>
          <cell r="B349">
            <v>229.1</v>
          </cell>
          <cell r="D349">
            <v>45399</v>
          </cell>
          <cell r="E349">
            <v>5763.77</v>
          </cell>
        </row>
        <row r="350">
          <cell r="A350">
            <v>45449</v>
          </cell>
          <cell r="B350">
            <v>227.6</v>
          </cell>
          <cell r="D350">
            <v>45398</v>
          </cell>
          <cell r="E350">
            <v>5774.58</v>
          </cell>
        </row>
        <row r="351">
          <cell r="A351">
            <v>45448</v>
          </cell>
          <cell r="B351">
            <v>226.2</v>
          </cell>
          <cell r="D351">
            <v>45397</v>
          </cell>
          <cell r="E351">
            <v>5778.77</v>
          </cell>
        </row>
        <row r="352">
          <cell r="A352">
            <v>45447</v>
          </cell>
          <cell r="B352">
            <v>227.5</v>
          </cell>
          <cell r="D352">
            <v>45391</v>
          </cell>
          <cell r="E352">
            <v>5864.09</v>
          </cell>
        </row>
        <row r="353">
          <cell r="A353">
            <v>45446</v>
          </cell>
          <cell r="B353">
            <v>225.7</v>
          </cell>
          <cell r="D353">
            <v>45390</v>
          </cell>
          <cell r="E353">
            <v>5860.23</v>
          </cell>
        </row>
        <row r="354">
          <cell r="A354">
            <v>45445</v>
          </cell>
          <cell r="B354">
            <v>225.4</v>
          </cell>
          <cell r="D354">
            <v>45386</v>
          </cell>
          <cell r="E354">
            <v>5796.12</v>
          </cell>
        </row>
        <row r="355">
          <cell r="A355">
            <v>45442</v>
          </cell>
          <cell r="B355">
            <v>223.5</v>
          </cell>
          <cell r="D355">
            <v>45385</v>
          </cell>
          <cell r="E355">
            <v>5776.08</v>
          </cell>
        </row>
        <row r="356">
          <cell r="A356">
            <v>45441</v>
          </cell>
          <cell r="B356">
            <v>227.7</v>
          </cell>
          <cell r="D356">
            <v>45384</v>
          </cell>
          <cell r="E356">
            <v>5738.4</v>
          </cell>
        </row>
        <row r="357">
          <cell r="A357">
            <v>45440</v>
          </cell>
          <cell r="B357">
            <v>225.5</v>
          </cell>
          <cell r="D357">
            <v>45383</v>
          </cell>
          <cell r="E357">
            <v>5761.38</v>
          </cell>
        </row>
        <row r="358">
          <cell r="A358">
            <v>45439</v>
          </cell>
          <cell r="B358">
            <v>229.3</v>
          </cell>
          <cell r="D358">
            <v>45379</v>
          </cell>
          <cell r="E358">
            <v>5778.33</v>
          </cell>
        </row>
        <row r="359">
          <cell r="A359">
            <v>45438</v>
          </cell>
          <cell r="B359">
            <v>226</v>
          </cell>
          <cell r="D359">
            <v>45378</v>
          </cell>
          <cell r="E359">
            <v>5762.68</v>
          </cell>
        </row>
        <row r="360">
          <cell r="A360">
            <v>45435</v>
          </cell>
          <cell r="B360">
            <v>224.9</v>
          </cell>
          <cell r="D360">
            <v>45376</v>
          </cell>
          <cell r="E360">
            <v>5834.39</v>
          </cell>
        </row>
        <row r="361">
          <cell r="A361">
            <v>45433</v>
          </cell>
          <cell r="B361">
            <v>225.3</v>
          </cell>
          <cell r="D361">
            <v>45372</v>
          </cell>
          <cell r="E361">
            <v>5941.66</v>
          </cell>
        </row>
        <row r="362">
          <cell r="A362">
            <v>45432</v>
          </cell>
          <cell r="B362">
            <v>224.4</v>
          </cell>
          <cell r="D362">
            <v>45371</v>
          </cell>
          <cell r="E362">
            <v>5872.58</v>
          </cell>
        </row>
        <row r="363">
          <cell r="A363">
            <v>45431</v>
          </cell>
          <cell r="B363">
            <v>225.8</v>
          </cell>
          <cell r="D363">
            <v>45370</v>
          </cell>
          <cell r="E363">
            <v>5814.1</v>
          </cell>
        </row>
        <row r="364">
          <cell r="A364">
            <v>45428</v>
          </cell>
          <cell r="B364">
            <v>232.3</v>
          </cell>
          <cell r="D364">
            <v>45369</v>
          </cell>
          <cell r="E364">
            <v>5898.24</v>
          </cell>
        </row>
        <row r="365">
          <cell r="A365">
            <v>45427</v>
          </cell>
          <cell r="B365">
            <v>233.6</v>
          </cell>
          <cell r="D365">
            <v>45365</v>
          </cell>
          <cell r="E365">
            <v>5968.04</v>
          </cell>
        </row>
        <row r="366">
          <cell r="A366">
            <v>45426</v>
          </cell>
          <cell r="B366">
            <v>237</v>
          </cell>
          <cell r="D366">
            <v>45364</v>
          </cell>
          <cell r="E366">
            <v>5974.11</v>
          </cell>
        </row>
        <row r="367">
          <cell r="A367">
            <v>45425</v>
          </cell>
          <cell r="B367">
            <v>238.6</v>
          </cell>
          <cell r="D367">
            <v>45363</v>
          </cell>
          <cell r="E367">
            <v>6006.88</v>
          </cell>
        </row>
        <row r="368">
          <cell r="A368">
            <v>45424</v>
          </cell>
          <cell r="B368">
            <v>236.9</v>
          </cell>
          <cell r="D368">
            <v>45362</v>
          </cell>
          <cell r="E368">
            <v>6058.39</v>
          </cell>
        </row>
        <row r="369">
          <cell r="A369">
            <v>45421</v>
          </cell>
          <cell r="B369">
            <v>237.4</v>
          </cell>
          <cell r="D369">
            <v>45358</v>
          </cell>
          <cell r="E369">
            <v>6112.76</v>
          </cell>
        </row>
        <row r="370">
          <cell r="A370">
            <v>45420</v>
          </cell>
          <cell r="B370">
            <v>238.7</v>
          </cell>
          <cell r="D370">
            <v>45357</v>
          </cell>
          <cell r="E370">
            <v>6166.14</v>
          </cell>
        </row>
        <row r="371">
          <cell r="A371">
            <v>45419</v>
          </cell>
          <cell r="B371">
            <v>239.5</v>
          </cell>
          <cell r="D371">
            <v>45356</v>
          </cell>
          <cell r="E371">
            <v>6131.14</v>
          </cell>
        </row>
        <row r="372">
          <cell r="A372">
            <v>45418</v>
          </cell>
          <cell r="B372">
            <v>239.7</v>
          </cell>
          <cell r="D372">
            <v>45355</v>
          </cell>
          <cell r="E372">
            <v>6175.25</v>
          </cell>
        </row>
        <row r="373">
          <cell r="A373">
            <v>45417</v>
          </cell>
          <cell r="B373">
            <v>239.5</v>
          </cell>
          <cell r="D373">
            <v>45351</v>
          </cell>
          <cell r="E373">
            <v>6254.54</v>
          </cell>
        </row>
        <row r="374">
          <cell r="A374">
            <v>45414</v>
          </cell>
          <cell r="B374">
            <v>237.6</v>
          </cell>
          <cell r="D374">
            <v>45350</v>
          </cell>
          <cell r="E374">
            <v>6268.63</v>
          </cell>
        </row>
        <row r="375">
          <cell r="A375">
            <v>45412</v>
          </cell>
          <cell r="B375">
            <v>235.8</v>
          </cell>
          <cell r="D375">
            <v>45349</v>
          </cell>
          <cell r="E375">
            <v>6272.73</v>
          </cell>
        </row>
        <row r="376">
          <cell r="A376">
            <v>45411</v>
          </cell>
          <cell r="B376">
            <v>236.5</v>
          </cell>
          <cell r="D376">
            <v>45344</v>
          </cell>
          <cell r="E376">
            <v>6273.96</v>
          </cell>
        </row>
        <row r="377">
          <cell r="A377">
            <v>45410</v>
          </cell>
          <cell r="B377">
            <v>240.5</v>
          </cell>
          <cell r="D377">
            <v>45342</v>
          </cell>
          <cell r="E377">
            <v>6256.13</v>
          </cell>
        </row>
        <row r="378">
          <cell r="A378">
            <v>45407</v>
          </cell>
          <cell r="B378">
            <v>235</v>
          </cell>
          <cell r="D378">
            <v>45341</v>
          </cell>
          <cell r="E378">
            <v>6258.98</v>
          </cell>
        </row>
        <row r="379">
          <cell r="A379">
            <v>45406</v>
          </cell>
          <cell r="B379">
            <v>232.5</v>
          </cell>
          <cell r="D379">
            <v>45337</v>
          </cell>
          <cell r="E379">
            <v>6336.25</v>
          </cell>
        </row>
        <row r="380">
          <cell r="A380">
            <v>45405</v>
          </cell>
          <cell r="B380">
            <v>232.6</v>
          </cell>
          <cell r="D380">
            <v>45336</v>
          </cell>
          <cell r="E380">
            <v>6371.54</v>
          </cell>
        </row>
        <row r="381">
          <cell r="A381">
            <v>45404</v>
          </cell>
          <cell r="B381">
            <v>233.1</v>
          </cell>
          <cell r="D381">
            <v>45335</v>
          </cell>
          <cell r="E381">
            <v>6394.82</v>
          </cell>
        </row>
        <row r="382">
          <cell r="A382">
            <v>45403</v>
          </cell>
          <cell r="B382">
            <v>234.2</v>
          </cell>
          <cell r="D382">
            <v>45334</v>
          </cell>
          <cell r="E382">
            <v>6424.93</v>
          </cell>
        </row>
        <row r="383">
          <cell r="A383">
            <v>45400</v>
          </cell>
          <cell r="B383">
            <v>234.7</v>
          </cell>
          <cell r="D383">
            <v>45330</v>
          </cell>
          <cell r="E383">
            <v>6373.35</v>
          </cell>
        </row>
        <row r="384">
          <cell r="A384">
            <v>45399</v>
          </cell>
          <cell r="B384">
            <v>236.9</v>
          </cell>
          <cell r="D384">
            <v>45329</v>
          </cell>
          <cell r="E384">
            <v>6352.5</v>
          </cell>
        </row>
        <row r="385">
          <cell r="A385">
            <v>45398</v>
          </cell>
          <cell r="B385">
            <v>236.1</v>
          </cell>
          <cell r="D385">
            <v>45328</v>
          </cell>
          <cell r="E385">
            <v>6346.06</v>
          </cell>
        </row>
        <row r="386">
          <cell r="A386">
            <v>45397</v>
          </cell>
          <cell r="B386">
            <v>238.9</v>
          </cell>
          <cell r="D386">
            <v>45327</v>
          </cell>
          <cell r="E386">
            <v>6322.6</v>
          </cell>
        </row>
        <row r="387">
          <cell r="A387">
            <v>45391</v>
          </cell>
          <cell r="B387">
            <v>240</v>
          </cell>
          <cell r="D387">
            <v>45323</v>
          </cell>
          <cell r="E387">
            <v>6213.99</v>
          </cell>
        </row>
        <row r="388">
          <cell r="A388">
            <v>45390</v>
          </cell>
          <cell r="B388">
            <v>240.2</v>
          </cell>
          <cell r="D388">
            <v>45322</v>
          </cell>
          <cell r="E388">
            <v>6153.34</v>
          </cell>
        </row>
        <row r="389">
          <cell r="A389">
            <v>45386</v>
          </cell>
          <cell r="B389">
            <v>240.2</v>
          </cell>
          <cell r="D389">
            <v>45321</v>
          </cell>
          <cell r="E389">
            <v>6150.22</v>
          </cell>
        </row>
        <row r="390">
          <cell r="A390">
            <v>45385</v>
          </cell>
          <cell r="B390">
            <v>239.6</v>
          </cell>
          <cell r="D390">
            <v>45320</v>
          </cell>
          <cell r="E390">
            <v>6097.23</v>
          </cell>
        </row>
        <row r="391">
          <cell r="A391">
            <v>45384</v>
          </cell>
          <cell r="B391">
            <v>237.7</v>
          </cell>
          <cell r="D391">
            <v>45316</v>
          </cell>
          <cell r="E391">
            <v>6156.41</v>
          </cell>
        </row>
        <row r="392">
          <cell r="A392">
            <v>45383</v>
          </cell>
          <cell r="B392">
            <v>236.9</v>
          </cell>
          <cell r="D392">
            <v>45315</v>
          </cell>
          <cell r="E392">
            <v>6226.65</v>
          </cell>
        </row>
        <row r="393">
          <cell r="A393">
            <v>45382</v>
          </cell>
          <cell r="B393">
            <v>237.8</v>
          </cell>
          <cell r="D393">
            <v>45314</v>
          </cell>
          <cell r="E393">
            <v>6276.26</v>
          </cell>
        </row>
        <row r="394">
          <cell r="A394">
            <v>45379</v>
          </cell>
          <cell r="B394">
            <v>235.8</v>
          </cell>
          <cell r="D394">
            <v>45313</v>
          </cell>
          <cell r="E394">
            <v>6254.31</v>
          </cell>
        </row>
        <row r="395">
          <cell r="A395">
            <v>45378</v>
          </cell>
          <cell r="B395">
            <v>238.7</v>
          </cell>
          <cell r="D395">
            <v>45309</v>
          </cell>
          <cell r="E395">
            <v>6336.76</v>
          </cell>
        </row>
        <row r="396">
          <cell r="A396">
            <v>45376</v>
          </cell>
          <cell r="B396">
            <v>241.6</v>
          </cell>
          <cell r="D396">
            <v>45308</v>
          </cell>
          <cell r="E396">
            <v>6346.21</v>
          </cell>
        </row>
        <row r="397">
          <cell r="A397">
            <v>45375</v>
          </cell>
          <cell r="B397">
            <v>242.2</v>
          </cell>
          <cell r="D397">
            <v>45307</v>
          </cell>
          <cell r="E397">
            <v>6331.61</v>
          </cell>
        </row>
        <row r="398">
          <cell r="A398">
            <v>45372</v>
          </cell>
          <cell r="B398">
            <v>240.6</v>
          </cell>
          <cell r="D398">
            <v>45306</v>
          </cell>
          <cell r="E398">
            <v>6318.08</v>
          </cell>
        </row>
        <row r="399">
          <cell r="A399">
            <v>45371</v>
          </cell>
          <cell r="B399">
            <v>240.7</v>
          </cell>
          <cell r="D399">
            <v>45302</v>
          </cell>
          <cell r="E399">
            <v>6301.7</v>
          </cell>
        </row>
        <row r="400">
          <cell r="A400">
            <v>45370</v>
          </cell>
          <cell r="B400">
            <v>242.5</v>
          </cell>
          <cell r="D400">
            <v>45301</v>
          </cell>
          <cell r="E400">
            <v>6285.25</v>
          </cell>
        </row>
        <row r="401">
          <cell r="A401">
            <v>45369</v>
          </cell>
          <cell r="B401">
            <v>243.5</v>
          </cell>
          <cell r="D401">
            <v>45300</v>
          </cell>
          <cell r="E401">
            <v>6267.82</v>
          </cell>
        </row>
        <row r="402">
          <cell r="A402">
            <v>45365</v>
          </cell>
          <cell r="B402">
            <v>243.3</v>
          </cell>
          <cell r="D402">
            <v>45299</v>
          </cell>
          <cell r="E402">
            <v>6269.51</v>
          </cell>
        </row>
        <row r="403">
          <cell r="A403">
            <v>45364</v>
          </cell>
          <cell r="B403">
            <v>241.2</v>
          </cell>
          <cell r="D403">
            <v>45295</v>
          </cell>
          <cell r="E403">
            <v>6244.17</v>
          </cell>
        </row>
        <row r="404">
          <cell r="A404">
            <v>45363</v>
          </cell>
          <cell r="B404">
            <v>244.9</v>
          </cell>
          <cell r="D404">
            <v>45294</v>
          </cell>
          <cell r="E404">
            <v>6236.07</v>
          </cell>
        </row>
        <row r="405">
          <cell r="A405">
            <v>45362</v>
          </cell>
          <cell r="B405">
            <v>246.6</v>
          </cell>
          <cell r="D405">
            <v>45293</v>
          </cell>
          <cell r="E405">
            <v>6233.42</v>
          </cell>
        </row>
        <row r="406">
          <cell r="A406">
            <v>45361</v>
          </cell>
          <cell r="B406">
            <v>250.4</v>
          </cell>
          <cell r="D406">
            <v>45292</v>
          </cell>
          <cell r="E406">
            <v>6242.87</v>
          </cell>
        </row>
        <row r="407">
          <cell r="A407">
            <v>45358</v>
          </cell>
          <cell r="B407">
            <v>253.5</v>
          </cell>
          <cell r="D407">
            <v>45288</v>
          </cell>
          <cell r="E407">
            <v>6246.5</v>
          </cell>
        </row>
        <row r="408">
          <cell r="A408">
            <v>45357</v>
          </cell>
          <cell r="B408">
            <v>256.7</v>
          </cell>
          <cell r="D408">
            <v>45287</v>
          </cell>
          <cell r="E408">
            <v>6243.88</v>
          </cell>
        </row>
        <row r="409">
          <cell r="A409">
            <v>45356</v>
          </cell>
          <cell r="B409">
            <v>252.6</v>
          </cell>
          <cell r="D409">
            <v>45286</v>
          </cell>
          <cell r="E409">
            <v>6245.24</v>
          </cell>
        </row>
        <row r="410">
          <cell r="A410">
            <v>45355</v>
          </cell>
          <cell r="B410">
            <v>257.2</v>
          </cell>
          <cell r="D410">
            <v>45281</v>
          </cell>
          <cell r="E410">
            <v>6249.29</v>
          </cell>
        </row>
        <row r="411">
          <cell r="A411">
            <v>45354</v>
          </cell>
          <cell r="B411">
            <v>261.60000000000002</v>
          </cell>
          <cell r="D411">
            <v>45280</v>
          </cell>
          <cell r="E411">
            <v>6261.99</v>
          </cell>
        </row>
        <row r="412">
          <cell r="A412">
            <v>45350</v>
          </cell>
          <cell r="B412">
            <v>286.60000000000002</v>
          </cell>
          <cell r="D412">
            <v>45279</v>
          </cell>
          <cell r="E412">
            <v>6261.03</v>
          </cell>
        </row>
        <row r="413">
          <cell r="A413">
            <v>45349</v>
          </cell>
          <cell r="B413">
            <v>286.60000000000002</v>
          </cell>
          <cell r="D413">
            <v>45278</v>
          </cell>
          <cell r="E413">
            <v>6251.17</v>
          </cell>
        </row>
        <row r="414">
          <cell r="A414">
            <v>45347</v>
          </cell>
          <cell r="B414">
            <v>286.60000000000002</v>
          </cell>
          <cell r="D414">
            <v>45274</v>
          </cell>
          <cell r="E414">
            <v>6266.85</v>
          </cell>
        </row>
        <row r="415">
          <cell r="A415">
            <v>45344</v>
          </cell>
          <cell r="B415">
            <v>286.60000000000002</v>
          </cell>
          <cell r="D415">
            <v>45273</v>
          </cell>
          <cell r="E415">
            <v>6262.87</v>
          </cell>
        </row>
        <row r="416">
          <cell r="A416">
            <v>45342</v>
          </cell>
          <cell r="B416">
            <v>286.60000000000002</v>
          </cell>
          <cell r="D416">
            <v>45272</v>
          </cell>
          <cell r="E416">
            <v>6263.87</v>
          </cell>
        </row>
        <row r="417">
          <cell r="A417">
            <v>45341</v>
          </cell>
          <cell r="B417">
            <v>286.60000000000002</v>
          </cell>
          <cell r="D417">
            <v>45271</v>
          </cell>
          <cell r="E417">
            <v>6264.35</v>
          </cell>
        </row>
        <row r="418">
          <cell r="A418">
            <v>45340</v>
          </cell>
          <cell r="B418">
            <v>286.60000000000002</v>
          </cell>
          <cell r="D418">
            <v>45267</v>
          </cell>
          <cell r="E418">
            <v>6252.56</v>
          </cell>
        </row>
        <row r="419">
          <cell r="A419">
            <v>45337</v>
          </cell>
          <cell r="B419">
            <v>286.60000000000002</v>
          </cell>
          <cell r="D419">
            <v>45266</v>
          </cell>
          <cell r="E419">
            <v>6250.47</v>
          </cell>
        </row>
        <row r="420">
          <cell r="A420">
            <v>45336</v>
          </cell>
          <cell r="B420">
            <v>286.60000000000002</v>
          </cell>
          <cell r="D420">
            <v>45265</v>
          </cell>
          <cell r="E420">
            <v>6247.57</v>
          </cell>
        </row>
        <row r="421">
          <cell r="A421">
            <v>45335</v>
          </cell>
          <cell r="B421">
            <v>286.60000000000002</v>
          </cell>
          <cell r="D421">
            <v>45264</v>
          </cell>
          <cell r="E421">
            <v>6244.4</v>
          </cell>
        </row>
        <row r="422">
          <cell r="A422">
            <v>45334</v>
          </cell>
          <cell r="B422">
            <v>286.60000000000002</v>
          </cell>
          <cell r="D422">
            <v>45260</v>
          </cell>
          <cell r="E422">
            <v>6223.03</v>
          </cell>
        </row>
        <row r="423">
          <cell r="A423">
            <v>45333</v>
          </cell>
          <cell r="B423">
            <v>286.60000000000002</v>
          </cell>
          <cell r="D423">
            <v>45259</v>
          </cell>
          <cell r="E423">
            <v>6218.54</v>
          </cell>
        </row>
        <row r="424">
          <cell r="A424">
            <v>45330</v>
          </cell>
          <cell r="B424">
            <v>286.60000000000002</v>
          </cell>
          <cell r="D424">
            <v>45258</v>
          </cell>
          <cell r="E424">
            <v>6202.81</v>
          </cell>
        </row>
        <row r="425">
          <cell r="A425">
            <v>45329</v>
          </cell>
          <cell r="B425">
            <v>286.60000000000002</v>
          </cell>
          <cell r="D425">
            <v>45257</v>
          </cell>
          <cell r="E425">
            <v>6209.44</v>
          </cell>
        </row>
        <row r="426">
          <cell r="A426">
            <v>45328</v>
          </cell>
          <cell r="B426">
            <v>286.60000000000002</v>
          </cell>
          <cell r="D426">
            <v>45253</v>
          </cell>
          <cell r="E426">
            <v>6233.71</v>
          </cell>
        </row>
        <row r="427">
          <cell r="A427">
            <v>45327</v>
          </cell>
          <cell r="B427">
            <v>286.60000000000002</v>
          </cell>
          <cell r="D427">
            <v>45252</v>
          </cell>
          <cell r="E427">
            <v>6224.47</v>
          </cell>
        </row>
        <row r="428">
          <cell r="A428">
            <v>45326</v>
          </cell>
          <cell r="B428">
            <v>286.60000000000002</v>
          </cell>
          <cell r="D428">
            <v>45251</v>
          </cell>
          <cell r="E428">
            <v>6221.73</v>
          </cell>
        </row>
        <row r="429">
          <cell r="A429">
            <v>45323</v>
          </cell>
          <cell r="B429">
            <v>286.60000000000002</v>
          </cell>
          <cell r="D429">
            <v>45250</v>
          </cell>
          <cell r="E429">
            <v>6226.56</v>
          </cell>
        </row>
        <row r="430">
          <cell r="A430">
            <v>45322</v>
          </cell>
          <cell r="B430">
            <v>286.60000000000002</v>
          </cell>
          <cell r="D430">
            <v>45246</v>
          </cell>
          <cell r="E430">
            <v>6257.15</v>
          </cell>
        </row>
        <row r="431">
          <cell r="A431">
            <v>45321</v>
          </cell>
          <cell r="B431">
            <v>286.60000000000002</v>
          </cell>
          <cell r="D431">
            <v>45245</v>
          </cell>
          <cell r="E431">
            <v>6258.18</v>
          </cell>
        </row>
        <row r="432">
          <cell r="A432">
            <v>45320</v>
          </cell>
          <cell r="B432">
            <v>286.60000000000002</v>
          </cell>
          <cell r="D432">
            <v>45244</v>
          </cell>
          <cell r="E432">
            <v>6245.81</v>
          </cell>
        </row>
        <row r="433">
          <cell r="A433">
            <v>45319</v>
          </cell>
          <cell r="B433">
            <v>286.60000000000002</v>
          </cell>
          <cell r="D433">
            <v>45243</v>
          </cell>
          <cell r="E433">
            <v>6245.81</v>
          </cell>
        </row>
        <row r="434">
          <cell r="A434">
            <v>45316</v>
          </cell>
          <cell r="B434">
            <v>286.60000000000002</v>
          </cell>
          <cell r="D434">
            <v>45239</v>
          </cell>
          <cell r="E434">
            <v>6271.84</v>
          </cell>
        </row>
        <row r="435">
          <cell r="A435">
            <v>45315</v>
          </cell>
          <cell r="B435">
            <v>286.60000000000002</v>
          </cell>
          <cell r="D435">
            <v>45238</v>
          </cell>
          <cell r="E435">
            <v>6273.77</v>
          </cell>
        </row>
        <row r="436">
          <cell r="A436">
            <v>45314</v>
          </cell>
          <cell r="B436">
            <v>286.60000000000002</v>
          </cell>
          <cell r="D436">
            <v>45237</v>
          </cell>
          <cell r="E436">
            <v>6276.66</v>
          </cell>
        </row>
        <row r="437">
          <cell r="A437">
            <v>45313</v>
          </cell>
          <cell r="B437">
            <v>286.60000000000002</v>
          </cell>
          <cell r="D437">
            <v>45236</v>
          </cell>
          <cell r="E437">
            <v>6277.63</v>
          </cell>
        </row>
        <row r="438">
          <cell r="A438">
            <v>45312</v>
          </cell>
          <cell r="B438">
            <v>286.60000000000002</v>
          </cell>
          <cell r="D438">
            <v>45232</v>
          </cell>
          <cell r="E438">
            <v>6267.9</v>
          </cell>
        </row>
        <row r="439">
          <cell r="A439">
            <v>45309</v>
          </cell>
          <cell r="B439">
            <v>286.60000000000002</v>
          </cell>
          <cell r="D439">
            <v>45231</v>
          </cell>
          <cell r="E439">
            <v>6273.72</v>
          </cell>
        </row>
        <row r="440">
          <cell r="A440">
            <v>45308</v>
          </cell>
          <cell r="B440">
            <v>286.60000000000002</v>
          </cell>
          <cell r="D440">
            <v>45230</v>
          </cell>
          <cell r="E440">
            <v>6278.66</v>
          </cell>
        </row>
        <row r="441">
          <cell r="A441">
            <v>45307</v>
          </cell>
          <cell r="B441">
            <v>286.60000000000002</v>
          </cell>
          <cell r="D441">
            <v>45229</v>
          </cell>
          <cell r="E441">
            <v>6276.73</v>
          </cell>
        </row>
        <row r="442">
          <cell r="A442">
            <v>45306</v>
          </cell>
          <cell r="B442">
            <v>286.60000000000002</v>
          </cell>
          <cell r="D442">
            <v>45225</v>
          </cell>
          <cell r="E442">
            <v>6275.83</v>
          </cell>
        </row>
        <row r="443">
          <cell r="A443">
            <v>45305</v>
          </cell>
          <cell r="B443">
            <v>286.60000000000002</v>
          </cell>
          <cell r="D443">
            <v>45224</v>
          </cell>
          <cell r="E443">
            <v>6282.48</v>
          </cell>
        </row>
        <row r="444">
          <cell r="A444">
            <v>45302</v>
          </cell>
          <cell r="B444">
            <v>286.60000000000002</v>
          </cell>
          <cell r="D444">
            <v>45222</v>
          </cell>
          <cell r="E444">
            <v>6277.89</v>
          </cell>
        </row>
        <row r="445">
          <cell r="A445">
            <v>45301</v>
          </cell>
          <cell r="B445">
            <v>286.60000000000002</v>
          </cell>
          <cell r="D445">
            <v>45218</v>
          </cell>
          <cell r="E445">
            <v>6289.01</v>
          </cell>
        </row>
        <row r="446">
          <cell r="A446">
            <v>45300</v>
          </cell>
          <cell r="B446">
            <v>286.60000000000002</v>
          </cell>
          <cell r="D446">
            <v>45217</v>
          </cell>
          <cell r="E446">
            <v>6278.51</v>
          </cell>
        </row>
        <row r="447">
          <cell r="A447">
            <v>45299</v>
          </cell>
          <cell r="B447">
            <v>286.60000000000002</v>
          </cell>
          <cell r="D447">
            <v>45216</v>
          </cell>
          <cell r="E447">
            <v>6273.71</v>
          </cell>
        </row>
        <row r="448">
          <cell r="A448">
            <v>45295</v>
          </cell>
          <cell r="B448">
            <v>286.60000000000002</v>
          </cell>
          <cell r="D448">
            <v>45215</v>
          </cell>
          <cell r="E448">
            <v>6265.16</v>
          </cell>
        </row>
        <row r="449">
          <cell r="A449">
            <v>45294</v>
          </cell>
          <cell r="B449">
            <v>286.60000000000002</v>
          </cell>
          <cell r="D449">
            <v>45211</v>
          </cell>
          <cell r="E449">
            <v>6269.35</v>
          </cell>
        </row>
        <row r="450">
          <cell r="A450">
            <v>45293</v>
          </cell>
          <cell r="B450">
            <v>286.60000000000002</v>
          </cell>
          <cell r="D450">
            <v>45210</v>
          </cell>
          <cell r="E450">
            <v>6256.19</v>
          </cell>
        </row>
        <row r="451">
          <cell r="A451">
            <v>45292</v>
          </cell>
          <cell r="B451">
            <v>286.60000000000002</v>
          </cell>
          <cell r="D451">
            <v>45209</v>
          </cell>
          <cell r="E451">
            <v>6247.38</v>
          </cell>
        </row>
        <row r="452">
          <cell r="A452">
            <v>45288</v>
          </cell>
          <cell r="B452">
            <v>286.60000000000002</v>
          </cell>
          <cell r="D452">
            <v>45208</v>
          </cell>
          <cell r="E452">
            <v>6229.61</v>
          </cell>
        </row>
        <row r="453">
          <cell r="A453">
            <v>45287</v>
          </cell>
          <cell r="B453">
            <v>286.60000000000002</v>
          </cell>
          <cell r="D453">
            <v>45204</v>
          </cell>
          <cell r="E453">
            <v>6261.72</v>
          </cell>
        </row>
        <row r="454">
          <cell r="A454">
            <v>45286</v>
          </cell>
          <cell r="B454">
            <v>286.60000000000002</v>
          </cell>
          <cell r="D454">
            <v>45203</v>
          </cell>
          <cell r="E454">
            <v>6262.79</v>
          </cell>
        </row>
        <row r="455">
          <cell r="A455">
            <v>45284</v>
          </cell>
          <cell r="B455">
            <v>286.60000000000002</v>
          </cell>
          <cell r="D455">
            <v>45202</v>
          </cell>
          <cell r="E455">
            <v>6262.44</v>
          </cell>
        </row>
        <row r="456">
          <cell r="A456">
            <v>45281</v>
          </cell>
          <cell r="B456">
            <v>286.60000000000002</v>
          </cell>
          <cell r="D456">
            <v>45201</v>
          </cell>
          <cell r="E456">
            <v>6272.94</v>
          </cell>
        </row>
        <row r="457">
          <cell r="A457">
            <v>45280</v>
          </cell>
          <cell r="B457">
            <v>286.60000000000002</v>
          </cell>
          <cell r="D457">
            <v>45196</v>
          </cell>
          <cell r="E457">
            <v>6284.63</v>
          </cell>
        </row>
        <row r="458">
          <cell r="A458">
            <v>45279</v>
          </cell>
          <cell r="B458">
            <v>286.60000000000002</v>
          </cell>
          <cell r="D458">
            <v>45195</v>
          </cell>
          <cell r="E458">
            <v>6283.8</v>
          </cell>
        </row>
        <row r="459">
          <cell r="A459">
            <v>45278</v>
          </cell>
          <cell r="B459">
            <v>286.60000000000002</v>
          </cell>
          <cell r="D459">
            <v>45194</v>
          </cell>
          <cell r="E459">
            <v>6282.78</v>
          </cell>
        </row>
        <row r="460">
          <cell r="A460">
            <v>45277</v>
          </cell>
          <cell r="B460">
            <v>286.60000000000002</v>
          </cell>
          <cell r="D460">
            <v>45190</v>
          </cell>
          <cell r="E460">
            <v>6309.75</v>
          </cell>
        </row>
        <row r="461">
          <cell r="A461">
            <v>45274</v>
          </cell>
          <cell r="B461">
            <v>286.60000000000002</v>
          </cell>
          <cell r="D461">
            <v>45189</v>
          </cell>
          <cell r="E461">
            <v>6310.63</v>
          </cell>
        </row>
        <row r="462">
          <cell r="A462">
            <v>45273</v>
          </cell>
          <cell r="B462">
            <v>286.60000000000002</v>
          </cell>
          <cell r="D462">
            <v>45188</v>
          </cell>
          <cell r="E462">
            <v>6311.08</v>
          </cell>
        </row>
        <row r="463">
          <cell r="A463">
            <v>45272</v>
          </cell>
          <cell r="B463">
            <v>286.60000000000002</v>
          </cell>
          <cell r="D463">
            <v>45187</v>
          </cell>
          <cell r="E463">
            <v>6310.98</v>
          </cell>
        </row>
        <row r="464">
          <cell r="A464">
            <v>45271</v>
          </cell>
          <cell r="B464">
            <v>286.60000000000002</v>
          </cell>
          <cell r="D464">
            <v>45183</v>
          </cell>
          <cell r="E464">
            <v>6302.03</v>
          </cell>
        </row>
        <row r="465">
          <cell r="A465">
            <v>45270</v>
          </cell>
          <cell r="B465">
            <v>286.60000000000002</v>
          </cell>
          <cell r="D465">
            <v>45182</v>
          </cell>
          <cell r="E465">
            <v>6304.88</v>
          </cell>
        </row>
        <row r="466">
          <cell r="A466">
            <v>45267</v>
          </cell>
          <cell r="B466">
            <v>286.60000000000002</v>
          </cell>
          <cell r="D466">
            <v>45181</v>
          </cell>
          <cell r="E466">
            <v>6300.56</v>
          </cell>
        </row>
        <row r="467">
          <cell r="A467">
            <v>45266</v>
          </cell>
          <cell r="B467">
            <v>286.60000000000002</v>
          </cell>
          <cell r="D467">
            <v>45180</v>
          </cell>
          <cell r="E467">
            <v>6283.86</v>
          </cell>
        </row>
        <row r="468">
          <cell r="A468">
            <v>45265</v>
          </cell>
          <cell r="B468">
            <v>286.60000000000002</v>
          </cell>
          <cell r="D468">
            <v>45176</v>
          </cell>
          <cell r="E468">
            <v>6307.08</v>
          </cell>
        </row>
        <row r="469">
          <cell r="A469">
            <v>45264</v>
          </cell>
          <cell r="B469">
            <v>286.60000000000002</v>
          </cell>
          <cell r="D469">
            <v>45174</v>
          </cell>
          <cell r="E469">
            <v>6316.98</v>
          </cell>
        </row>
        <row r="470">
          <cell r="A470">
            <v>45263</v>
          </cell>
          <cell r="B470">
            <v>286.60000000000002</v>
          </cell>
          <cell r="D470">
            <v>45173</v>
          </cell>
          <cell r="E470">
            <v>6307.82</v>
          </cell>
        </row>
        <row r="471">
          <cell r="A471">
            <v>45260</v>
          </cell>
          <cell r="B471">
            <v>286.60000000000002</v>
          </cell>
          <cell r="D471">
            <v>45169</v>
          </cell>
          <cell r="E471">
            <v>6299.5</v>
          </cell>
        </row>
        <row r="472">
          <cell r="A472">
            <v>45259</v>
          </cell>
          <cell r="B472">
            <v>286.60000000000002</v>
          </cell>
          <cell r="D472">
            <v>45168</v>
          </cell>
          <cell r="E472">
            <v>6293.14</v>
          </cell>
        </row>
        <row r="473">
          <cell r="A473">
            <v>45258</v>
          </cell>
          <cell r="B473">
            <v>286.60000000000002</v>
          </cell>
          <cell r="D473">
            <v>45167</v>
          </cell>
          <cell r="E473">
            <v>6290.99</v>
          </cell>
        </row>
        <row r="474">
          <cell r="A474">
            <v>45257</v>
          </cell>
          <cell r="B474">
            <v>286.60000000000002</v>
          </cell>
          <cell r="D474">
            <v>45166</v>
          </cell>
          <cell r="E474">
            <v>6299.66</v>
          </cell>
        </row>
        <row r="475">
          <cell r="A475">
            <v>45256</v>
          </cell>
          <cell r="B475">
            <v>286.60000000000002</v>
          </cell>
          <cell r="D475">
            <v>45162</v>
          </cell>
          <cell r="E475">
            <v>6280.09</v>
          </cell>
        </row>
        <row r="476">
          <cell r="A476">
            <v>45253</v>
          </cell>
          <cell r="B476">
            <v>286.60000000000002</v>
          </cell>
          <cell r="D476">
            <v>45161</v>
          </cell>
          <cell r="E476">
            <v>6275.75</v>
          </cell>
        </row>
        <row r="477">
          <cell r="A477">
            <v>45252</v>
          </cell>
          <cell r="B477">
            <v>286.60000000000002</v>
          </cell>
          <cell r="D477">
            <v>45160</v>
          </cell>
          <cell r="E477">
            <v>6288.52</v>
          </cell>
        </row>
        <row r="478">
          <cell r="A478">
            <v>45251</v>
          </cell>
          <cell r="B478">
            <v>286.60000000000002</v>
          </cell>
          <cell r="D478">
            <v>45159</v>
          </cell>
          <cell r="E478">
            <v>6291.83</v>
          </cell>
        </row>
        <row r="479">
          <cell r="A479">
            <v>45250</v>
          </cell>
          <cell r="B479">
            <v>286.60000000000002</v>
          </cell>
          <cell r="D479">
            <v>45155</v>
          </cell>
          <cell r="E479">
            <v>6254.83</v>
          </cell>
        </row>
        <row r="480">
          <cell r="A480">
            <v>45249</v>
          </cell>
          <cell r="B480">
            <v>286.60000000000002</v>
          </cell>
          <cell r="D480">
            <v>45154</v>
          </cell>
          <cell r="E480">
            <v>6220.8</v>
          </cell>
        </row>
        <row r="481">
          <cell r="A481">
            <v>45246</v>
          </cell>
          <cell r="B481">
            <v>286.60000000000002</v>
          </cell>
          <cell r="D481">
            <v>45152</v>
          </cell>
          <cell r="E481">
            <v>6257.14</v>
          </cell>
        </row>
        <row r="482">
          <cell r="A482">
            <v>45245</v>
          </cell>
          <cell r="B482">
            <v>286.60000000000002</v>
          </cell>
          <cell r="D482">
            <v>45148</v>
          </cell>
          <cell r="E482">
            <v>6297.25</v>
          </cell>
        </row>
        <row r="483">
          <cell r="A483">
            <v>45244</v>
          </cell>
          <cell r="B483">
            <v>286.60000000000002</v>
          </cell>
          <cell r="D483">
            <v>45147</v>
          </cell>
          <cell r="E483">
            <v>6296.99</v>
          </cell>
        </row>
        <row r="484">
          <cell r="A484">
            <v>45243</v>
          </cell>
          <cell r="B484">
            <v>286.60000000000002</v>
          </cell>
          <cell r="D484">
            <v>45146</v>
          </cell>
          <cell r="E484">
            <v>6315.57</v>
          </cell>
        </row>
        <row r="485">
          <cell r="A485">
            <v>45242</v>
          </cell>
          <cell r="B485">
            <v>286.60000000000002</v>
          </cell>
          <cell r="D485">
            <v>45145</v>
          </cell>
          <cell r="E485">
            <v>6299.66</v>
          </cell>
        </row>
        <row r="486">
          <cell r="A486">
            <v>45239</v>
          </cell>
          <cell r="B486">
            <v>286.60000000000002</v>
          </cell>
          <cell r="D486">
            <v>45141</v>
          </cell>
          <cell r="E486">
            <v>6329.86</v>
          </cell>
        </row>
        <row r="487">
          <cell r="A487">
            <v>45238</v>
          </cell>
          <cell r="B487">
            <v>286.60000000000002</v>
          </cell>
          <cell r="D487">
            <v>45140</v>
          </cell>
          <cell r="E487">
            <v>6343</v>
          </cell>
        </row>
        <row r="488">
          <cell r="A488">
            <v>45237</v>
          </cell>
          <cell r="B488">
            <v>286.60000000000002</v>
          </cell>
          <cell r="D488">
            <v>45139</v>
          </cell>
          <cell r="E488">
            <v>6338.77</v>
          </cell>
        </row>
        <row r="489">
          <cell r="A489">
            <v>45236</v>
          </cell>
          <cell r="B489">
            <v>286.60000000000002</v>
          </cell>
          <cell r="D489">
            <v>45138</v>
          </cell>
          <cell r="E489">
            <v>6324.81</v>
          </cell>
        </row>
        <row r="490">
          <cell r="A490">
            <v>45235</v>
          </cell>
          <cell r="B490">
            <v>286.60000000000002</v>
          </cell>
          <cell r="D490">
            <v>45134</v>
          </cell>
          <cell r="E490">
            <v>6339.51</v>
          </cell>
        </row>
        <row r="491">
          <cell r="A491">
            <v>45232</v>
          </cell>
          <cell r="B491">
            <v>286.60000000000002</v>
          </cell>
          <cell r="D491">
            <v>45133</v>
          </cell>
          <cell r="E491">
            <v>6332.52</v>
          </cell>
        </row>
        <row r="492">
          <cell r="A492">
            <v>45231</v>
          </cell>
          <cell r="B492">
            <v>286.60000000000002</v>
          </cell>
          <cell r="D492">
            <v>45132</v>
          </cell>
          <cell r="E492">
            <v>6331.03</v>
          </cell>
        </row>
        <row r="493">
          <cell r="A493">
            <v>45230</v>
          </cell>
          <cell r="B493">
            <v>286.60000000000002</v>
          </cell>
          <cell r="D493">
            <v>45131</v>
          </cell>
          <cell r="E493">
            <v>6337.89</v>
          </cell>
        </row>
        <row r="494">
          <cell r="A494">
            <v>45229</v>
          </cell>
          <cell r="B494">
            <v>286.60000000000002</v>
          </cell>
          <cell r="D494">
            <v>45127</v>
          </cell>
          <cell r="E494">
            <v>6365.61</v>
          </cell>
        </row>
        <row r="495">
          <cell r="A495">
            <v>45228</v>
          </cell>
          <cell r="B495">
            <v>286.60000000000002</v>
          </cell>
          <cell r="D495">
            <v>45126</v>
          </cell>
          <cell r="E495">
            <v>6366.17</v>
          </cell>
        </row>
        <row r="496">
          <cell r="A496">
            <v>45225</v>
          </cell>
          <cell r="B496">
            <v>286.60000000000002</v>
          </cell>
          <cell r="D496">
            <v>45125</v>
          </cell>
          <cell r="E496">
            <v>6351.1</v>
          </cell>
        </row>
        <row r="497">
          <cell r="A497">
            <v>45224</v>
          </cell>
          <cell r="B497">
            <v>286.60000000000002</v>
          </cell>
          <cell r="D497">
            <v>45124</v>
          </cell>
          <cell r="E497">
            <v>6361.16</v>
          </cell>
        </row>
        <row r="498">
          <cell r="A498">
            <v>45222</v>
          </cell>
          <cell r="B498">
            <v>286.60000000000002</v>
          </cell>
          <cell r="D498">
            <v>45120</v>
          </cell>
          <cell r="E498">
            <v>6341.1</v>
          </cell>
        </row>
        <row r="499">
          <cell r="A499">
            <v>45221</v>
          </cell>
          <cell r="B499">
            <v>286.60000000000002</v>
          </cell>
          <cell r="D499">
            <v>45119</v>
          </cell>
          <cell r="E499">
            <v>6336.79</v>
          </cell>
        </row>
        <row r="500">
          <cell r="A500">
            <v>45218</v>
          </cell>
          <cell r="B500">
            <v>286.60000000000002</v>
          </cell>
          <cell r="D500">
            <v>45118</v>
          </cell>
          <cell r="E500">
            <v>6327.99</v>
          </cell>
        </row>
        <row r="501">
          <cell r="A501">
            <v>45217</v>
          </cell>
          <cell r="B501">
            <v>286.60000000000002</v>
          </cell>
          <cell r="D501">
            <v>45117</v>
          </cell>
          <cell r="E501">
            <v>6325.2</v>
          </cell>
        </row>
        <row r="502">
          <cell r="A502">
            <v>45216</v>
          </cell>
          <cell r="B502">
            <v>286.60000000000002</v>
          </cell>
          <cell r="D502">
            <v>45113</v>
          </cell>
          <cell r="E502">
            <v>6334.79</v>
          </cell>
        </row>
        <row r="503">
          <cell r="A503">
            <v>45215</v>
          </cell>
          <cell r="B503">
            <v>286.60000000000002</v>
          </cell>
          <cell r="D503">
            <v>45112</v>
          </cell>
          <cell r="E503">
            <v>6336.15</v>
          </cell>
        </row>
        <row r="504">
          <cell r="A504">
            <v>45214</v>
          </cell>
          <cell r="B504">
            <v>286.60000000000002</v>
          </cell>
          <cell r="D504">
            <v>45111</v>
          </cell>
          <cell r="E504">
            <v>6334.11</v>
          </cell>
        </row>
        <row r="505">
          <cell r="A505">
            <v>45211</v>
          </cell>
          <cell r="B505">
            <v>286.60000000000002</v>
          </cell>
          <cell r="D505">
            <v>45110</v>
          </cell>
          <cell r="E505">
            <v>6331.36</v>
          </cell>
        </row>
        <row r="506">
          <cell r="A506">
            <v>45210</v>
          </cell>
          <cell r="B506">
            <v>286.60000000000002</v>
          </cell>
          <cell r="D506">
            <v>45103</v>
          </cell>
          <cell r="E506">
            <v>6344.09</v>
          </cell>
        </row>
        <row r="507">
          <cell r="A507">
            <v>45209</v>
          </cell>
          <cell r="B507">
            <v>286.60000000000002</v>
          </cell>
          <cell r="D507">
            <v>45099</v>
          </cell>
          <cell r="E507">
            <v>6319.25</v>
          </cell>
        </row>
        <row r="508">
          <cell r="A508">
            <v>45208</v>
          </cell>
          <cell r="B508">
            <v>286.60000000000002</v>
          </cell>
          <cell r="D508">
            <v>45098</v>
          </cell>
          <cell r="E508">
            <v>6310.96</v>
          </cell>
        </row>
        <row r="509">
          <cell r="A509">
            <v>45207</v>
          </cell>
          <cell r="B509">
            <v>286.60000000000002</v>
          </cell>
          <cell r="D509">
            <v>45097</v>
          </cell>
          <cell r="E509">
            <v>6301.8</v>
          </cell>
        </row>
        <row r="510">
          <cell r="A510">
            <v>45204</v>
          </cell>
          <cell r="B510">
            <v>286.60000000000002</v>
          </cell>
          <cell r="D510">
            <v>45096</v>
          </cell>
          <cell r="E510">
            <v>6314.14</v>
          </cell>
        </row>
        <row r="511">
          <cell r="A511">
            <v>45203</v>
          </cell>
          <cell r="B511">
            <v>286.60000000000002</v>
          </cell>
          <cell r="D511">
            <v>45092</v>
          </cell>
          <cell r="E511">
            <v>6280.02</v>
          </cell>
        </row>
        <row r="512">
          <cell r="A512">
            <v>45202</v>
          </cell>
          <cell r="B512">
            <v>286.60000000000002</v>
          </cell>
          <cell r="D512">
            <v>45091</v>
          </cell>
          <cell r="E512">
            <v>6274.76</v>
          </cell>
        </row>
        <row r="513">
          <cell r="A513">
            <v>45201</v>
          </cell>
          <cell r="B513">
            <v>286.60000000000002</v>
          </cell>
          <cell r="D513">
            <v>45090</v>
          </cell>
          <cell r="E513">
            <v>6298.92</v>
          </cell>
        </row>
        <row r="514">
          <cell r="A514">
            <v>45200</v>
          </cell>
          <cell r="B514">
            <v>286.60000000000002</v>
          </cell>
          <cell r="D514">
            <v>45089</v>
          </cell>
          <cell r="E514">
            <v>6310.6</v>
          </cell>
        </row>
        <row r="515">
          <cell r="A515">
            <v>45196</v>
          </cell>
          <cell r="B515">
            <v>286.60000000000002</v>
          </cell>
          <cell r="D515">
            <v>45085</v>
          </cell>
          <cell r="E515">
            <v>6352.84</v>
          </cell>
        </row>
        <row r="516">
          <cell r="A516">
            <v>45195</v>
          </cell>
          <cell r="B516">
            <v>286.60000000000002</v>
          </cell>
          <cell r="D516">
            <v>45084</v>
          </cell>
          <cell r="E516">
            <v>6338.99</v>
          </cell>
        </row>
        <row r="517">
          <cell r="A517">
            <v>45194</v>
          </cell>
          <cell r="B517">
            <v>286.60000000000002</v>
          </cell>
          <cell r="D517">
            <v>45083</v>
          </cell>
          <cell r="E517">
            <v>6316.19</v>
          </cell>
        </row>
        <row r="518">
          <cell r="A518">
            <v>45193</v>
          </cell>
          <cell r="B518">
            <v>286.60000000000002</v>
          </cell>
          <cell r="D518">
            <v>45082</v>
          </cell>
          <cell r="E518">
            <v>6356.3</v>
          </cell>
        </row>
        <row r="519">
          <cell r="A519">
            <v>45190</v>
          </cell>
          <cell r="B519">
            <v>286.60000000000002</v>
          </cell>
          <cell r="D519">
            <v>45078</v>
          </cell>
          <cell r="E519">
            <v>6355.56</v>
          </cell>
        </row>
        <row r="520">
          <cell r="A520">
            <v>45189</v>
          </cell>
          <cell r="B520">
            <v>286.60000000000002</v>
          </cell>
          <cell r="D520">
            <v>45077</v>
          </cell>
          <cell r="E520">
            <v>6339.74</v>
          </cell>
        </row>
        <row r="521">
          <cell r="A521">
            <v>45188</v>
          </cell>
          <cell r="B521">
            <v>286.60000000000002</v>
          </cell>
          <cell r="D521">
            <v>45076</v>
          </cell>
          <cell r="E521">
            <v>6345.78</v>
          </cell>
        </row>
        <row r="522">
          <cell r="A522">
            <v>45187</v>
          </cell>
          <cell r="B522">
            <v>286.60000000000002</v>
          </cell>
          <cell r="D522">
            <v>45075</v>
          </cell>
          <cell r="E522">
            <v>6332.74</v>
          </cell>
        </row>
        <row r="523">
          <cell r="A523">
            <v>45186</v>
          </cell>
          <cell r="B523">
            <v>286.60000000000002</v>
          </cell>
          <cell r="D523">
            <v>45071</v>
          </cell>
          <cell r="E523">
            <v>6325.73</v>
          </cell>
        </row>
        <row r="524">
          <cell r="A524">
            <v>45183</v>
          </cell>
          <cell r="B524">
            <v>286.60000000000002</v>
          </cell>
          <cell r="D524">
            <v>45070</v>
          </cell>
          <cell r="E524">
            <v>6305.9</v>
          </cell>
        </row>
        <row r="525">
          <cell r="A525">
            <v>45182</v>
          </cell>
          <cell r="B525">
            <v>286.60000000000002</v>
          </cell>
          <cell r="D525">
            <v>45069</v>
          </cell>
          <cell r="E525">
            <v>6306.19</v>
          </cell>
        </row>
        <row r="526">
          <cell r="A526">
            <v>45181</v>
          </cell>
          <cell r="B526">
            <v>286.60000000000002</v>
          </cell>
          <cell r="D526">
            <v>45068</v>
          </cell>
          <cell r="E526">
            <v>6281.65</v>
          </cell>
        </row>
        <row r="527">
          <cell r="A527">
            <v>45180</v>
          </cell>
          <cell r="B527">
            <v>286.60000000000002</v>
          </cell>
          <cell r="D527">
            <v>45064</v>
          </cell>
          <cell r="E527">
            <v>6290.2</v>
          </cell>
        </row>
        <row r="528">
          <cell r="A528">
            <v>45179</v>
          </cell>
          <cell r="B528">
            <v>286.60000000000002</v>
          </cell>
          <cell r="D528">
            <v>45063</v>
          </cell>
          <cell r="E528">
            <v>6281.25</v>
          </cell>
        </row>
        <row r="529">
          <cell r="A529">
            <v>45176</v>
          </cell>
          <cell r="B529">
            <v>286.60000000000002</v>
          </cell>
          <cell r="D529">
            <v>45062</v>
          </cell>
          <cell r="E529">
            <v>6277.21</v>
          </cell>
        </row>
        <row r="530">
          <cell r="A530">
            <v>45174</v>
          </cell>
          <cell r="B530">
            <v>286.60000000000002</v>
          </cell>
          <cell r="D530">
            <v>45061</v>
          </cell>
          <cell r="E530">
            <v>6260.1</v>
          </cell>
        </row>
        <row r="531">
          <cell r="A531">
            <v>45173</v>
          </cell>
          <cell r="B531">
            <v>286.60000000000002</v>
          </cell>
          <cell r="D531">
            <v>45057</v>
          </cell>
          <cell r="E531">
            <v>6272.43</v>
          </cell>
        </row>
        <row r="532">
          <cell r="A532">
            <v>45172</v>
          </cell>
          <cell r="B532">
            <v>286.60000000000002</v>
          </cell>
          <cell r="D532">
            <v>45056</v>
          </cell>
          <cell r="E532">
            <v>6279.11</v>
          </cell>
        </row>
        <row r="533">
          <cell r="A533">
            <v>45169</v>
          </cell>
          <cell r="B533">
            <v>286.60000000000002</v>
          </cell>
          <cell r="D533">
            <v>45055</v>
          </cell>
          <cell r="E533">
            <v>6273.6</v>
          </cell>
        </row>
        <row r="534">
          <cell r="A534">
            <v>45168</v>
          </cell>
          <cell r="B534">
            <v>286.60000000000002</v>
          </cell>
          <cell r="D534">
            <v>45054</v>
          </cell>
          <cell r="E534">
            <v>6261.63</v>
          </cell>
        </row>
        <row r="535">
          <cell r="A535">
            <v>45167</v>
          </cell>
          <cell r="B535">
            <v>286.60000000000002</v>
          </cell>
          <cell r="D535">
            <v>45049</v>
          </cell>
          <cell r="E535">
            <v>6269.16</v>
          </cell>
        </row>
        <row r="536">
          <cell r="A536">
            <v>45166</v>
          </cell>
          <cell r="B536">
            <v>286.60000000000002</v>
          </cell>
          <cell r="D536">
            <v>45048</v>
          </cell>
          <cell r="E536">
            <v>6270.77</v>
          </cell>
        </row>
        <row r="537">
          <cell r="A537">
            <v>45165</v>
          </cell>
          <cell r="B537">
            <v>286.60000000000002</v>
          </cell>
          <cell r="D537">
            <v>45043</v>
          </cell>
          <cell r="E537">
            <v>6274.06</v>
          </cell>
        </row>
        <row r="538">
          <cell r="A538">
            <v>45162</v>
          </cell>
          <cell r="B538">
            <v>286.60000000000002</v>
          </cell>
          <cell r="D538">
            <v>45042</v>
          </cell>
          <cell r="E538">
            <v>6266.36</v>
          </cell>
        </row>
        <row r="539">
          <cell r="A539">
            <v>45161</v>
          </cell>
          <cell r="B539">
            <v>286.60000000000002</v>
          </cell>
          <cell r="D539">
            <v>45041</v>
          </cell>
          <cell r="E539">
            <v>6263.52</v>
          </cell>
        </row>
        <row r="540">
          <cell r="A540">
            <v>45160</v>
          </cell>
          <cell r="B540">
            <v>286.60000000000002</v>
          </cell>
          <cell r="D540">
            <v>45040</v>
          </cell>
          <cell r="E540">
            <v>6252.16</v>
          </cell>
        </row>
        <row r="541">
          <cell r="A541">
            <v>45159</v>
          </cell>
          <cell r="B541">
            <v>286.60000000000002</v>
          </cell>
          <cell r="D541">
            <v>45034</v>
          </cell>
          <cell r="E541">
            <v>6228.65</v>
          </cell>
        </row>
        <row r="542">
          <cell r="A542">
            <v>45158</v>
          </cell>
          <cell r="B542">
            <v>286.60000000000002</v>
          </cell>
          <cell r="D542">
            <v>45033</v>
          </cell>
          <cell r="E542">
            <v>6223.06</v>
          </cell>
        </row>
        <row r="543">
          <cell r="A543">
            <v>45155</v>
          </cell>
          <cell r="B543">
            <v>286.60000000000002</v>
          </cell>
          <cell r="D543">
            <v>45029</v>
          </cell>
          <cell r="E543">
            <v>6215.18</v>
          </cell>
        </row>
        <row r="544">
          <cell r="A544">
            <v>45154</v>
          </cell>
          <cell r="B544">
            <v>286.60000000000002</v>
          </cell>
          <cell r="D544">
            <v>45028</v>
          </cell>
          <cell r="E544">
            <v>6204.88</v>
          </cell>
        </row>
        <row r="545">
          <cell r="A545">
            <v>45152</v>
          </cell>
          <cell r="B545">
            <v>286.60000000000002</v>
          </cell>
          <cell r="D545">
            <v>45027</v>
          </cell>
          <cell r="E545">
            <v>6196.49</v>
          </cell>
        </row>
        <row r="546">
          <cell r="A546">
            <v>45151</v>
          </cell>
          <cell r="B546">
            <v>286.60000000000002</v>
          </cell>
          <cell r="D546">
            <v>45026</v>
          </cell>
          <cell r="E546">
            <v>6201.55</v>
          </cell>
        </row>
        <row r="547">
          <cell r="A547">
            <v>45148</v>
          </cell>
          <cell r="B547">
            <v>286.60000000000002</v>
          </cell>
          <cell r="D547">
            <v>45022</v>
          </cell>
          <cell r="E547">
            <v>6214.2</v>
          </cell>
        </row>
        <row r="548">
          <cell r="A548">
            <v>45147</v>
          </cell>
          <cell r="B548">
            <v>286.60000000000002</v>
          </cell>
          <cell r="D548">
            <v>45021</v>
          </cell>
          <cell r="E548">
            <v>6211.03</v>
          </cell>
        </row>
        <row r="549">
          <cell r="A549">
            <v>45146</v>
          </cell>
          <cell r="B549">
            <v>286.60000000000002</v>
          </cell>
          <cell r="D549">
            <v>45020</v>
          </cell>
          <cell r="E549">
            <v>6209.68</v>
          </cell>
        </row>
        <row r="550">
          <cell r="A550">
            <v>45145</v>
          </cell>
          <cell r="B550">
            <v>286.60000000000002</v>
          </cell>
          <cell r="D550">
            <v>45019</v>
          </cell>
          <cell r="E550">
            <v>6213.45</v>
          </cell>
        </row>
        <row r="551">
          <cell r="A551">
            <v>45144</v>
          </cell>
          <cell r="B551">
            <v>286.60000000000002</v>
          </cell>
          <cell r="D551">
            <v>45015</v>
          </cell>
          <cell r="E551">
            <v>6206.8</v>
          </cell>
        </row>
        <row r="552">
          <cell r="A552">
            <v>45141</v>
          </cell>
          <cell r="B552">
            <v>286.60000000000002</v>
          </cell>
          <cell r="D552">
            <v>45014</v>
          </cell>
          <cell r="E552">
            <v>6196.75</v>
          </cell>
        </row>
        <row r="553">
          <cell r="A553">
            <v>45140</v>
          </cell>
          <cell r="B553">
            <v>286.60000000000002</v>
          </cell>
          <cell r="D553">
            <v>45013</v>
          </cell>
          <cell r="E553">
            <v>6193.08</v>
          </cell>
        </row>
        <row r="554">
          <cell r="A554">
            <v>45139</v>
          </cell>
          <cell r="B554">
            <v>286.60000000000002</v>
          </cell>
          <cell r="D554">
            <v>45012</v>
          </cell>
          <cell r="E554">
            <v>6203.92</v>
          </cell>
        </row>
        <row r="555">
          <cell r="A555">
            <v>45138</v>
          </cell>
          <cell r="B555">
            <v>286.60000000000002</v>
          </cell>
          <cell r="D555">
            <v>45008</v>
          </cell>
          <cell r="E555">
            <v>6215.3</v>
          </cell>
        </row>
        <row r="556">
          <cell r="A556">
            <v>45137</v>
          </cell>
          <cell r="B556">
            <v>286.60000000000002</v>
          </cell>
          <cell r="D556">
            <v>45007</v>
          </cell>
          <cell r="E556">
            <v>6206.64</v>
          </cell>
        </row>
        <row r="557">
          <cell r="A557">
            <v>45134</v>
          </cell>
          <cell r="B557">
            <v>286.60000000000002</v>
          </cell>
          <cell r="D557">
            <v>45006</v>
          </cell>
          <cell r="E557">
            <v>6222.9</v>
          </cell>
        </row>
        <row r="558">
          <cell r="A558">
            <v>45133</v>
          </cell>
          <cell r="B558">
            <v>286.60000000000002</v>
          </cell>
          <cell r="D558">
            <v>45005</v>
          </cell>
          <cell r="E558">
            <v>6204.18</v>
          </cell>
        </row>
        <row r="559">
          <cell r="A559">
            <v>45132</v>
          </cell>
          <cell r="B559">
            <v>286.60000000000002</v>
          </cell>
          <cell r="D559">
            <v>45001</v>
          </cell>
          <cell r="E559">
            <v>6220.24</v>
          </cell>
        </row>
        <row r="560">
          <cell r="A560">
            <v>45131</v>
          </cell>
          <cell r="B560">
            <v>286.60000000000002</v>
          </cell>
          <cell r="D560">
            <v>45000</v>
          </cell>
          <cell r="E560">
            <v>6213.37</v>
          </cell>
        </row>
        <row r="561">
          <cell r="A561">
            <v>45130</v>
          </cell>
          <cell r="B561">
            <v>286.60000000000002</v>
          </cell>
          <cell r="D561">
            <v>44999</v>
          </cell>
          <cell r="E561">
            <v>6231.96</v>
          </cell>
        </row>
        <row r="562">
          <cell r="A562">
            <v>45127</v>
          </cell>
          <cell r="B562">
            <v>286.60000000000002</v>
          </cell>
          <cell r="D562">
            <v>44998</v>
          </cell>
          <cell r="E562">
            <v>6243.57</v>
          </cell>
        </row>
        <row r="563">
          <cell r="A563">
            <v>45126</v>
          </cell>
          <cell r="B563">
            <v>286.60000000000002</v>
          </cell>
          <cell r="D563">
            <v>44994</v>
          </cell>
          <cell r="E563">
            <v>6260.18</v>
          </cell>
        </row>
        <row r="564">
          <cell r="A564">
            <v>45125</v>
          </cell>
          <cell r="B564">
            <v>286.60000000000002</v>
          </cell>
          <cell r="D564">
            <v>44992</v>
          </cell>
          <cell r="E564">
            <v>6262.31</v>
          </cell>
        </row>
        <row r="565">
          <cell r="A565">
            <v>45124</v>
          </cell>
          <cell r="B565">
            <v>286.60000000000002</v>
          </cell>
          <cell r="D565">
            <v>44991</v>
          </cell>
          <cell r="E565">
            <v>6259.48</v>
          </cell>
        </row>
        <row r="566">
          <cell r="A566">
            <v>45123</v>
          </cell>
          <cell r="B566">
            <v>286.60000000000002</v>
          </cell>
          <cell r="D566">
            <v>44987</v>
          </cell>
          <cell r="E566">
            <v>6213.74</v>
          </cell>
        </row>
        <row r="567">
          <cell r="A567">
            <v>45120</v>
          </cell>
          <cell r="B567">
            <v>286.60000000000002</v>
          </cell>
          <cell r="D567">
            <v>44986</v>
          </cell>
          <cell r="E567">
            <v>6214.69</v>
          </cell>
        </row>
        <row r="568">
          <cell r="A568">
            <v>45119</v>
          </cell>
          <cell r="B568">
            <v>286.60000000000002</v>
          </cell>
          <cell r="D568">
            <v>44985</v>
          </cell>
          <cell r="E568">
            <v>6216.95</v>
          </cell>
        </row>
        <row r="569">
          <cell r="A569">
            <v>45118</v>
          </cell>
          <cell r="B569">
            <v>286.60000000000002</v>
          </cell>
          <cell r="D569">
            <v>44984</v>
          </cell>
          <cell r="E569">
            <v>6199.2</v>
          </cell>
        </row>
        <row r="570">
          <cell r="A570">
            <v>45117</v>
          </cell>
          <cell r="B570">
            <v>286.60000000000002</v>
          </cell>
          <cell r="D570">
            <v>44980</v>
          </cell>
          <cell r="E570">
            <v>6205.12</v>
          </cell>
        </row>
        <row r="571">
          <cell r="A571">
            <v>45116</v>
          </cell>
          <cell r="B571">
            <v>286.60000000000002</v>
          </cell>
          <cell r="D571">
            <v>44979</v>
          </cell>
          <cell r="E571">
            <v>6218.3</v>
          </cell>
        </row>
        <row r="572">
          <cell r="A572">
            <v>45113</v>
          </cell>
          <cell r="B572">
            <v>286.60000000000002</v>
          </cell>
          <cell r="D572">
            <v>44977</v>
          </cell>
          <cell r="E572">
            <v>6218.84</v>
          </cell>
        </row>
        <row r="573">
          <cell r="A573">
            <v>45112</v>
          </cell>
          <cell r="B573">
            <v>286.60000000000002</v>
          </cell>
          <cell r="D573">
            <v>44973</v>
          </cell>
          <cell r="E573">
            <v>6246.21</v>
          </cell>
        </row>
        <row r="574">
          <cell r="A574">
            <v>45111</v>
          </cell>
          <cell r="B574">
            <v>286.60000000000002</v>
          </cell>
          <cell r="D574">
            <v>44972</v>
          </cell>
          <cell r="E574">
            <v>6245.02</v>
          </cell>
        </row>
        <row r="575">
          <cell r="A575">
            <v>45110</v>
          </cell>
          <cell r="B575">
            <v>286.60000000000002</v>
          </cell>
          <cell r="D575">
            <v>44971</v>
          </cell>
          <cell r="E575">
            <v>6256.17</v>
          </cell>
        </row>
        <row r="576">
          <cell r="A576">
            <v>45109</v>
          </cell>
          <cell r="B576">
            <v>286.60000000000002</v>
          </cell>
          <cell r="D576">
            <v>44970</v>
          </cell>
          <cell r="E576">
            <v>6270.87</v>
          </cell>
        </row>
        <row r="577">
          <cell r="A577">
            <v>45103</v>
          </cell>
          <cell r="B577">
            <v>286.60000000000002</v>
          </cell>
          <cell r="D577">
            <v>44966</v>
          </cell>
          <cell r="E577">
            <v>6283.31</v>
          </cell>
        </row>
        <row r="578">
          <cell r="A578">
            <v>45102</v>
          </cell>
          <cell r="B578">
            <v>286.60000000000002</v>
          </cell>
          <cell r="D578">
            <v>44965</v>
          </cell>
          <cell r="E578">
            <v>6295.66</v>
          </cell>
        </row>
        <row r="579">
          <cell r="A579">
            <v>45099</v>
          </cell>
          <cell r="B579">
            <v>286.60000000000002</v>
          </cell>
          <cell r="D579">
            <v>44964</v>
          </cell>
          <cell r="E579">
            <v>6285.4</v>
          </cell>
        </row>
        <row r="580">
          <cell r="A580">
            <v>45098</v>
          </cell>
          <cell r="B580">
            <v>286.60000000000002</v>
          </cell>
          <cell r="D580">
            <v>44963</v>
          </cell>
          <cell r="E580">
            <v>6280.72</v>
          </cell>
        </row>
        <row r="581">
          <cell r="A581">
            <v>45097</v>
          </cell>
          <cell r="B581">
            <v>286.60000000000002</v>
          </cell>
          <cell r="D581">
            <v>44959</v>
          </cell>
          <cell r="E581">
            <v>6294.73</v>
          </cell>
        </row>
        <row r="582">
          <cell r="A582">
            <v>45096</v>
          </cell>
          <cell r="B582">
            <v>286.60000000000002</v>
          </cell>
          <cell r="D582">
            <v>44958</v>
          </cell>
          <cell r="E582">
            <v>6277.18</v>
          </cell>
        </row>
        <row r="583">
          <cell r="A583">
            <v>45095</v>
          </cell>
          <cell r="B583">
            <v>286.60000000000002</v>
          </cell>
          <cell r="D583">
            <v>44957</v>
          </cell>
          <cell r="E583">
            <v>6267.05</v>
          </cell>
        </row>
        <row r="584">
          <cell r="A584">
            <v>45092</v>
          </cell>
          <cell r="B584">
            <v>286.60000000000002</v>
          </cell>
          <cell r="D584">
            <v>44956</v>
          </cell>
          <cell r="E584">
            <v>6278.84</v>
          </cell>
        </row>
        <row r="585">
          <cell r="A585">
            <v>45091</v>
          </cell>
          <cell r="B585">
            <v>286.60000000000002</v>
          </cell>
          <cell r="D585">
            <v>44952</v>
          </cell>
          <cell r="E585">
            <v>6296.26</v>
          </cell>
        </row>
        <row r="586">
          <cell r="A586">
            <v>45090</v>
          </cell>
          <cell r="B586">
            <v>286.60000000000002</v>
          </cell>
          <cell r="D586">
            <v>44951</v>
          </cell>
          <cell r="E586">
            <v>6293.4</v>
          </cell>
        </row>
        <row r="587">
          <cell r="A587">
            <v>45089</v>
          </cell>
          <cell r="B587">
            <v>286.60000000000002</v>
          </cell>
          <cell r="D587">
            <v>44950</v>
          </cell>
          <cell r="E587">
            <v>6291.3</v>
          </cell>
        </row>
        <row r="588">
          <cell r="A588">
            <v>45088</v>
          </cell>
          <cell r="B588">
            <v>286.60000000000002</v>
          </cell>
          <cell r="D588">
            <v>44949</v>
          </cell>
          <cell r="E588">
            <v>6263.51</v>
          </cell>
        </row>
        <row r="589">
          <cell r="A589">
            <v>45085</v>
          </cell>
          <cell r="B589">
            <v>286.60000000000002</v>
          </cell>
          <cell r="D589">
            <v>44945</v>
          </cell>
          <cell r="E589">
            <v>6265.44</v>
          </cell>
        </row>
        <row r="590">
          <cell r="A590">
            <v>45084</v>
          </cell>
          <cell r="B590">
            <v>286.60000000000002</v>
          </cell>
          <cell r="D590">
            <v>44944</v>
          </cell>
          <cell r="E590">
            <v>6258.17</v>
          </cell>
        </row>
        <row r="591">
          <cell r="A591">
            <v>45083</v>
          </cell>
          <cell r="B591">
            <v>286.60000000000002</v>
          </cell>
          <cell r="D591">
            <v>44943</v>
          </cell>
          <cell r="E591">
            <v>6281.74</v>
          </cell>
        </row>
        <row r="592">
          <cell r="A592">
            <v>45082</v>
          </cell>
          <cell r="B592">
            <v>286.60000000000002</v>
          </cell>
          <cell r="D592">
            <v>44942</v>
          </cell>
          <cell r="E592">
            <v>6246.07</v>
          </cell>
        </row>
        <row r="593">
          <cell r="A593">
            <v>45081</v>
          </cell>
          <cell r="B593">
            <v>286.60000000000002</v>
          </cell>
          <cell r="D593">
            <v>44938</v>
          </cell>
          <cell r="E593">
            <v>6207.29</v>
          </cell>
        </row>
        <row r="594">
          <cell r="A594">
            <v>45078</v>
          </cell>
          <cell r="B594">
            <v>286.60000000000002</v>
          </cell>
          <cell r="D594">
            <v>44937</v>
          </cell>
          <cell r="E594">
            <v>6209.52</v>
          </cell>
        </row>
        <row r="595">
          <cell r="A595">
            <v>45077</v>
          </cell>
          <cell r="B595">
            <v>286.60000000000002</v>
          </cell>
          <cell r="D595">
            <v>44936</v>
          </cell>
          <cell r="E595">
            <v>6205.28</v>
          </cell>
        </row>
        <row r="596">
          <cell r="A596">
            <v>45076</v>
          </cell>
          <cell r="B596">
            <v>286.60000000000002</v>
          </cell>
          <cell r="D596">
            <v>44935</v>
          </cell>
          <cell r="E596">
            <v>6191.55</v>
          </cell>
        </row>
        <row r="597">
          <cell r="A597">
            <v>45075</v>
          </cell>
          <cell r="B597">
            <v>286.60000000000002</v>
          </cell>
          <cell r="D597">
            <v>44931</v>
          </cell>
          <cell r="E597">
            <v>6193.96</v>
          </cell>
        </row>
        <row r="598">
          <cell r="A598">
            <v>45074</v>
          </cell>
          <cell r="B598">
            <v>286.60000000000002</v>
          </cell>
          <cell r="D598">
            <v>44930</v>
          </cell>
          <cell r="E598">
            <v>6202.63</v>
          </cell>
        </row>
        <row r="599">
          <cell r="A599">
            <v>45071</v>
          </cell>
          <cell r="B599">
            <v>286.60000000000002</v>
          </cell>
          <cell r="D599">
            <v>44929</v>
          </cell>
          <cell r="E599">
            <v>6185.06</v>
          </cell>
        </row>
        <row r="600">
          <cell r="A600">
            <v>45070</v>
          </cell>
          <cell r="B600">
            <v>286.60000000000002</v>
          </cell>
          <cell r="D600">
            <v>44928</v>
          </cell>
          <cell r="E600">
            <v>6177.88</v>
          </cell>
        </row>
        <row r="601">
          <cell r="A601">
            <v>45069</v>
          </cell>
          <cell r="B601">
            <v>286.60000000000002</v>
          </cell>
          <cell r="D601">
            <v>44924</v>
          </cell>
          <cell r="E601">
            <v>6206.81</v>
          </cell>
        </row>
        <row r="602">
          <cell r="A602">
            <v>45068</v>
          </cell>
          <cell r="B602">
            <v>286.60000000000002</v>
          </cell>
          <cell r="D602">
            <v>44923</v>
          </cell>
          <cell r="E602">
            <v>6195.82</v>
          </cell>
        </row>
        <row r="603">
          <cell r="A603">
            <v>45067</v>
          </cell>
          <cell r="B603">
            <v>286.60000000000002</v>
          </cell>
          <cell r="D603">
            <v>44922</v>
          </cell>
          <cell r="E603">
            <v>6180.27</v>
          </cell>
        </row>
        <row r="604">
          <cell r="A604">
            <v>45064</v>
          </cell>
          <cell r="B604">
            <v>286.60000000000002</v>
          </cell>
          <cell r="D604">
            <v>44921</v>
          </cell>
          <cell r="E604">
            <v>6189.7</v>
          </cell>
        </row>
        <row r="605">
          <cell r="A605">
            <v>45063</v>
          </cell>
          <cell r="B605">
            <v>286.60000000000002</v>
          </cell>
          <cell r="D605">
            <v>44917</v>
          </cell>
          <cell r="E605">
            <v>6202.21</v>
          </cell>
        </row>
        <row r="606">
          <cell r="A606">
            <v>45062</v>
          </cell>
          <cell r="B606">
            <v>286.60000000000002</v>
          </cell>
          <cell r="D606">
            <v>44916</v>
          </cell>
          <cell r="E606">
            <v>6198.82</v>
          </cell>
        </row>
        <row r="607">
          <cell r="A607">
            <v>45061</v>
          </cell>
          <cell r="B607">
            <v>286.60000000000002</v>
          </cell>
          <cell r="D607">
            <v>44915</v>
          </cell>
          <cell r="E607">
            <v>6226.5</v>
          </cell>
        </row>
        <row r="608">
          <cell r="A608">
            <v>45060</v>
          </cell>
          <cell r="B608">
            <v>286.60000000000002</v>
          </cell>
          <cell r="D608">
            <v>44914</v>
          </cell>
          <cell r="E608">
            <v>6238.99</v>
          </cell>
        </row>
        <row r="609">
          <cell r="A609">
            <v>45057</v>
          </cell>
          <cell r="B609">
            <v>286.60000000000002</v>
          </cell>
          <cell r="D609">
            <v>44910</v>
          </cell>
          <cell r="E609">
            <v>6256.83</v>
          </cell>
        </row>
        <row r="610">
          <cell r="A610">
            <v>45056</v>
          </cell>
          <cell r="B610">
            <v>286.60000000000002</v>
          </cell>
          <cell r="D610">
            <v>44909</v>
          </cell>
          <cell r="E610">
            <v>6260.77</v>
          </cell>
        </row>
        <row r="611">
          <cell r="A611">
            <v>45055</v>
          </cell>
          <cell r="B611">
            <v>286.60000000000002</v>
          </cell>
          <cell r="D611">
            <v>44908</v>
          </cell>
          <cell r="E611">
            <v>6271.41</v>
          </cell>
        </row>
        <row r="612">
          <cell r="A612">
            <v>45054</v>
          </cell>
          <cell r="B612">
            <v>286.60000000000002</v>
          </cell>
          <cell r="D612">
            <v>44907</v>
          </cell>
          <cell r="E612">
            <v>6266.96</v>
          </cell>
        </row>
        <row r="613">
          <cell r="A613">
            <v>45053</v>
          </cell>
          <cell r="B613">
            <v>286.60000000000002</v>
          </cell>
          <cell r="D613">
            <v>44903</v>
          </cell>
          <cell r="E613">
            <v>6227.82</v>
          </cell>
        </row>
        <row r="614">
          <cell r="A614">
            <v>45049</v>
          </cell>
          <cell r="B614">
            <v>286.60000000000002</v>
          </cell>
          <cell r="D614">
            <v>44902</v>
          </cell>
          <cell r="E614">
            <v>6233.68</v>
          </cell>
        </row>
        <row r="615">
          <cell r="A615">
            <v>45048</v>
          </cell>
          <cell r="B615">
            <v>286.60000000000002</v>
          </cell>
          <cell r="D615">
            <v>44901</v>
          </cell>
          <cell r="E615">
            <v>6229.01</v>
          </cell>
        </row>
        <row r="616">
          <cell r="A616">
            <v>45046</v>
          </cell>
          <cell r="B616">
            <v>286.60000000000002</v>
          </cell>
          <cell r="D616">
            <v>44900</v>
          </cell>
          <cell r="E616">
            <v>6212.55</v>
          </cell>
        </row>
        <row r="617">
          <cell r="A617">
            <v>45043</v>
          </cell>
          <cell r="B617">
            <v>286.60000000000002</v>
          </cell>
          <cell r="D617">
            <v>44896</v>
          </cell>
          <cell r="E617">
            <v>6245.38</v>
          </cell>
        </row>
        <row r="618">
          <cell r="A618">
            <v>45042</v>
          </cell>
          <cell r="B618">
            <v>286.60000000000002</v>
          </cell>
          <cell r="D618">
            <v>44895</v>
          </cell>
          <cell r="E618">
            <v>6235.95</v>
          </cell>
        </row>
        <row r="619">
          <cell r="A619">
            <v>45041</v>
          </cell>
          <cell r="B619">
            <v>286.60000000000002</v>
          </cell>
          <cell r="D619">
            <v>44894</v>
          </cell>
          <cell r="E619">
            <v>6212.46</v>
          </cell>
        </row>
        <row r="620">
          <cell r="A620">
            <v>45040</v>
          </cell>
          <cell r="B620">
            <v>286.60000000000002</v>
          </cell>
          <cell r="D620">
            <v>44893</v>
          </cell>
          <cell r="E620">
            <v>6197.94</v>
          </cell>
        </row>
        <row r="621">
          <cell r="A621">
            <v>45034</v>
          </cell>
          <cell r="B621">
            <v>286.60000000000002</v>
          </cell>
          <cell r="D621">
            <v>44889</v>
          </cell>
          <cell r="E621">
            <v>6215.12</v>
          </cell>
        </row>
        <row r="622">
          <cell r="A622">
            <v>45033</v>
          </cell>
          <cell r="B622">
            <v>286.60000000000002</v>
          </cell>
          <cell r="D622">
            <v>44888</v>
          </cell>
          <cell r="E622">
            <v>6207.73</v>
          </cell>
        </row>
        <row r="623">
          <cell r="A623">
            <v>45032</v>
          </cell>
          <cell r="B623">
            <v>286.60000000000002</v>
          </cell>
          <cell r="D623">
            <v>44887</v>
          </cell>
          <cell r="E623">
            <v>6230.51</v>
          </cell>
        </row>
        <row r="624">
          <cell r="A624">
            <v>45029</v>
          </cell>
          <cell r="B624">
            <v>286.60000000000002</v>
          </cell>
          <cell r="D624">
            <v>44886</v>
          </cell>
          <cell r="E624">
            <v>6190.99</v>
          </cell>
        </row>
        <row r="625">
          <cell r="A625">
            <v>45028</v>
          </cell>
          <cell r="B625">
            <v>286.60000000000002</v>
          </cell>
          <cell r="D625">
            <v>44882</v>
          </cell>
          <cell r="E625">
            <v>6265.99</v>
          </cell>
        </row>
        <row r="626">
          <cell r="A626">
            <v>45027</v>
          </cell>
          <cell r="B626">
            <v>286.60000000000002</v>
          </cell>
          <cell r="D626">
            <v>44881</v>
          </cell>
          <cell r="E626">
            <v>6253.35</v>
          </cell>
        </row>
        <row r="627">
          <cell r="A627">
            <v>45026</v>
          </cell>
          <cell r="B627">
            <v>286.60000000000002</v>
          </cell>
          <cell r="D627">
            <v>44880</v>
          </cell>
          <cell r="E627">
            <v>6218.32</v>
          </cell>
        </row>
        <row r="628">
          <cell r="A628">
            <v>45025</v>
          </cell>
          <cell r="B628">
            <v>286.60000000000002</v>
          </cell>
          <cell r="D628">
            <v>44879</v>
          </cell>
          <cell r="E628">
            <v>6253.49</v>
          </cell>
        </row>
        <row r="629">
          <cell r="A629">
            <v>45022</v>
          </cell>
          <cell r="B629">
            <v>286.60000000000002</v>
          </cell>
          <cell r="D629">
            <v>44875</v>
          </cell>
          <cell r="E629">
            <v>6353.77</v>
          </cell>
        </row>
        <row r="630">
          <cell r="A630">
            <v>45021</v>
          </cell>
          <cell r="B630">
            <v>286.60000000000002</v>
          </cell>
          <cell r="D630">
            <v>44874</v>
          </cell>
          <cell r="E630">
            <v>6350.14</v>
          </cell>
        </row>
        <row r="631">
          <cell r="A631">
            <v>45020</v>
          </cell>
          <cell r="B631">
            <v>286.60000000000002</v>
          </cell>
          <cell r="D631">
            <v>44873</v>
          </cell>
          <cell r="E631">
            <v>6384.1</v>
          </cell>
        </row>
        <row r="632">
          <cell r="A632">
            <v>45019</v>
          </cell>
          <cell r="B632">
            <v>286.60000000000002</v>
          </cell>
          <cell r="D632">
            <v>44872</v>
          </cell>
          <cell r="E632">
            <v>6393.03</v>
          </cell>
        </row>
        <row r="633">
          <cell r="A633">
            <v>45018</v>
          </cell>
          <cell r="B633">
            <v>286.60000000000002</v>
          </cell>
          <cell r="D633">
            <v>44868</v>
          </cell>
          <cell r="E633">
            <v>6410.67</v>
          </cell>
        </row>
        <row r="634">
          <cell r="A634">
            <v>45015</v>
          </cell>
          <cell r="B634">
            <v>286.60000000000002</v>
          </cell>
          <cell r="D634">
            <v>44867</v>
          </cell>
          <cell r="E634">
            <v>6388.56</v>
          </cell>
        </row>
        <row r="635">
          <cell r="A635">
            <v>45014</v>
          </cell>
          <cell r="B635">
            <v>286.60000000000002</v>
          </cell>
          <cell r="D635">
            <v>44866</v>
          </cell>
          <cell r="E635">
            <v>6352.9</v>
          </cell>
        </row>
        <row r="636">
          <cell r="A636">
            <v>45013</v>
          </cell>
          <cell r="B636">
            <v>286.60000000000002</v>
          </cell>
          <cell r="D636">
            <v>44865</v>
          </cell>
          <cell r="E636">
            <v>6307.34</v>
          </cell>
        </row>
        <row r="637">
          <cell r="A637">
            <v>45012</v>
          </cell>
          <cell r="B637">
            <v>286.60000000000002</v>
          </cell>
          <cell r="D637">
            <v>44861</v>
          </cell>
          <cell r="E637">
            <v>6378</v>
          </cell>
        </row>
        <row r="638">
          <cell r="A638">
            <v>45008</v>
          </cell>
          <cell r="B638">
            <v>286.60000000000002</v>
          </cell>
          <cell r="D638">
            <v>44860</v>
          </cell>
          <cell r="E638">
            <v>6344.35</v>
          </cell>
        </row>
        <row r="639">
          <cell r="A639">
            <v>45007</v>
          </cell>
          <cell r="B639">
            <v>286.60000000000002</v>
          </cell>
          <cell r="D639">
            <v>44859</v>
          </cell>
          <cell r="E639">
            <v>6328.2</v>
          </cell>
        </row>
        <row r="640">
          <cell r="A640">
            <v>45006</v>
          </cell>
          <cell r="B640">
            <v>286.60000000000002</v>
          </cell>
          <cell r="D640">
            <v>44858</v>
          </cell>
          <cell r="E640">
            <v>6311.38</v>
          </cell>
        </row>
        <row r="641">
          <cell r="A641">
            <v>45005</v>
          </cell>
          <cell r="B641">
            <v>286.60000000000002</v>
          </cell>
          <cell r="D641">
            <v>44854</v>
          </cell>
          <cell r="E641">
            <v>6392.3</v>
          </cell>
        </row>
        <row r="642">
          <cell r="A642">
            <v>45004</v>
          </cell>
          <cell r="B642">
            <v>286.60000000000002</v>
          </cell>
          <cell r="D642">
            <v>44853</v>
          </cell>
          <cell r="E642">
            <v>6390.18</v>
          </cell>
        </row>
        <row r="643">
          <cell r="A643">
            <v>45001</v>
          </cell>
          <cell r="B643">
            <v>286.60000000000002</v>
          </cell>
          <cell r="D643">
            <v>44852</v>
          </cell>
          <cell r="E643">
            <v>6400.71</v>
          </cell>
        </row>
        <row r="644">
          <cell r="A644">
            <v>45000</v>
          </cell>
          <cell r="B644">
            <v>286.60000000000002</v>
          </cell>
          <cell r="D644">
            <v>44851</v>
          </cell>
          <cell r="E644">
            <v>6413.02</v>
          </cell>
        </row>
        <row r="645">
          <cell r="A645">
            <v>44999</v>
          </cell>
          <cell r="B645">
            <v>286.60000000000002</v>
          </cell>
          <cell r="D645">
            <v>44847</v>
          </cell>
          <cell r="E645">
            <v>6494.25</v>
          </cell>
        </row>
        <row r="646">
          <cell r="A646">
            <v>44998</v>
          </cell>
          <cell r="B646">
            <v>286.60000000000002</v>
          </cell>
          <cell r="D646">
            <v>44846</v>
          </cell>
          <cell r="E646">
            <v>6500.85</v>
          </cell>
        </row>
        <row r="647">
          <cell r="A647">
            <v>44997</v>
          </cell>
          <cell r="B647">
            <v>286.60000000000002</v>
          </cell>
          <cell r="D647">
            <v>44845</v>
          </cell>
          <cell r="E647">
            <v>6449.92</v>
          </cell>
        </row>
        <row r="648">
          <cell r="A648">
            <v>44994</v>
          </cell>
          <cell r="B648">
            <v>286.60000000000002</v>
          </cell>
          <cell r="D648">
            <v>44844</v>
          </cell>
          <cell r="E648">
            <v>6449.63</v>
          </cell>
        </row>
        <row r="649">
          <cell r="A649">
            <v>44992</v>
          </cell>
          <cell r="B649">
            <v>286.60000000000002</v>
          </cell>
          <cell r="D649">
            <v>44840</v>
          </cell>
          <cell r="E649">
            <v>6569.51</v>
          </cell>
        </row>
        <row r="650">
          <cell r="A650">
            <v>44991</v>
          </cell>
          <cell r="B650">
            <v>286.60000000000002</v>
          </cell>
          <cell r="D650">
            <v>44838</v>
          </cell>
          <cell r="E650">
            <v>6544.83</v>
          </cell>
        </row>
        <row r="651">
          <cell r="A651">
            <v>44990</v>
          </cell>
          <cell r="B651">
            <v>286.60000000000002</v>
          </cell>
          <cell r="D651">
            <v>44837</v>
          </cell>
          <cell r="E651">
            <v>6518.35</v>
          </cell>
        </row>
        <row r="652">
          <cell r="A652">
            <v>44987</v>
          </cell>
          <cell r="B652">
            <v>286.60000000000002</v>
          </cell>
          <cell r="D652">
            <v>44833</v>
          </cell>
          <cell r="E652">
            <v>6515.11</v>
          </cell>
        </row>
        <row r="653">
          <cell r="A653">
            <v>44986</v>
          </cell>
          <cell r="B653">
            <v>286.60000000000002</v>
          </cell>
          <cell r="D653">
            <v>44832</v>
          </cell>
          <cell r="E653">
            <v>6496.39</v>
          </cell>
        </row>
        <row r="654">
          <cell r="A654">
            <v>44985</v>
          </cell>
          <cell r="B654">
            <v>286.60000000000002</v>
          </cell>
          <cell r="D654">
            <v>44831</v>
          </cell>
          <cell r="E654">
            <v>6489.05</v>
          </cell>
        </row>
        <row r="655">
          <cell r="A655">
            <v>44984</v>
          </cell>
          <cell r="B655">
            <v>286.60000000000002</v>
          </cell>
          <cell r="D655">
            <v>44830</v>
          </cell>
          <cell r="E655">
            <v>6510.98</v>
          </cell>
        </row>
        <row r="656">
          <cell r="A656">
            <v>44980</v>
          </cell>
          <cell r="B656">
            <v>286.60000000000002</v>
          </cell>
          <cell r="D656">
            <v>44826</v>
          </cell>
          <cell r="E656">
            <v>6564</v>
          </cell>
        </row>
        <row r="657">
          <cell r="A657">
            <v>44979</v>
          </cell>
          <cell r="B657">
            <v>286.60000000000002</v>
          </cell>
          <cell r="D657">
            <v>44825</v>
          </cell>
          <cell r="E657">
            <v>6551.44</v>
          </cell>
        </row>
        <row r="658">
          <cell r="A658">
            <v>44977</v>
          </cell>
          <cell r="B658">
            <v>286.60000000000002</v>
          </cell>
          <cell r="D658">
            <v>44824</v>
          </cell>
          <cell r="E658">
            <v>6596.66</v>
          </cell>
        </row>
        <row r="659">
          <cell r="A659">
            <v>44976</v>
          </cell>
          <cell r="B659">
            <v>286.60000000000002</v>
          </cell>
          <cell r="D659">
            <v>44823</v>
          </cell>
          <cell r="E659">
            <v>6600.88</v>
          </cell>
        </row>
        <row r="660">
          <cell r="A660">
            <v>44973</v>
          </cell>
          <cell r="B660">
            <v>286.60000000000002</v>
          </cell>
          <cell r="D660">
            <v>44819</v>
          </cell>
          <cell r="E660">
            <v>6515.01</v>
          </cell>
        </row>
        <row r="661">
          <cell r="A661">
            <v>44972</v>
          </cell>
          <cell r="B661">
            <v>286.60000000000002</v>
          </cell>
          <cell r="D661">
            <v>44818</v>
          </cell>
          <cell r="E661">
            <v>6487.18</v>
          </cell>
        </row>
        <row r="662">
          <cell r="A662">
            <v>44971</v>
          </cell>
          <cell r="B662">
            <v>286.60000000000002</v>
          </cell>
          <cell r="D662">
            <v>44817</v>
          </cell>
          <cell r="E662">
            <v>6537.6</v>
          </cell>
        </row>
        <row r="663">
          <cell r="A663">
            <v>44970</v>
          </cell>
          <cell r="B663">
            <v>286.60000000000002</v>
          </cell>
          <cell r="D663">
            <v>44816</v>
          </cell>
          <cell r="E663">
            <v>6528.31</v>
          </cell>
        </row>
        <row r="664">
          <cell r="A664">
            <v>44969</v>
          </cell>
          <cell r="B664">
            <v>286.60000000000002</v>
          </cell>
          <cell r="D664">
            <v>44812</v>
          </cell>
          <cell r="E664">
            <v>6560.02</v>
          </cell>
        </row>
        <row r="665">
          <cell r="A665">
            <v>44966</v>
          </cell>
          <cell r="B665">
            <v>286.60000000000002</v>
          </cell>
          <cell r="D665">
            <v>44811</v>
          </cell>
          <cell r="E665">
            <v>6547.46</v>
          </cell>
        </row>
        <row r="666">
          <cell r="A666">
            <v>44965</v>
          </cell>
          <cell r="B666">
            <v>286.60000000000002</v>
          </cell>
          <cell r="D666">
            <v>44810</v>
          </cell>
          <cell r="E666">
            <v>6471</v>
          </cell>
        </row>
        <row r="667">
          <cell r="A667">
            <v>44964</v>
          </cell>
          <cell r="B667">
            <v>286.60000000000002</v>
          </cell>
          <cell r="D667">
            <v>44809</v>
          </cell>
          <cell r="E667">
            <v>6431.35</v>
          </cell>
        </row>
        <row r="668">
          <cell r="A668">
            <v>44963</v>
          </cell>
          <cell r="B668">
            <v>286.60000000000002</v>
          </cell>
          <cell r="D668">
            <v>44805</v>
          </cell>
          <cell r="E668">
            <v>6508.61</v>
          </cell>
        </row>
        <row r="669">
          <cell r="A669">
            <v>44962</v>
          </cell>
          <cell r="B669">
            <v>286.60000000000002</v>
          </cell>
          <cell r="D669">
            <v>44804</v>
          </cell>
          <cell r="E669">
            <v>6457.22</v>
          </cell>
        </row>
        <row r="670">
          <cell r="A670">
            <v>44959</v>
          </cell>
          <cell r="B670">
            <v>286.60000000000002</v>
          </cell>
          <cell r="D670">
            <v>44803</v>
          </cell>
          <cell r="E670">
            <v>6432.83</v>
          </cell>
        </row>
        <row r="671">
          <cell r="A671">
            <v>44958</v>
          </cell>
          <cell r="B671">
            <v>286.60000000000002</v>
          </cell>
          <cell r="D671">
            <v>44802</v>
          </cell>
          <cell r="E671">
            <v>6407.98</v>
          </cell>
        </row>
        <row r="672">
          <cell r="A672">
            <v>44957</v>
          </cell>
          <cell r="B672">
            <v>286.60000000000002</v>
          </cell>
          <cell r="D672">
            <v>44798</v>
          </cell>
          <cell r="E672">
            <v>6355.07</v>
          </cell>
        </row>
        <row r="673">
          <cell r="A673">
            <v>44956</v>
          </cell>
          <cell r="B673">
            <v>286.60000000000002</v>
          </cell>
          <cell r="D673">
            <v>44797</v>
          </cell>
          <cell r="E673">
            <v>6280.35</v>
          </cell>
        </row>
        <row r="674">
          <cell r="A674">
            <v>44955</v>
          </cell>
          <cell r="B674">
            <v>286.60000000000002</v>
          </cell>
          <cell r="D674">
            <v>44796</v>
          </cell>
          <cell r="E674">
            <v>6315.83</v>
          </cell>
        </row>
        <row r="675">
          <cell r="A675">
            <v>44952</v>
          </cell>
          <cell r="B675">
            <v>286.60000000000002</v>
          </cell>
          <cell r="D675">
            <v>44795</v>
          </cell>
          <cell r="E675">
            <v>6300.14</v>
          </cell>
        </row>
        <row r="676">
          <cell r="A676">
            <v>44951</v>
          </cell>
          <cell r="B676">
            <v>286.60000000000002</v>
          </cell>
          <cell r="D676">
            <v>44790</v>
          </cell>
          <cell r="E676">
            <v>6241.44</v>
          </cell>
        </row>
        <row r="677">
          <cell r="A677">
            <v>44950</v>
          </cell>
          <cell r="B677">
            <v>286.60000000000002</v>
          </cell>
          <cell r="D677">
            <v>44789</v>
          </cell>
          <cell r="E677">
            <v>6225.91</v>
          </cell>
        </row>
        <row r="678">
          <cell r="A678">
            <v>44949</v>
          </cell>
          <cell r="B678">
            <v>286.60000000000002</v>
          </cell>
          <cell r="D678">
            <v>44784</v>
          </cell>
          <cell r="E678">
            <v>6148.77</v>
          </cell>
        </row>
        <row r="679">
          <cell r="A679">
            <v>44948</v>
          </cell>
          <cell r="B679">
            <v>286.60000000000002</v>
          </cell>
          <cell r="D679">
            <v>44783</v>
          </cell>
          <cell r="E679">
            <v>6180.9</v>
          </cell>
        </row>
        <row r="680">
          <cell r="A680">
            <v>44945</v>
          </cell>
          <cell r="B680">
            <v>286.60000000000002</v>
          </cell>
          <cell r="D680">
            <v>44781</v>
          </cell>
          <cell r="E680">
            <v>6258.95</v>
          </cell>
        </row>
        <row r="681">
          <cell r="A681">
            <v>44944</v>
          </cell>
          <cell r="B681">
            <v>286.60000000000002</v>
          </cell>
          <cell r="D681">
            <v>44777</v>
          </cell>
          <cell r="E681">
            <v>6312.25</v>
          </cell>
        </row>
        <row r="682">
          <cell r="A682">
            <v>44943</v>
          </cell>
          <cell r="B682">
            <v>286.60000000000002</v>
          </cell>
          <cell r="D682">
            <v>44776</v>
          </cell>
          <cell r="E682">
            <v>6300.11</v>
          </cell>
        </row>
        <row r="683">
          <cell r="A683">
            <v>44942</v>
          </cell>
          <cell r="B683">
            <v>286.60000000000002</v>
          </cell>
          <cell r="D683">
            <v>44775</v>
          </cell>
          <cell r="E683">
            <v>6249.23</v>
          </cell>
        </row>
        <row r="684">
          <cell r="A684">
            <v>44941</v>
          </cell>
          <cell r="B684">
            <v>286.60000000000002</v>
          </cell>
          <cell r="D684">
            <v>44774</v>
          </cell>
          <cell r="E684">
            <v>6163.99</v>
          </cell>
        </row>
        <row r="685">
          <cell r="A685">
            <v>44938</v>
          </cell>
          <cell r="B685">
            <v>286.60000000000002</v>
          </cell>
          <cell r="D685">
            <v>44770</v>
          </cell>
          <cell r="E685">
            <v>5980.51</v>
          </cell>
        </row>
        <row r="686">
          <cell r="A686">
            <v>44937</v>
          </cell>
          <cell r="B686">
            <v>286.60000000000002</v>
          </cell>
          <cell r="D686">
            <v>44769</v>
          </cell>
          <cell r="E686">
            <v>6038</v>
          </cell>
        </row>
        <row r="687">
          <cell r="A687">
            <v>44936</v>
          </cell>
          <cell r="B687">
            <v>286.60000000000002</v>
          </cell>
          <cell r="D687">
            <v>44768</v>
          </cell>
          <cell r="E687">
            <v>6112.25</v>
          </cell>
        </row>
        <row r="688">
          <cell r="A688">
            <v>44935</v>
          </cell>
          <cell r="B688">
            <v>286.60000000000002</v>
          </cell>
          <cell r="D688">
            <v>44767</v>
          </cell>
          <cell r="E688">
            <v>6082.9</v>
          </cell>
        </row>
        <row r="689">
          <cell r="A689">
            <v>44934</v>
          </cell>
          <cell r="B689">
            <v>286.60000000000002</v>
          </cell>
          <cell r="D689">
            <v>44763</v>
          </cell>
          <cell r="E689">
            <v>6126.52</v>
          </cell>
        </row>
        <row r="690">
          <cell r="A690">
            <v>44931</v>
          </cell>
          <cell r="B690">
            <v>286.60000000000002</v>
          </cell>
          <cell r="D690">
            <v>44762</v>
          </cell>
          <cell r="E690">
            <v>6138.79</v>
          </cell>
        </row>
        <row r="691">
          <cell r="A691">
            <v>44930</v>
          </cell>
          <cell r="B691">
            <v>286.60000000000002</v>
          </cell>
          <cell r="D691">
            <v>44761</v>
          </cell>
          <cell r="E691">
            <v>6153.18</v>
          </cell>
        </row>
        <row r="692">
          <cell r="A692">
            <v>44929</v>
          </cell>
          <cell r="B692">
            <v>286.60000000000002</v>
          </cell>
          <cell r="D692">
            <v>44760</v>
          </cell>
          <cell r="E692">
            <v>6216.89</v>
          </cell>
        </row>
        <row r="693">
          <cell r="A693">
            <v>44928</v>
          </cell>
          <cell r="B693">
            <v>286.60000000000002</v>
          </cell>
          <cell r="D693">
            <v>44756</v>
          </cell>
          <cell r="E693">
            <v>6324.5</v>
          </cell>
        </row>
        <row r="694">
          <cell r="A694">
            <v>44927</v>
          </cell>
          <cell r="B694">
            <v>286.60000000000002</v>
          </cell>
          <cell r="D694">
            <v>44755</v>
          </cell>
          <cell r="E694">
            <v>6324.81</v>
          </cell>
        </row>
        <row r="695">
          <cell r="A695">
            <v>44924</v>
          </cell>
          <cell r="B695">
            <v>286.60000000000002</v>
          </cell>
          <cell r="D695">
            <v>44754</v>
          </cell>
          <cell r="E695">
            <v>6355.49</v>
          </cell>
        </row>
        <row r="696">
          <cell r="A696">
            <v>44923</v>
          </cell>
          <cell r="B696">
            <v>286.60000000000002</v>
          </cell>
          <cell r="D696">
            <v>44749</v>
          </cell>
          <cell r="E696">
            <v>6366.95</v>
          </cell>
        </row>
        <row r="697">
          <cell r="A697">
            <v>44922</v>
          </cell>
          <cell r="B697">
            <v>286.60000000000002</v>
          </cell>
          <cell r="D697">
            <v>44748</v>
          </cell>
          <cell r="E697">
            <v>6366.05</v>
          </cell>
        </row>
        <row r="698">
          <cell r="A698">
            <v>44921</v>
          </cell>
          <cell r="B698">
            <v>286.60000000000002</v>
          </cell>
          <cell r="D698">
            <v>44747</v>
          </cell>
          <cell r="E698">
            <v>6372.13</v>
          </cell>
        </row>
        <row r="699">
          <cell r="A699">
            <v>44917</v>
          </cell>
          <cell r="B699">
            <v>286.60000000000002</v>
          </cell>
          <cell r="D699">
            <v>44746</v>
          </cell>
          <cell r="E699">
            <v>6346.88</v>
          </cell>
        </row>
        <row r="700">
          <cell r="A700">
            <v>44916</v>
          </cell>
          <cell r="B700">
            <v>286.60000000000002</v>
          </cell>
          <cell r="D700">
            <v>44745</v>
          </cell>
          <cell r="E700">
            <v>6359.77</v>
          </cell>
        </row>
        <row r="701">
          <cell r="A701">
            <v>44915</v>
          </cell>
          <cell r="B701">
            <v>286.60000000000002</v>
          </cell>
          <cell r="D701">
            <v>44742</v>
          </cell>
          <cell r="E701">
            <v>6376.94</v>
          </cell>
        </row>
        <row r="702">
          <cell r="A702">
            <v>44914</v>
          </cell>
          <cell r="B702">
            <v>286.60000000000002</v>
          </cell>
          <cell r="D702">
            <v>44741</v>
          </cell>
          <cell r="E702">
            <v>6350.46</v>
          </cell>
        </row>
        <row r="703">
          <cell r="A703">
            <v>44913</v>
          </cell>
          <cell r="B703">
            <v>286.60000000000002</v>
          </cell>
          <cell r="D703">
            <v>44740</v>
          </cell>
          <cell r="E703">
            <v>6342.59</v>
          </cell>
        </row>
        <row r="704">
          <cell r="A704">
            <v>44910</v>
          </cell>
          <cell r="B704">
            <v>286.60000000000002</v>
          </cell>
          <cell r="D704">
            <v>44739</v>
          </cell>
          <cell r="E704">
            <v>6320.33</v>
          </cell>
        </row>
        <row r="705">
          <cell r="A705">
            <v>44909</v>
          </cell>
          <cell r="B705">
            <v>286.60000000000002</v>
          </cell>
          <cell r="D705">
            <v>44738</v>
          </cell>
          <cell r="E705">
            <v>6301.08</v>
          </cell>
        </row>
        <row r="706">
          <cell r="A706">
            <v>44908</v>
          </cell>
          <cell r="B706">
            <v>286.60000000000002</v>
          </cell>
          <cell r="D706">
            <v>44735</v>
          </cell>
          <cell r="E706">
            <v>6327.65</v>
          </cell>
        </row>
        <row r="707">
          <cell r="A707">
            <v>44907</v>
          </cell>
          <cell r="B707">
            <v>286.60000000000002</v>
          </cell>
          <cell r="D707">
            <v>44734</v>
          </cell>
          <cell r="E707">
            <v>6317.8</v>
          </cell>
        </row>
        <row r="708">
          <cell r="A708">
            <v>44906</v>
          </cell>
          <cell r="B708">
            <v>286.60000000000002</v>
          </cell>
          <cell r="D708">
            <v>44733</v>
          </cell>
          <cell r="E708">
            <v>6311.65</v>
          </cell>
        </row>
        <row r="709">
          <cell r="A709">
            <v>44903</v>
          </cell>
          <cell r="B709">
            <v>286.60000000000002</v>
          </cell>
          <cell r="D709">
            <v>44732</v>
          </cell>
          <cell r="E709">
            <v>6357.38</v>
          </cell>
        </row>
        <row r="710">
          <cell r="A710">
            <v>44902</v>
          </cell>
          <cell r="B710">
            <v>286.60000000000002</v>
          </cell>
          <cell r="D710">
            <v>44731</v>
          </cell>
          <cell r="E710">
            <v>6407.37</v>
          </cell>
        </row>
        <row r="711">
          <cell r="A711">
            <v>44901</v>
          </cell>
          <cell r="B711">
            <v>286.60000000000002</v>
          </cell>
          <cell r="D711">
            <v>44728</v>
          </cell>
          <cell r="E711">
            <v>6425.73</v>
          </cell>
        </row>
        <row r="712">
          <cell r="A712">
            <v>44900</v>
          </cell>
          <cell r="B712">
            <v>286.60000000000002</v>
          </cell>
          <cell r="D712">
            <v>44727</v>
          </cell>
          <cell r="E712">
            <v>6374.51</v>
          </cell>
        </row>
        <row r="713">
          <cell r="A713">
            <v>44899</v>
          </cell>
          <cell r="B713">
            <v>286.60000000000002</v>
          </cell>
          <cell r="D713">
            <v>44726</v>
          </cell>
          <cell r="E713">
            <v>6361.39</v>
          </cell>
        </row>
        <row r="714">
          <cell r="A714">
            <v>44896</v>
          </cell>
          <cell r="B714">
            <v>286.60000000000002</v>
          </cell>
          <cell r="D714">
            <v>44725</v>
          </cell>
          <cell r="E714">
            <v>6391.99</v>
          </cell>
        </row>
        <row r="715">
          <cell r="A715">
            <v>44895</v>
          </cell>
          <cell r="B715">
            <v>286.60000000000002</v>
          </cell>
          <cell r="D715">
            <v>44724</v>
          </cell>
          <cell r="E715">
            <v>6431.46</v>
          </cell>
        </row>
        <row r="716">
          <cell r="A716">
            <v>44894</v>
          </cell>
          <cell r="B716">
            <v>286.60000000000002</v>
          </cell>
          <cell r="D716">
            <v>44721</v>
          </cell>
          <cell r="E716">
            <v>6480.3</v>
          </cell>
        </row>
        <row r="717">
          <cell r="A717">
            <v>44893</v>
          </cell>
          <cell r="B717">
            <v>286.60000000000002</v>
          </cell>
          <cell r="D717">
            <v>44720</v>
          </cell>
          <cell r="E717">
            <v>6484.24</v>
          </cell>
        </row>
        <row r="718">
          <cell r="A718">
            <v>44892</v>
          </cell>
          <cell r="B718">
            <v>286.60000000000002</v>
          </cell>
          <cell r="D718">
            <v>44719</v>
          </cell>
          <cell r="E718">
            <v>6468.6</v>
          </cell>
        </row>
        <row r="719">
          <cell r="A719">
            <v>44889</v>
          </cell>
          <cell r="B719">
            <v>286.60000000000002</v>
          </cell>
          <cell r="D719">
            <v>44718</v>
          </cell>
          <cell r="E719">
            <v>6489.17</v>
          </cell>
        </row>
        <row r="720">
          <cell r="A720">
            <v>44888</v>
          </cell>
          <cell r="B720">
            <v>286.60000000000002</v>
          </cell>
          <cell r="D720">
            <v>44717</v>
          </cell>
          <cell r="E720">
            <v>6497.39</v>
          </cell>
        </row>
        <row r="721">
          <cell r="A721">
            <v>44887</v>
          </cell>
          <cell r="B721">
            <v>286.60000000000002</v>
          </cell>
          <cell r="D721">
            <v>44714</v>
          </cell>
          <cell r="E721">
            <v>6451.53</v>
          </cell>
        </row>
        <row r="722">
          <cell r="A722">
            <v>44886</v>
          </cell>
          <cell r="B722">
            <v>286.60000000000002</v>
          </cell>
          <cell r="D722">
            <v>44713</v>
          </cell>
          <cell r="E722">
            <v>6433.17</v>
          </cell>
        </row>
        <row r="723">
          <cell r="A723">
            <v>44885</v>
          </cell>
          <cell r="B723">
            <v>286.60000000000002</v>
          </cell>
          <cell r="D723">
            <v>44712</v>
          </cell>
          <cell r="E723">
            <v>6392.85</v>
          </cell>
        </row>
        <row r="724">
          <cell r="A724">
            <v>44882</v>
          </cell>
          <cell r="B724">
            <v>286.60000000000002</v>
          </cell>
          <cell r="D724">
            <v>44711</v>
          </cell>
          <cell r="E724">
            <v>6388.65</v>
          </cell>
        </row>
        <row r="725">
          <cell r="A725">
            <v>44881</v>
          </cell>
          <cell r="B725">
            <v>286.60000000000002</v>
          </cell>
          <cell r="D725">
            <v>44710</v>
          </cell>
          <cell r="E725">
            <v>6369.33</v>
          </cell>
        </row>
        <row r="726">
          <cell r="A726">
            <v>44880</v>
          </cell>
          <cell r="B726">
            <v>286.60000000000002</v>
          </cell>
          <cell r="D726">
            <v>44707</v>
          </cell>
          <cell r="E726">
            <v>6237.97</v>
          </cell>
        </row>
        <row r="727">
          <cell r="A727">
            <v>44879</v>
          </cell>
          <cell r="B727">
            <v>286.60000000000002</v>
          </cell>
          <cell r="D727">
            <v>44706</v>
          </cell>
          <cell r="E727">
            <v>6187.64</v>
          </cell>
        </row>
        <row r="728">
          <cell r="A728">
            <v>44878</v>
          </cell>
          <cell r="B728">
            <v>286.60000000000002</v>
          </cell>
          <cell r="D728">
            <v>44705</v>
          </cell>
          <cell r="E728">
            <v>6211.46</v>
          </cell>
        </row>
        <row r="729">
          <cell r="A729">
            <v>44875</v>
          </cell>
          <cell r="B729">
            <v>286.60000000000002</v>
          </cell>
          <cell r="D729">
            <v>44704</v>
          </cell>
          <cell r="E729">
            <v>6261.54</v>
          </cell>
        </row>
        <row r="730">
          <cell r="A730">
            <v>44874</v>
          </cell>
          <cell r="B730">
            <v>286.60000000000002</v>
          </cell>
          <cell r="D730">
            <v>44703</v>
          </cell>
          <cell r="E730">
            <v>6142.68</v>
          </cell>
        </row>
        <row r="731">
          <cell r="A731">
            <v>44873</v>
          </cell>
          <cell r="B731">
            <v>286.60000000000002</v>
          </cell>
          <cell r="D731">
            <v>44700</v>
          </cell>
          <cell r="E731">
            <v>6258.24</v>
          </cell>
        </row>
        <row r="732">
          <cell r="A732">
            <v>44872</v>
          </cell>
          <cell r="B732">
            <v>286.60000000000002</v>
          </cell>
          <cell r="D732">
            <v>44699</v>
          </cell>
          <cell r="E732">
            <v>6309.91</v>
          </cell>
        </row>
        <row r="733">
          <cell r="A733">
            <v>44871</v>
          </cell>
          <cell r="B733">
            <v>286.60000000000002</v>
          </cell>
          <cell r="D733">
            <v>44698</v>
          </cell>
          <cell r="E733">
            <v>6403.5</v>
          </cell>
        </row>
        <row r="734">
          <cell r="A734">
            <v>44868</v>
          </cell>
          <cell r="B734">
            <v>286.60000000000002</v>
          </cell>
          <cell r="D734">
            <v>44697</v>
          </cell>
          <cell r="E734">
            <v>6430.93</v>
          </cell>
        </row>
        <row r="735">
          <cell r="A735">
            <v>44867</v>
          </cell>
          <cell r="B735">
            <v>286.60000000000002</v>
          </cell>
          <cell r="D735">
            <v>44693</v>
          </cell>
          <cell r="E735">
            <v>6565.47</v>
          </cell>
        </row>
        <row r="736">
          <cell r="A736">
            <v>44866</v>
          </cell>
          <cell r="B736">
            <v>286.60000000000002</v>
          </cell>
          <cell r="D736">
            <v>44692</v>
          </cell>
          <cell r="E736">
            <v>6591.99</v>
          </cell>
        </row>
        <row r="737">
          <cell r="A737">
            <v>44865</v>
          </cell>
          <cell r="B737">
            <v>286.60000000000002</v>
          </cell>
          <cell r="D737">
            <v>44691</v>
          </cell>
          <cell r="E737">
            <v>6665.61</v>
          </cell>
        </row>
        <row r="738">
          <cell r="A738">
            <v>44864</v>
          </cell>
          <cell r="B738">
            <v>286.60000000000002</v>
          </cell>
          <cell r="D738">
            <v>44690</v>
          </cell>
          <cell r="E738">
            <v>6698.08</v>
          </cell>
        </row>
        <row r="739">
          <cell r="A739">
            <v>44861</v>
          </cell>
          <cell r="B739">
            <v>286.60000000000002</v>
          </cell>
          <cell r="D739">
            <v>44689</v>
          </cell>
          <cell r="E739">
            <v>6669.41</v>
          </cell>
        </row>
        <row r="740">
          <cell r="A740">
            <v>44860</v>
          </cell>
          <cell r="B740">
            <v>286.60000000000002</v>
          </cell>
          <cell r="D740">
            <v>44686</v>
          </cell>
          <cell r="E740">
            <v>6643.16</v>
          </cell>
        </row>
        <row r="741">
          <cell r="A741">
            <v>44859</v>
          </cell>
          <cell r="B741">
            <v>286.60000000000002</v>
          </cell>
          <cell r="D741">
            <v>44679</v>
          </cell>
          <cell r="E741">
            <v>6655.66</v>
          </cell>
        </row>
        <row r="742">
          <cell r="A742">
            <v>44858</v>
          </cell>
          <cell r="B742">
            <v>286.60000000000002</v>
          </cell>
          <cell r="D742">
            <v>44678</v>
          </cell>
          <cell r="E742">
            <v>6677.64</v>
          </cell>
        </row>
        <row r="743">
          <cell r="A743">
            <v>44857</v>
          </cell>
          <cell r="B743">
            <v>286.60000000000002</v>
          </cell>
          <cell r="D743">
            <v>44677</v>
          </cell>
          <cell r="E743">
            <v>6677.56</v>
          </cell>
        </row>
        <row r="744">
          <cell r="A744">
            <v>44854</v>
          </cell>
          <cell r="B744">
            <v>286.60000000000002</v>
          </cell>
          <cell r="D744">
            <v>44676</v>
          </cell>
          <cell r="E744">
            <v>6666.91</v>
          </cell>
        </row>
        <row r="745">
          <cell r="A745">
            <v>44853</v>
          </cell>
          <cell r="B745">
            <v>286.60000000000002</v>
          </cell>
          <cell r="D745">
            <v>44675</v>
          </cell>
          <cell r="E745">
            <v>6683.23</v>
          </cell>
        </row>
        <row r="746">
          <cell r="A746">
            <v>44852</v>
          </cell>
          <cell r="B746">
            <v>286.60000000000002</v>
          </cell>
          <cell r="D746">
            <v>44672</v>
          </cell>
          <cell r="E746">
            <v>6662.36</v>
          </cell>
        </row>
        <row r="747">
          <cell r="A747">
            <v>44851</v>
          </cell>
          <cell r="B747">
            <v>286.60000000000002</v>
          </cell>
          <cell r="D747">
            <v>44671</v>
          </cell>
          <cell r="E747">
            <v>6606.41</v>
          </cell>
        </row>
        <row r="748">
          <cell r="A748">
            <v>44850</v>
          </cell>
          <cell r="B748">
            <v>286.60000000000002</v>
          </cell>
          <cell r="D748">
            <v>44670</v>
          </cell>
          <cell r="E748">
            <v>6530.06</v>
          </cell>
        </row>
        <row r="749">
          <cell r="A749">
            <v>44847</v>
          </cell>
          <cell r="B749">
            <v>286.60000000000002</v>
          </cell>
          <cell r="D749">
            <v>44669</v>
          </cell>
          <cell r="E749">
            <v>6482.38</v>
          </cell>
        </row>
        <row r="750">
          <cell r="A750">
            <v>44846</v>
          </cell>
          <cell r="B750">
            <v>286.60000000000002</v>
          </cell>
          <cell r="D750">
            <v>44668</v>
          </cell>
          <cell r="E750">
            <v>6554.87</v>
          </cell>
        </row>
        <row r="751">
          <cell r="A751">
            <v>44845</v>
          </cell>
          <cell r="B751">
            <v>286.60000000000002</v>
          </cell>
          <cell r="D751">
            <v>44664</v>
          </cell>
          <cell r="E751">
            <v>6584.97</v>
          </cell>
        </row>
        <row r="752">
          <cell r="A752">
            <v>44844</v>
          </cell>
          <cell r="B752">
            <v>286.60000000000002</v>
          </cell>
          <cell r="D752">
            <v>44663</v>
          </cell>
          <cell r="E752">
            <v>6574.07</v>
          </cell>
        </row>
        <row r="753">
          <cell r="A753">
            <v>44840</v>
          </cell>
          <cell r="B753">
            <v>286.60000000000002</v>
          </cell>
          <cell r="D753">
            <v>44662</v>
          </cell>
          <cell r="E753">
            <v>6638.56</v>
          </cell>
        </row>
        <row r="754">
          <cell r="A754">
            <v>44838</v>
          </cell>
          <cell r="B754">
            <v>286.60000000000002</v>
          </cell>
          <cell r="D754">
            <v>44661</v>
          </cell>
          <cell r="E754">
            <v>6662.45</v>
          </cell>
        </row>
        <row r="755">
          <cell r="A755">
            <v>44837</v>
          </cell>
          <cell r="B755">
            <v>286.60000000000002</v>
          </cell>
          <cell r="D755">
            <v>44658</v>
          </cell>
          <cell r="E755">
            <v>6641.23</v>
          </cell>
        </row>
        <row r="756">
          <cell r="A756">
            <v>44836</v>
          </cell>
          <cell r="B756">
            <v>286.60000000000002</v>
          </cell>
          <cell r="D756">
            <v>44657</v>
          </cell>
          <cell r="E756">
            <v>6662.48</v>
          </cell>
        </row>
        <row r="757">
          <cell r="A757">
            <v>44833</v>
          </cell>
          <cell r="B757">
            <v>286.60000000000002</v>
          </cell>
          <cell r="D757">
            <v>44656</v>
          </cell>
          <cell r="E757">
            <v>6694.3</v>
          </cell>
        </row>
        <row r="758">
          <cell r="A758">
            <v>44832</v>
          </cell>
          <cell r="B758">
            <v>286.60000000000002</v>
          </cell>
          <cell r="D758">
            <v>44655</v>
          </cell>
          <cell r="E758">
            <v>6718.91</v>
          </cell>
        </row>
        <row r="759">
          <cell r="A759">
            <v>44831</v>
          </cell>
          <cell r="B759">
            <v>286.60000000000002</v>
          </cell>
          <cell r="D759">
            <v>44654</v>
          </cell>
          <cell r="E759">
            <v>6771.91</v>
          </cell>
        </row>
        <row r="760">
          <cell r="A760">
            <v>44830</v>
          </cell>
          <cell r="B760">
            <v>286.60000000000002</v>
          </cell>
          <cell r="D760">
            <v>44651</v>
          </cell>
          <cell r="E760">
            <v>6757.83</v>
          </cell>
        </row>
        <row r="761">
          <cell r="A761">
            <v>44829</v>
          </cell>
          <cell r="B761">
            <v>286.60000000000002</v>
          </cell>
          <cell r="D761">
            <v>44650</v>
          </cell>
          <cell r="E761">
            <v>6753.76</v>
          </cell>
        </row>
        <row r="762">
          <cell r="A762">
            <v>44826</v>
          </cell>
          <cell r="B762">
            <v>286.60000000000002</v>
          </cell>
          <cell r="D762">
            <v>44649</v>
          </cell>
          <cell r="E762">
            <v>6765.3</v>
          </cell>
        </row>
        <row r="763">
          <cell r="A763">
            <v>44825</v>
          </cell>
          <cell r="B763">
            <v>286.60000000000002</v>
          </cell>
          <cell r="D763">
            <v>44648</v>
          </cell>
          <cell r="E763">
            <v>6758.16</v>
          </cell>
        </row>
        <row r="764">
          <cell r="A764">
            <v>44824</v>
          </cell>
          <cell r="B764">
            <v>286.8</v>
          </cell>
          <cell r="D764">
            <v>44647</v>
          </cell>
          <cell r="E764">
            <v>6741.55</v>
          </cell>
        </row>
        <row r="765">
          <cell r="A765">
            <v>44823</v>
          </cell>
          <cell r="B765">
            <v>287.2</v>
          </cell>
          <cell r="D765">
            <v>44644</v>
          </cell>
          <cell r="E765">
            <v>6752.87</v>
          </cell>
        </row>
        <row r="766">
          <cell r="A766">
            <v>44822</v>
          </cell>
          <cell r="B766">
            <v>286.89999999999998</v>
          </cell>
          <cell r="D766">
            <v>44643</v>
          </cell>
          <cell r="E766">
            <v>6750.4</v>
          </cell>
        </row>
        <row r="767">
          <cell r="A767">
            <v>44819</v>
          </cell>
          <cell r="B767">
            <v>286.60000000000002</v>
          </cell>
          <cell r="D767">
            <v>44642</v>
          </cell>
          <cell r="E767">
            <v>6771.66</v>
          </cell>
        </row>
        <row r="768">
          <cell r="A768">
            <v>44818</v>
          </cell>
          <cell r="B768">
            <v>286.60000000000002</v>
          </cell>
          <cell r="D768">
            <v>44641</v>
          </cell>
          <cell r="E768">
            <v>6691.77</v>
          </cell>
        </row>
        <row r="769">
          <cell r="A769">
            <v>44817</v>
          </cell>
          <cell r="B769">
            <v>286.60000000000002</v>
          </cell>
          <cell r="D769">
            <v>44640</v>
          </cell>
          <cell r="E769">
            <v>6698.04</v>
          </cell>
        </row>
        <row r="770">
          <cell r="A770">
            <v>44816</v>
          </cell>
          <cell r="B770">
            <v>287</v>
          </cell>
          <cell r="D770">
            <v>44636</v>
          </cell>
          <cell r="E770">
            <v>6765.58</v>
          </cell>
        </row>
        <row r="771">
          <cell r="A771">
            <v>44815</v>
          </cell>
          <cell r="B771">
            <v>286.89999999999998</v>
          </cell>
          <cell r="D771">
            <v>44635</v>
          </cell>
          <cell r="E771">
            <v>6765.47</v>
          </cell>
        </row>
        <row r="772">
          <cell r="A772">
            <v>44812</v>
          </cell>
          <cell r="B772">
            <v>287</v>
          </cell>
          <cell r="D772">
            <v>44634</v>
          </cell>
          <cell r="E772">
            <v>6763.93</v>
          </cell>
        </row>
        <row r="773">
          <cell r="A773">
            <v>44811</v>
          </cell>
          <cell r="B773">
            <v>286.8</v>
          </cell>
          <cell r="D773">
            <v>44633</v>
          </cell>
          <cell r="E773">
            <v>6765.73</v>
          </cell>
        </row>
        <row r="774">
          <cell r="A774">
            <v>44810</v>
          </cell>
          <cell r="B774">
            <v>286.7</v>
          </cell>
          <cell r="D774">
            <v>44630</v>
          </cell>
          <cell r="E774">
            <v>6668.14</v>
          </cell>
        </row>
        <row r="775">
          <cell r="A775">
            <v>44809</v>
          </cell>
          <cell r="B775">
            <v>288.10000000000002</v>
          </cell>
          <cell r="D775">
            <v>44629</v>
          </cell>
          <cell r="E775">
            <v>6630.02</v>
          </cell>
        </row>
        <row r="776">
          <cell r="A776">
            <v>44808</v>
          </cell>
          <cell r="B776">
            <v>288.7</v>
          </cell>
          <cell r="D776">
            <v>44628</v>
          </cell>
          <cell r="E776">
            <v>6474.28</v>
          </cell>
        </row>
        <row r="777">
          <cell r="A777">
            <v>44805</v>
          </cell>
          <cell r="B777">
            <v>290</v>
          </cell>
          <cell r="D777">
            <v>44627</v>
          </cell>
          <cell r="E777">
            <v>6456.51</v>
          </cell>
        </row>
        <row r="778">
          <cell r="A778">
            <v>44804</v>
          </cell>
          <cell r="B778">
            <v>287.8</v>
          </cell>
          <cell r="D778">
            <v>44626</v>
          </cell>
          <cell r="E778">
            <v>6638.63</v>
          </cell>
        </row>
        <row r="779">
          <cell r="A779">
            <v>44803</v>
          </cell>
          <cell r="B779">
            <v>288.10000000000002</v>
          </cell>
          <cell r="D779">
            <v>44623</v>
          </cell>
          <cell r="E779">
            <v>6696.52</v>
          </cell>
        </row>
        <row r="780">
          <cell r="A780">
            <v>44802</v>
          </cell>
          <cell r="B780">
            <v>293.2</v>
          </cell>
          <cell r="D780">
            <v>44622</v>
          </cell>
          <cell r="E780">
            <v>6699.83</v>
          </cell>
        </row>
        <row r="781">
          <cell r="A781">
            <v>44801</v>
          </cell>
          <cell r="B781">
            <v>288.8</v>
          </cell>
          <cell r="D781">
            <v>44621</v>
          </cell>
          <cell r="E781">
            <v>6753.78</v>
          </cell>
        </row>
        <row r="782">
          <cell r="A782">
            <v>44798</v>
          </cell>
          <cell r="B782">
            <v>287</v>
          </cell>
          <cell r="D782">
            <v>44620</v>
          </cell>
          <cell r="E782">
            <v>6739.44</v>
          </cell>
        </row>
        <row r="783">
          <cell r="A783">
            <v>44797</v>
          </cell>
          <cell r="B783">
            <v>286.60000000000002</v>
          </cell>
          <cell r="D783">
            <v>44619</v>
          </cell>
          <cell r="E783">
            <v>6676.14</v>
          </cell>
        </row>
        <row r="784">
          <cell r="A784">
            <v>44796</v>
          </cell>
          <cell r="B784">
            <v>286.89999999999998</v>
          </cell>
          <cell r="D784">
            <v>44616</v>
          </cell>
          <cell r="E784">
            <v>6839.44</v>
          </cell>
        </row>
        <row r="785">
          <cell r="A785">
            <v>44795</v>
          </cell>
          <cell r="B785">
            <v>286.7</v>
          </cell>
          <cell r="D785">
            <v>44615</v>
          </cell>
          <cell r="E785">
            <v>6948.67</v>
          </cell>
        </row>
        <row r="786">
          <cell r="A786">
            <v>44794</v>
          </cell>
          <cell r="B786">
            <v>287</v>
          </cell>
          <cell r="D786">
            <v>44614</v>
          </cell>
          <cell r="E786">
            <v>6917.9</v>
          </cell>
        </row>
        <row r="787">
          <cell r="A787">
            <v>44790</v>
          </cell>
          <cell r="B787">
            <v>286.8</v>
          </cell>
          <cell r="D787">
            <v>44613</v>
          </cell>
          <cell r="E787">
            <v>6926.62</v>
          </cell>
        </row>
        <row r="788">
          <cell r="A788">
            <v>44789</v>
          </cell>
          <cell r="B788">
            <v>287</v>
          </cell>
          <cell r="D788">
            <v>44609</v>
          </cell>
          <cell r="E788">
            <v>6991.35</v>
          </cell>
        </row>
        <row r="789">
          <cell r="A789">
            <v>44787</v>
          </cell>
          <cell r="B789">
            <v>287.2</v>
          </cell>
          <cell r="D789">
            <v>44608</v>
          </cell>
          <cell r="E789">
            <v>7043.69</v>
          </cell>
        </row>
        <row r="790">
          <cell r="A790">
            <v>44784</v>
          </cell>
          <cell r="B790">
            <v>287.3</v>
          </cell>
          <cell r="D790">
            <v>44607</v>
          </cell>
          <cell r="E790">
            <v>7036.77</v>
          </cell>
        </row>
        <row r="791">
          <cell r="A791">
            <v>44781</v>
          </cell>
          <cell r="B791">
            <v>302.7</v>
          </cell>
          <cell r="D791">
            <v>44606</v>
          </cell>
          <cell r="E791">
            <v>7060.73</v>
          </cell>
        </row>
        <row r="792">
          <cell r="A792">
            <v>44780</v>
          </cell>
          <cell r="B792">
            <v>303.39999999999998</v>
          </cell>
          <cell r="D792">
            <v>44605</v>
          </cell>
          <cell r="E792">
            <v>7089.52</v>
          </cell>
        </row>
        <row r="793">
          <cell r="A793">
            <v>44777</v>
          </cell>
          <cell r="B793">
            <v>299.7</v>
          </cell>
          <cell r="D793">
            <v>44602</v>
          </cell>
          <cell r="E793">
            <v>7085.94</v>
          </cell>
        </row>
        <row r="794">
          <cell r="A794">
            <v>44776</v>
          </cell>
          <cell r="B794">
            <v>297.7</v>
          </cell>
          <cell r="D794">
            <v>44601</v>
          </cell>
          <cell r="E794">
            <v>7081.38</v>
          </cell>
        </row>
        <row r="795">
          <cell r="A795">
            <v>44775</v>
          </cell>
          <cell r="B795">
            <v>298.60000000000002</v>
          </cell>
          <cell r="D795">
            <v>44600</v>
          </cell>
          <cell r="E795">
            <v>7072.78</v>
          </cell>
        </row>
        <row r="796">
          <cell r="A796">
            <v>44774</v>
          </cell>
          <cell r="B796">
            <v>297.8</v>
          </cell>
          <cell r="D796">
            <v>44599</v>
          </cell>
          <cell r="E796">
            <v>7051.8</v>
          </cell>
        </row>
        <row r="797">
          <cell r="A797">
            <v>44773</v>
          </cell>
          <cell r="B797">
            <v>294.3</v>
          </cell>
          <cell r="D797">
            <v>44598</v>
          </cell>
          <cell r="E797">
            <v>7064.29</v>
          </cell>
        </row>
        <row r="798">
          <cell r="A798">
            <v>44770</v>
          </cell>
          <cell r="B798">
            <v>285.7</v>
          </cell>
          <cell r="D798">
            <v>44595</v>
          </cell>
          <cell r="E798">
            <v>7023.52</v>
          </cell>
        </row>
        <row r="799">
          <cell r="A799">
            <v>44769</v>
          </cell>
          <cell r="B799">
            <v>286.3</v>
          </cell>
          <cell r="D799">
            <v>44594</v>
          </cell>
          <cell r="E799">
            <v>7016.75</v>
          </cell>
        </row>
        <row r="800">
          <cell r="A800">
            <v>44768</v>
          </cell>
          <cell r="B800">
            <v>286.3</v>
          </cell>
          <cell r="D800">
            <v>44593</v>
          </cell>
          <cell r="E800">
            <v>6997.6</v>
          </cell>
        </row>
        <row r="801">
          <cell r="A801">
            <v>44767</v>
          </cell>
          <cell r="B801">
            <v>287.10000000000002</v>
          </cell>
          <cell r="D801">
            <v>44592</v>
          </cell>
          <cell r="E801">
            <v>6926.29</v>
          </cell>
        </row>
        <row r="802">
          <cell r="A802">
            <v>44766</v>
          </cell>
          <cell r="B802">
            <v>287.89999999999998</v>
          </cell>
          <cell r="D802">
            <v>44591</v>
          </cell>
          <cell r="E802">
            <v>6991.55</v>
          </cell>
        </row>
        <row r="803">
          <cell r="A803">
            <v>44763</v>
          </cell>
          <cell r="B803">
            <v>287.10000000000002</v>
          </cell>
          <cell r="D803">
            <v>44588</v>
          </cell>
          <cell r="E803">
            <v>7027.55</v>
          </cell>
        </row>
        <row r="804">
          <cell r="A804">
            <v>44762</v>
          </cell>
          <cell r="B804">
            <v>286</v>
          </cell>
          <cell r="D804">
            <v>44587</v>
          </cell>
          <cell r="E804">
            <v>7032.44</v>
          </cell>
        </row>
        <row r="805">
          <cell r="A805">
            <v>44761</v>
          </cell>
          <cell r="B805">
            <v>286.3</v>
          </cell>
          <cell r="D805">
            <v>44586</v>
          </cell>
          <cell r="E805">
            <v>7032.57</v>
          </cell>
        </row>
        <row r="806">
          <cell r="A806">
            <v>44760</v>
          </cell>
          <cell r="B806">
            <v>289.5</v>
          </cell>
          <cell r="D806">
            <v>44585</v>
          </cell>
          <cell r="E806">
            <v>7019.25</v>
          </cell>
        </row>
        <row r="807">
          <cell r="A807">
            <v>44759</v>
          </cell>
          <cell r="B807">
            <v>289.8</v>
          </cell>
          <cell r="D807">
            <v>44584</v>
          </cell>
          <cell r="E807">
            <v>7073</v>
          </cell>
        </row>
        <row r="808">
          <cell r="A808">
            <v>44756</v>
          </cell>
          <cell r="B808">
            <v>288.7</v>
          </cell>
          <cell r="D808">
            <v>44581</v>
          </cell>
          <cell r="E808">
            <v>7105.69</v>
          </cell>
        </row>
        <row r="809">
          <cell r="A809">
            <v>44755</v>
          </cell>
          <cell r="B809">
            <v>287.8</v>
          </cell>
          <cell r="D809">
            <v>44580</v>
          </cell>
          <cell r="E809">
            <v>7089.43</v>
          </cell>
        </row>
        <row r="810">
          <cell r="A810">
            <v>44754</v>
          </cell>
          <cell r="B810">
            <v>289.10000000000002</v>
          </cell>
          <cell r="D810">
            <v>44579</v>
          </cell>
          <cell r="E810">
            <v>7055.7</v>
          </cell>
        </row>
        <row r="811">
          <cell r="A811">
            <v>44749</v>
          </cell>
          <cell r="B811">
            <v>288.3</v>
          </cell>
          <cell r="D811">
            <v>44578</v>
          </cell>
          <cell r="E811">
            <v>7055.27</v>
          </cell>
        </row>
        <row r="812">
          <cell r="A812">
            <v>44748</v>
          </cell>
          <cell r="B812">
            <v>293.3</v>
          </cell>
          <cell r="D812">
            <v>44577</v>
          </cell>
          <cell r="E812">
            <v>7019.59</v>
          </cell>
        </row>
        <row r="813">
          <cell r="A813">
            <v>44747</v>
          </cell>
          <cell r="B813">
            <v>291.10000000000002</v>
          </cell>
          <cell r="D813">
            <v>44574</v>
          </cell>
          <cell r="E813">
            <v>7017.22</v>
          </cell>
        </row>
        <row r="814">
          <cell r="A814">
            <v>44746</v>
          </cell>
          <cell r="B814">
            <v>282.60000000000002</v>
          </cell>
          <cell r="D814">
            <v>44573</v>
          </cell>
          <cell r="E814">
            <v>6996.06</v>
          </cell>
        </row>
        <row r="815">
          <cell r="A815">
            <v>44745</v>
          </cell>
          <cell r="B815">
            <v>288.3</v>
          </cell>
          <cell r="D815">
            <v>44572</v>
          </cell>
          <cell r="E815">
            <v>7049.15</v>
          </cell>
        </row>
        <row r="816">
          <cell r="A816">
            <v>44742</v>
          </cell>
          <cell r="B816">
            <v>294.10000000000002</v>
          </cell>
          <cell r="D816">
            <v>44571</v>
          </cell>
          <cell r="E816">
            <v>6994.15</v>
          </cell>
        </row>
        <row r="817">
          <cell r="A817">
            <v>44741</v>
          </cell>
          <cell r="B817">
            <v>300.10000000000002</v>
          </cell>
          <cell r="D817">
            <v>44567</v>
          </cell>
          <cell r="E817">
            <v>6987.45</v>
          </cell>
        </row>
        <row r="818">
          <cell r="A818">
            <v>44740</v>
          </cell>
          <cell r="B818">
            <v>302.8</v>
          </cell>
          <cell r="D818">
            <v>44566</v>
          </cell>
          <cell r="E818">
            <v>6929.93</v>
          </cell>
        </row>
        <row r="819">
          <cell r="A819">
            <v>44739</v>
          </cell>
          <cell r="B819">
            <v>302.89999999999998</v>
          </cell>
          <cell r="D819">
            <v>44565</v>
          </cell>
          <cell r="E819">
            <v>6892.99</v>
          </cell>
        </row>
        <row r="820">
          <cell r="A820">
            <v>44738</v>
          </cell>
          <cell r="B820">
            <v>305.60000000000002</v>
          </cell>
          <cell r="D820">
            <v>44564</v>
          </cell>
          <cell r="E820">
            <v>6882.3</v>
          </cell>
        </row>
        <row r="821">
          <cell r="A821">
            <v>44735</v>
          </cell>
          <cell r="B821">
            <v>303.7</v>
          </cell>
          <cell r="D821">
            <v>44563</v>
          </cell>
          <cell r="E821">
            <v>6853.13</v>
          </cell>
        </row>
        <row r="822">
          <cell r="A822">
            <v>44734</v>
          </cell>
          <cell r="B822">
            <v>303.8</v>
          </cell>
          <cell r="D822">
            <v>44560</v>
          </cell>
          <cell r="E822">
            <v>6756.65</v>
          </cell>
        </row>
        <row r="823">
          <cell r="A823">
            <v>44733</v>
          </cell>
          <cell r="B823">
            <v>304</v>
          </cell>
          <cell r="D823">
            <v>44559</v>
          </cell>
          <cell r="E823">
            <v>6731.14</v>
          </cell>
        </row>
        <row r="824">
          <cell r="A824">
            <v>44732</v>
          </cell>
          <cell r="B824">
            <v>304.3</v>
          </cell>
          <cell r="D824">
            <v>44558</v>
          </cell>
          <cell r="E824">
            <v>6742.63</v>
          </cell>
        </row>
        <row r="825">
          <cell r="A825">
            <v>44731</v>
          </cell>
          <cell r="B825">
            <v>307</v>
          </cell>
          <cell r="D825">
            <v>44557</v>
          </cell>
          <cell r="E825">
            <v>6669.21</v>
          </cell>
        </row>
        <row r="826">
          <cell r="A826">
            <v>44728</v>
          </cell>
          <cell r="B826">
            <v>305.10000000000002</v>
          </cell>
          <cell r="D826">
            <v>44556</v>
          </cell>
          <cell r="E826">
            <v>6629.87</v>
          </cell>
        </row>
        <row r="827">
          <cell r="A827">
            <v>44727</v>
          </cell>
          <cell r="B827">
            <v>304.5</v>
          </cell>
          <cell r="D827">
            <v>44553</v>
          </cell>
          <cell r="E827">
            <v>6702.61</v>
          </cell>
        </row>
        <row r="828">
          <cell r="A828">
            <v>44726</v>
          </cell>
          <cell r="B828">
            <v>304.7</v>
          </cell>
          <cell r="D828">
            <v>44552</v>
          </cell>
          <cell r="E828">
            <v>6754.44</v>
          </cell>
        </row>
        <row r="829">
          <cell r="A829">
            <v>44725</v>
          </cell>
          <cell r="B829">
            <v>305.8</v>
          </cell>
          <cell r="D829">
            <v>44551</v>
          </cell>
          <cell r="E829">
            <v>6757.25</v>
          </cell>
        </row>
        <row r="830">
          <cell r="A830">
            <v>44724</v>
          </cell>
          <cell r="B830">
            <v>307.60000000000002</v>
          </cell>
          <cell r="D830">
            <v>44550</v>
          </cell>
          <cell r="E830">
            <v>6736.55</v>
          </cell>
        </row>
        <row r="831">
          <cell r="A831">
            <v>44721</v>
          </cell>
          <cell r="B831">
            <v>305.60000000000002</v>
          </cell>
          <cell r="D831">
            <v>44549</v>
          </cell>
          <cell r="E831">
            <v>6783.19</v>
          </cell>
        </row>
        <row r="832">
          <cell r="A832">
            <v>44720</v>
          </cell>
          <cell r="B832">
            <v>304.60000000000002</v>
          </cell>
          <cell r="D832">
            <v>44545</v>
          </cell>
          <cell r="E832">
            <v>6868.17</v>
          </cell>
        </row>
        <row r="833">
          <cell r="A833">
            <v>44719</v>
          </cell>
          <cell r="B833">
            <v>306</v>
          </cell>
          <cell r="D833">
            <v>44544</v>
          </cell>
          <cell r="E833">
            <v>6837.8</v>
          </cell>
        </row>
        <row r="834">
          <cell r="A834">
            <v>44718</v>
          </cell>
          <cell r="B834">
            <v>307.2</v>
          </cell>
          <cell r="D834">
            <v>44543</v>
          </cell>
          <cell r="E834">
            <v>6882.02</v>
          </cell>
        </row>
        <row r="835">
          <cell r="A835">
            <v>44717</v>
          </cell>
          <cell r="B835">
            <v>313.39999999999998</v>
          </cell>
          <cell r="D835">
            <v>44542</v>
          </cell>
          <cell r="E835">
            <v>6920.35</v>
          </cell>
        </row>
        <row r="836">
          <cell r="A836">
            <v>44714</v>
          </cell>
          <cell r="B836">
            <v>304.39999999999998</v>
          </cell>
          <cell r="D836">
            <v>44539</v>
          </cell>
          <cell r="E836">
            <v>6984.74</v>
          </cell>
        </row>
        <row r="837">
          <cell r="A837">
            <v>44713</v>
          </cell>
          <cell r="B837">
            <v>306.8</v>
          </cell>
          <cell r="D837">
            <v>44538</v>
          </cell>
          <cell r="E837">
            <v>6952.13</v>
          </cell>
        </row>
        <row r="838">
          <cell r="A838">
            <v>44712</v>
          </cell>
          <cell r="B838">
            <v>307.10000000000002</v>
          </cell>
          <cell r="D838">
            <v>44537</v>
          </cell>
          <cell r="E838">
            <v>7048.99</v>
          </cell>
        </row>
        <row r="839">
          <cell r="A839">
            <v>44711</v>
          </cell>
          <cell r="B839">
            <v>307.5</v>
          </cell>
          <cell r="D839">
            <v>44536</v>
          </cell>
          <cell r="E839">
            <v>6978.53</v>
          </cell>
        </row>
        <row r="840">
          <cell r="A840">
            <v>44710</v>
          </cell>
          <cell r="B840">
            <v>309.3</v>
          </cell>
          <cell r="D840">
            <v>44535</v>
          </cell>
          <cell r="E840">
            <v>6965.63</v>
          </cell>
        </row>
        <row r="841">
          <cell r="A841">
            <v>44707</v>
          </cell>
          <cell r="B841">
            <v>300.8</v>
          </cell>
          <cell r="D841">
            <v>44532</v>
          </cell>
          <cell r="E841">
            <v>6936.2</v>
          </cell>
        </row>
        <row r="842">
          <cell r="A842">
            <v>44706</v>
          </cell>
          <cell r="B842">
            <v>300.89999999999998</v>
          </cell>
          <cell r="D842">
            <v>44531</v>
          </cell>
          <cell r="E842">
            <v>6847</v>
          </cell>
        </row>
        <row r="843">
          <cell r="A843">
            <v>44705</v>
          </cell>
          <cell r="B843">
            <v>303.3</v>
          </cell>
          <cell r="D843">
            <v>44530</v>
          </cell>
          <cell r="E843">
            <v>6703.25</v>
          </cell>
        </row>
        <row r="844">
          <cell r="A844">
            <v>44704</v>
          </cell>
          <cell r="B844">
            <v>305.89999999999998</v>
          </cell>
          <cell r="D844">
            <v>44529</v>
          </cell>
          <cell r="E844">
            <v>6795.51</v>
          </cell>
        </row>
        <row r="845">
          <cell r="A845">
            <v>44703</v>
          </cell>
          <cell r="B845">
            <v>303.89999999999998</v>
          </cell>
          <cell r="D845">
            <v>44528</v>
          </cell>
          <cell r="E845">
            <v>6773.89</v>
          </cell>
        </row>
        <row r="846">
          <cell r="A846">
            <v>44700</v>
          </cell>
          <cell r="B846">
            <v>302.60000000000002</v>
          </cell>
          <cell r="D846">
            <v>44525</v>
          </cell>
          <cell r="E846">
            <v>6852.08</v>
          </cell>
        </row>
        <row r="847">
          <cell r="A847">
            <v>44699</v>
          </cell>
          <cell r="B847">
            <v>304</v>
          </cell>
          <cell r="D847">
            <v>44524</v>
          </cell>
          <cell r="E847">
            <v>6917.91</v>
          </cell>
        </row>
        <row r="848">
          <cell r="A848">
            <v>44698</v>
          </cell>
          <cell r="B848">
            <v>306.89999999999998</v>
          </cell>
          <cell r="D848">
            <v>44523</v>
          </cell>
          <cell r="E848">
            <v>7013</v>
          </cell>
        </row>
        <row r="849">
          <cell r="A849">
            <v>44697</v>
          </cell>
          <cell r="B849">
            <v>309.60000000000002</v>
          </cell>
          <cell r="D849">
            <v>44522</v>
          </cell>
          <cell r="E849">
            <v>7022.29</v>
          </cell>
        </row>
        <row r="850">
          <cell r="A850">
            <v>44693</v>
          </cell>
          <cell r="B850">
            <v>310.3</v>
          </cell>
          <cell r="D850">
            <v>44521</v>
          </cell>
          <cell r="E850">
            <v>7085.67</v>
          </cell>
        </row>
        <row r="851">
          <cell r="A851">
            <v>44692</v>
          </cell>
          <cell r="B851">
            <v>315.39999999999998</v>
          </cell>
          <cell r="D851">
            <v>44518</v>
          </cell>
          <cell r="E851">
            <v>7091.81</v>
          </cell>
        </row>
        <row r="852">
          <cell r="A852">
            <v>44691</v>
          </cell>
          <cell r="B852">
            <v>318.8</v>
          </cell>
          <cell r="D852">
            <v>44517</v>
          </cell>
          <cell r="E852">
            <v>7060.77</v>
          </cell>
        </row>
        <row r="853">
          <cell r="A853">
            <v>44690</v>
          </cell>
          <cell r="B853">
            <v>318.89999999999998</v>
          </cell>
          <cell r="D853">
            <v>44516</v>
          </cell>
          <cell r="E853">
            <v>7056.57</v>
          </cell>
        </row>
        <row r="854">
          <cell r="A854">
            <v>44689</v>
          </cell>
          <cell r="B854">
            <v>320.89999999999998</v>
          </cell>
          <cell r="D854">
            <v>44515</v>
          </cell>
          <cell r="E854">
            <v>6941.36</v>
          </cell>
        </row>
        <row r="855">
          <cell r="A855">
            <v>44686</v>
          </cell>
          <cell r="B855">
            <v>319.8</v>
          </cell>
          <cell r="D855">
            <v>44514</v>
          </cell>
          <cell r="E855">
            <v>6930.07</v>
          </cell>
        </row>
        <row r="856">
          <cell r="A856">
            <v>44679</v>
          </cell>
          <cell r="B856">
            <v>319.89999999999998</v>
          </cell>
          <cell r="D856">
            <v>44511</v>
          </cell>
          <cell r="E856">
            <v>6995.92</v>
          </cell>
        </row>
        <row r="857">
          <cell r="A857">
            <v>44678</v>
          </cell>
          <cell r="B857">
            <v>320.5</v>
          </cell>
          <cell r="D857">
            <v>44510</v>
          </cell>
          <cell r="E857">
            <v>6982.18</v>
          </cell>
        </row>
        <row r="858">
          <cell r="A858">
            <v>44677</v>
          </cell>
          <cell r="B858">
            <v>326.89999999999998</v>
          </cell>
          <cell r="D858">
            <v>44509</v>
          </cell>
          <cell r="E858">
            <v>6868.08</v>
          </cell>
        </row>
        <row r="859">
          <cell r="A859">
            <v>44676</v>
          </cell>
          <cell r="B859">
            <v>327.10000000000002</v>
          </cell>
          <cell r="D859">
            <v>44508</v>
          </cell>
          <cell r="E859">
            <v>6799.64</v>
          </cell>
        </row>
        <row r="860">
          <cell r="A860">
            <v>44675</v>
          </cell>
          <cell r="B860">
            <v>327.10000000000002</v>
          </cell>
          <cell r="D860">
            <v>44507</v>
          </cell>
          <cell r="E860">
            <v>6855.87</v>
          </cell>
        </row>
        <row r="861">
          <cell r="A861">
            <v>44672</v>
          </cell>
          <cell r="B861">
            <v>323.89999999999998</v>
          </cell>
          <cell r="D861">
            <v>44504</v>
          </cell>
          <cell r="E861">
            <v>6906.71</v>
          </cell>
        </row>
        <row r="862">
          <cell r="A862">
            <v>44671</v>
          </cell>
          <cell r="B862">
            <v>321.39999999999998</v>
          </cell>
          <cell r="D862">
            <v>44503</v>
          </cell>
          <cell r="E862">
            <v>6898.27</v>
          </cell>
        </row>
        <row r="863">
          <cell r="A863">
            <v>44670</v>
          </cell>
          <cell r="B863">
            <v>320.10000000000002</v>
          </cell>
          <cell r="D863">
            <v>44502</v>
          </cell>
          <cell r="E863">
            <v>6954.35</v>
          </cell>
        </row>
        <row r="864">
          <cell r="A864">
            <v>44669</v>
          </cell>
          <cell r="B864">
            <v>319.8</v>
          </cell>
          <cell r="D864">
            <v>44501</v>
          </cell>
          <cell r="E864">
            <v>6998.03</v>
          </cell>
        </row>
        <row r="865">
          <cell r="A865">
            <v>44668</v>
          </cell>
          <cell r="B865">
            <v>323.10000000000002</v>
          </cell>
          <cell r="D865">
            <v>44500</v>
          </cell>
          <cell r="E865">
            <v>7000.94</v>
          </cell>
        </row>
        <row r="866">
          <cell r="A866">
            <v>44664</v>
          </cell>
          <cell r="B866">
            <v>319.89999999999998</v>
          </cell>
          <cell r="D866">
            <v>44497</v>
          </cell>
          <cell r="E866">
            <v>7062.35</v>
          </cell>
        </row>
        <row r="867">
          <cell r="A867">
            <v>44663</v>
          </cell>
          <cell r="B867">
            <v>319.10000000000002</v>
          </cell>
          <cell r="D867">
            <v>44496</v>
          </cell>
          <cell r="E867">
            <v>7011.88</v>
          </cell>
        </row>
        <row r="868">
          <cell r="A868">
            <v>44662</v>
          </cell>
          <cell r="B868">
            <v>322.10000000000002</v>
          </cell>
          <cell r="D868">
            <v>44495</v>
          </cell>
          <cell r="E868">
            <v>7005.78</v>
          </cell>
        </row>
        <row r="869">
          <cell r="A869">
            <v>44661</v>
          </cell>
          <cell r="B869">
            <v>321.89999999999998</v>
          </cell>
          <cell r="D869">
            <v>44494</v>
          </cell>
          <cell r="E869">
            <v>6885.29</v>
          </cell>
        </row>
        <row r="870">
          <cell r="A870">
            <v>44658</v>
          </cell>
          <cell r="B870">
            <v>321.5</v>
          </cell>
          <cell r="D870">
            <v>44493</v>
          </cell>
          <cell r="E870">
            <v>7005.7</v>
          </cell>
        </row>
        <row r="871">
          <cell r="A871">
            <v>44657</v>
          </cell>
          <cell r="B871">
            <v>320.3</v>
          </cell>
          <cell r="D871">
            <v>44490</v>
          </cell>
          <cell r="E871">
            <v>7076.23</v>
          </cell>
        </row>
        <row r="872">
          <cell r="A872">
            <v>44656</v>
          </cell>
          <cell r="B872">
            <v>325</v>
          </cell>
          <cell r="D872">
            <v>44488</v>
          </cell>
          <cell r="E872">
            <v>7020.61</v>
          </cell>
        </row>
        <row r="873">
          <cell r="A873">
            <v>44655</v>
          </cell>
          <cell r="B873">
            <v>324.89999999999998</v>
          </cell>
          <cell r="D873">
            <v>44487</v>
          </cell>
          <cell r="E873">
            <v>7097.27</v>
          </cell>
        </row>
        <row r="874">
          <cell r="A874">
            <v>44654</v>
          </cell>
          <cell r="B874">
            <v>328.7</v>
          </cell>
          <cell r="D874">
            <v>44486</v>
          </cell>
          <cell r="E874">
            <v>7186.46</v>
          </cell>
        </row>
        <row r="875">
          <cell r="A875">
            <v>44651</v>
          </cell>
          <cell r="B875">
            <v>328.9</v>
          </cell>
          <cell r="D875">
            <v>44483</v>
          </cell>
          <cell r="E875">
            <v>7243.26</v>
          </cell>
        </row>
        <row r="876">
          <cell r="A876">
            <v>44650</v>
          </cell>
          <cell r="B876">
            <v>328.7</v>
          </cell>
          <cell r="D876">
            <v>44482</v>
          </cell>
          <cell r="E876">
            <v>7248.44</v>
          </cell>
        </row>
        <row r="877">
          <cell r="A877">
            <v>44649</v>
          </cell>
          <cell r="B877">
            <v>328.1</v>
          </cell>
          <cell r="D877">
            <v>44481</v>
          </cell>
          <cell r="E877">
            <v>7313.98</v>
          </cell>
        </row>
        <row r="878">
          <cell r="A878">
            <v>44648</v>
          </cell>
          <cell r="B878">
            <v>330.9</v>
          </cell>
          <cell r="D878">
            <v>44480</v>
          </cell>
          <cell r="E878">
            <v>7345.57</v>
          </cell>
        </row>
        <row r="879">
          <cell r="A879">
            <v>44647</v>
          </cell>
          <cell r="B879">
            <v>328.7</v>
          </cell>
          <cell r="D879">
            <v>44479</v>
          </cell>
          <cell r="E879">
            <v>7367.99</v>
          </cell>
        </row>
        <row r="880">
          <cell r="A880">
            <v>44644</v>
          </cell>
          <cell r="B880">
            <v>325.60000000000002</v>
          </cell>
          <cell r="D880">
            <v>44476</v>
          </cell>
          <cell r="E880">
            <v>7342.96</v>
          </cell>
        </row>
        <row r="881">
          <cell r="A881">
            <v>44643</v>
          </cell>
          <cell r="B881">
            <v>325.5</v>
          </cell>
          <cell r="D881">
            <v>44475</v>
          </cell>
          <cell r="E881">
            <v>7351.04</v>
          </cell>
        </row>
        <row r="882">
          <cell r="A882">
            <v>44642</v>
          </cell>
          <cell r="B882">
            <v>324.7</v>
          </cell>
          <cell r="D882">
            <v>44474</v>
          </cell>
          <cell r="E882">
            <v>7331.39</v>
          </cell>
        </row>
        <row r="883">
          <cell r="A883">
            <v>44641</v>
          </cell>
          <cell r="B883">
            <v>325</v>
          </cell>
          <cell r="D883">
            <v>44473</v>
          </cell>
          <cell r="E883">
            <v>7327.54</v>
          </cell>
        </row>
        <row r="884">
          <cell r="A884">
            <v>44640</v>
          </cell>
          <cell r="B884">
            <v>326.10000000000002</v>
          </cell>
          <cell r="D884">
            <v>44472</v>
          </cell>
          <cell r="E884">
            <v>7356.04</v>
          </cell>
        </row>
        <row r="885">
          <cell r="A885">
            <v>44636</v>
          </cell>
          <cell r="B885">
            <v>325.89999999999998</v>
          </cell>
          <cell r="D885">
            <v>44469</v>
          </cell>
          <cell r="E885">
            <v>7329.03</v>
          </cell>
        </row>
        <row r="886">
          <cell r="A886">
            <v>44635</v>
          </cell>
          <cell r="B886">
            <v>332</v>
          </cell>
          <cell r="D886">
            <v>44468</v>
          </cell>
          <cell r="E886">
            <v>7302.85</v>
          </cell>
        </row>
        <row r="887">
          <cell r="A887">
            <v>44634</v>
          </cell>
          <cell r="B887">
            <v>330</v>
          </cell>
          <cell r="D887">
            <v>44467</v>
          </cell>
          <cell r="E887">
            <v>7297.24</v>
          </cell>
        </row>
        <row r="888">
          <cell r="A888">
            <v>44633</v>
          </cell>
          <cell r="B888">
            <v>327.8</v>
          </cell>
          <cell r="D888">
            <v>44466</v>
          </cell>
          <cell r="E888">
            <v>7251.71</v>
          </cell>
        </row>
        <row r="889">
          <cell r="A889">
            <v>44630</v>
          </cell>
          <cell r="B889">
            <v>322.2</v>
          </cell>
          <cell r="D889">
            <v>44465</v>
          </cell>
          <cell r="E889">
            <v>7237.14</v>
          </cell>
        </row>
        <row r="890">
          <cell r="A890">
            <v>44629</v>
          </cell>
          <cell r="B890">
            <v>320.5</v>
          </cell>
          <cell r="D890">
            <v>44462</v>
          </cell>
          <cell r="E890">
            <v>7250.6</v>
          </cell>
        </row>
        <row r="891">
          <cell r="A891">
            <v>44628</v>
          </cell>
          <cell r="B891">
            <v>316.39999999999998</v>
          </cell>
          <cell r="D891">
            <v>44461</v>
          </cell>
          <cell r="E891">
            <v>7241.84</v>
          </cell>
        </row>
        <row r="892">
          <cell r="A892">
            <v>44627</v>
          </cell>
          <cell r="B892">
            <v>317.60000000000002</v>
          </cell>
          <cell r="D892">
            <v>44460</v>
          </cell>
          <cell r="E892">
            <v>7258.57</v>
          </cell>
        </row>
        <row r="893">
          <cell r="A893">
            <v>44626</v>
          </cell>
          <cell r="B893">
            <v>323.10000000000002</v>
          </cell>
          <cell r="D893">
            <v>44459</v>
          </cell>
          <cell r="E893">
            <v>7205.82</v>
          </cell>
        </row>
        <row r="894">
          <cell r="A894">
            <v>44623</v>
          </cell>
          <cell r="B894">
            <v>328.8</v>
          </cell>
          <cell r="D894">
            <v>44458</v>
          </cell>
          <cell r="E894">
            <v>7191.8</v>
          </cell>
        </row>
        <row r="895">
          <cell r="A895">
            <v>44622</v>
          </cell>
          <cell r="B895">
            <v>335.1</v>
          </cell>
          <cell r="D895">
            <v>44455</v>
          </cell>
          <cell r="E895">
            <v>7228.31</v>
          </cell>
        </row>
        <row r="896">
          <cell r="A896">
            <v>44621</v>
          </cell>
          <cell r="B896">
            <v>340.3</v>
          </cell>
          <cell r="D896">
            <v>44454</v>
          </cell>
          <cell r="E896">
            <v>7196.55</v>
          </cell>
        </row>
        <row r="897">
          <cell r="A897">
            <v>44620</v>
          </cell>
          <cell r="B897">
            <v>340</v>
          </cell>
          <cell r="D897">
            <v>44453</v>
          </cell>
          <cell r="E897">
            <v>7140.5</v>
          </cell>
        </row>
        <row r="898">
          <cell r="A898">
            <v>44619</v>
          </cell>
          <cell r="B898">
            <v>340.9</v>
          </cell>
          <cell r="D898">
            <v>44452</v>
          </cell>
          <cell r="E898">
            <v>7218.05</v>
          </cell>
        </row>
        <row r="899">
          <cell r="A899">
            <v>44616</v>
          </cell>
          <cell r="B899">
            <v>341.9</v>
          </cell>
          <cell r="D899">
            <v>44451</v>
          </cell>
          <cell r="E899">
            <v>7202.09</v>
          </cell>
        </row>
        <row r="900">
          <cell r="A900">
            <v>44614</v>
          </cell>
          <cell r="B900">
            <v>355.4</v>
          </cell>
          <cell r="D900">
            <v>44448</v>
          </cell>
          <cell r="E900">
            <v>7258.74</v>
          </cell>
        </row>
        <row r="901">
          <cell r="A901">
            <v>44612</v>
          </cell>
          <cell r="B901">
            <v>354.6</v>
          </cell>
          <cell r="D901">
            <v>44447</v>
          </cell>
          <cell r="E901">
            <v>7196.32</v>
          </cell>
        </row>
        <row r="902">
          <cell r="A902">
            <v>44609</v>
          </cell>
          <cell r="B902">
            <v>356.8</v>
          </cell>
          <cell r="D902">
            <v>44446</v>
          </cell>
          <cell r="E902">
            <v>7140.87</v>
          </cell>
        </row>
        <row r="903">
          <cell r="A903">
            <v>44608</v>
          </cell>
          <cell r="B903">
            <v>357.7</v>
          </cell>
          <cell r="D903">
            <v>44445</v>
          </cell>
          <cell r="E903">
            <v>7075.49</v>
          </cell>
        </row>
        <row r="904">
          <cell r="A904">
            <v>44607</v>
          </cell>
          <cell r="B904">
            <v>357.9</v>
          </cell>
          <cell r="D904">
            <v>44444</v>
          </cell>
          <cell r="E904">
            <v>7052.82</v>
          </cell>
        </row>
        <row r="905">
          <cell r="A905">
            <v>44606</v>
          </cell>
          <cell r="B905">
            <v>357.6</v>
          </cell>
          <cell r="D905">
            <v>44441</v>
          </cell>
          <cell r="E905">
            <v>6981.05</v>
          </cell>
        </row>
        <row r="906">
          <cell r="A906">
            <v>44605</v>
          </cell>
          <cell r="B906">
            <v>357.9</v>
          </cell>
          <cell r="D906">
            <v>44440</v>
          </cell>
          <cell r="E906">
            <v>6916.38</v>
          </cell>
        </row>
        <row r="907">
          <cell r="A907">
            <v>44602</v>
          </cell>
          <cell r="B907">
            <v>358</v>
          </cell>
          <cell r="D907">
            <v>44439</v>
          </cell>
          <cell r="E907">
            <v>6869.24</v>
          </cell>
        </row>
        <row r="908">
          <cell r="A908">
            <v>44601</v>
          </cell>
          <cell r="B908">
            <v>357.9</v>
          </cell>
          <cell r="D908">
            <v>44437</v>
          </cell>
          <cell r="E908">
            <v>6823.6</v>
          </cell>
        </row>
        <row r="909">
          <cell r="A909">
            <v>44600</v>
          </cell>
          <cell r="B909">
            <v>358.2</v>
          </cell>
          <cell r="D909">
            <v>44434</v>
          </cell>
          <cell r="E909">
            <v>6851.32</v>
          </cell>
        </row>
        <row r="910">
          <cell r="A910">
            <v>44599</v>
          </cell>
          <cell r="B910">
            <v>355.8</v>
          </cell>
          <cell r="D910">
            <v>44433</v>
          </cell>
          <cell r="E910">
            <v>6878.75</v>
          </cell>
        </row>
        <row r="911">
          <cell r="A911">
            <v>44598</v>
          </cell>
          <cell r="B911">
            <v>357.9</v>
          </cell>
          <cell r="D911">
            <v>44432</v>
          </cell>
          <cell r="E911">
            <v>6884.67</v>
          </cell>
        </row>
        <row r="912">
          <cell r="A912">
            <v>44595</v>
          </cell>
          <cell r="B912">
            <v>355.2</v>
          </cell>
          <cell r="D912">
            <v>44431</v>
          </cell>
          <cell r="E912">
            <v>6862.41</v>
          </cell>
        </row>
        <row r="913">
          <cell r="A913">
            <v>44594</v>
          </cell>
          <cell r="B913">
            <v>355.2</v>
          </cell>
          <cell r="D913">
            <v>44430</v>
          </cell>
          <cell r="E913">
            <v>6842.23</v>
          </cell>
        </row>
        <row r="914">
          <cell r="A914">
            <v>44593</v>
          </cell>
          <cell r="B914">
            <v>354.6</v>
          </cell>
          <cell r="D914">
            <v>44427</v>
          </cell>
          <cell r="E914">
            <v>6760.61</v>
          </cell>
        </row>
        <row r="915">
          <cell r="A915">
            <v>44592</v>
          </cell>
          <cell r="B915">
            <v>355.9</v>
          </cell>
          <cell r="D915">
            <v>44426</v>
          </cell>
          <cell r="E915">
            <v>6771.84</v>
          </cell>
        </row>
        <row r="916">
          <cell r="A916">
            <v>44591</v>
          </cell>
          <cell r="B916">
            <v>354</v>
          </cell>
          <cell r="D916">
            <v>44425</v>
          </cell>
          <cell r="E916">
            <v>6787.16</v>
          </cell>
        </row>
        <row r="917">
          <cell r="A917">
            <v>44588</v>
          </cell>
          <cell r="B917">
            <v>351.4</v>
          </cell>
          <cell r="D917">
            <v>44424</v>
          </cell>
          <cell r="E917">
            <v>6748.92</v>
          </cell>
        </row>
        <row r="918">
          <cell r="A918">
            <v>44587</v>
          </cell>
          <cell r="B918">
            <v>355.4</v>
          </cell>
          <cell r="D918">
            <v>44420</v>
          </cell>
          <cell r="E918">
            <v>6699.39</v>
          </cell>
        </row>
        <row r="919">
          <cell r="A919">
            <v>44586</v>
          </cell>
          <cell r="B919">
            <v>355.2</v>
          </cell>
          <cell r="D919">
            <v>44419</v>
          </cell>
          <cell r="E919">
            <v>6623.31</v>
          </cell>
        </row>
        <row r="920">
          <cell r="A920">
            <v>44585</v>
          </cell>
          <cell r="B920">
            <v>359</v>
          </cell>
          <cell r="D920">
            <v>44418</v>
          </cell>
          <cell r="E920">
            <v>6617.83</v>
          </cell>
        </row>
        <row r="921">
          <cell r="A921">
            <v>44584</v>
          </cell>
          <cell r="B921">
            <v>358.8</v>
          </cell>
          <cell r="D921">
            <v>44417</v>
          </cell>
          <cell r="E921">
            <v>6628.14</v>
          </cell>
        </row>
        <row r="922">
          <cell r="A922">
            <v>44581</v>
          </cell>
          <cell r="B922">
            <v>357.3</v>
          </cell>
          <cell r="D922">
            <v>44413</v>
          </cell>
          <cell r="E922">
            <v>6596.07</v>
          </cell>
        </row>
        <row r="923">
          <cell r="A923">
            <v>44580</v>
          </cell>
          <cell r="B923">
            <v>359</v>
          </cell>
          <cell r="D923">
            <v>44411</v>
          </cell>
          <cell r="E923">
            <v>6535.87</v>
          </cell>
        </row>
        <row r="924">
          <cell r="A924">
            <v>44579</v>
          </cell>
          <cell r="B924">
            <v>358.6</v>
          </cell>
          <cell r="D924">
            <v>44410</v>
          </cell>
          <cell r="E924">
            <v>6481.56</v>
          </cell>
        </row>
        <row r="925">
          <cell r="A925">
            <v>44578</v>
          </cell>
          <cell r="B925">
            <v>359.5</v>
          </cell>
          <cell r="D925">
            <v>44406</v>
          </cell>
          <cell r="E925">
            <v>6425.25</v>
          </cell>
        </row>
        <row r="926">
          <cell r="A926">
            <v>44577</v>
          </cell>
          <cell r="B926">
            <v>359.4</v>
          </cell>
          <cell r="D926">
            <v>44405</v>
          </cell>
          <cell r="E926">
            <v>6417.19</v>
          </cell>
        </row>
        <row r="927">
          <cell r="A927">
            <v>44574</v>
          </cell>
          <cell r="B927">
            <v>359.3</v>
          </cell>
          <cell r="D927">
            <v>44404</v>
          </cell>
          <cell r="E927">
            <v>6379.67</v>
          </cell>
        </row>
        <row r="928">
          <cell r="A928">
            <v>44573</v>
          </cell>
          <cell r="B928">
            <v>357.1</v>
          </cell>
          <cell r="D928">
            <v>44403</v>
          </cell>
          <cell r="E928">
            <v>6404.03</v>
          </cell>
        </row>
        <row r="929">
          <cell r="A929">
            <v>44572</v>
          </cell>
          <cell r="B929">
            <v>353.4</v>
          </cell>
          <cell r="D929">
            <v>44402</v>
          </cell>
          <cell r="E929">
            <v>6424.21</v>
          </cell>
        </row>
        <row r="930">
          <cell r="A930">
            <v>44571</v>
          </cell>
          <cell r="B930">
            <v>350</v>
          </cell>
          <cell r="D930">
            <v>44396</v>
          </cell>
          <cell r="E930">
            <v>6405.04</v>
          </cell>
        </row>
        <row r="931">
          <cell r="A931">
            <v>44567</v>
          </cell>
          <cell r="B931">
            <v>348.3</v>
          </cell>
          <cell r="D931">
            <v>44395</v>
          </cell>
          <cell r="E931">
            <v>6346.52</v>
          </cell>
        </row>
        <row r="932">
          <cell r="A932">
            <v>44566</v>
          </cell>
          <cell r="B932">
            <v>346.4</v>
          </cell>
          <cell r="D932">
            <v>44392</v>
          </cell>
          <cell r="E932">
            <v>6307.35</v>
          </cell>
        </row>
        <row r="933">
          <cell r="A933">
            <v>44565</v>
          </cell>
          <cell r="B933">
            <v>349.2</v>
          </cell>
          <cell r="D933">
            <v>44391</v>
          </cell>
          <cell r="E933">
            <v>6273.33</v>
          </cell>
        </row>
        <row r="934">
          <cell r="A934">
            <v>44564</v>
          </cell>
          <cell r="B934">
            <v>347.8</v>
          </cell>
          <cell r="D934">
            <v>44390</v>
          </cell>
          <cell r="E934">
            <v>6266.01</v>
          </cell>
        </row>
        <row r="935">
          <cell r="A935">
            <v>44563</v>
          </cell>
          <cell r="B935">
            <v>349.6</v>
          </cell>
          <cell r="D935">
            <v>44389</v>
          </cell>
          <cell r="E935">
            <v>6208.39</v>
          </cell>
        </row>
        <row r="936">
          <cell r="A936">
            <v>44560</v>
          </cell>
          <cell r="B936">
            <v>349.5</v>
          </cell>
          <cell r="D936">
            <v>44385</v>
          </cell>
          <cell r="E936">
            <v>6212.76</v>
          </cell>
        </row>
        <row r="937">
          <cell r="A937">
            <v>44559</v>
          </cell>
          <cell r="B937">
            <v>348.4</v>
          </cell>
          <cell r="D937">
            <v>44384</v>
          </cell>
          <cell r="E937">
            <v>6177.21</v>
          </cell>
        </row>
        <row r="938">
          <cell r="A938">
            <v>44558</v>
          </cell>
          <cell r="B938">
            <v>350</v>
          </cell>
          <cell r="D938">
            <v>44383</v>
          </cell>
          <cell r="E938">
            <v>6196.57</v>
          </cell>
        </row>
        <row r="939">
          <cell r="A939">
            <v>44557</v>
          </cell>
          <cell r="B939">
            <v>349.1</v>
          </cell>
          <cell r="D939">
            <v>44382</v>
          </cell>
          <cell r="E939">
            <v>6219.94</v>
          </cell>
        </row>
        <row r="940">
          <cell r="A940">
            <v>44556</v>
          </cell>
          <cell r="B940">
            <v>350</v>
          </cell>
          <cell r="D940">
            <v>44381</v>
          </cell>
          <cell r="E940">
            <v>6150.48</v>
          </cell>
        </row>
        <row r="941">
          <cell r="A941">
            <v>44553</v>
          </cell>
          <cell r="B941">
            <v>350.3</v>
          </cell>
          <cell r="D941">
            <v>44377</v>
          </cell>
          <cell r="E941">
            <v>6150.48</v>
          </cell>
        </row>
        <row r="942">
          <cell r="A942">
            <v>44552</v>
          </cell>
          <cell r="B942">
            <v>349.9</v>
          </cell>
          <cell r="D942">
            <v>44376</v>
          </cell>
          <cell r="E942">
            <v>6042.49</v>
          </cell>
        </row>
        <row r="943">
          <cell r="A943">
            <v>44551</v>
          </cell>
          <cell r="B943">
            <v>349.4</v>
          </cell>
          <cell r="D943">
            <v>44375</v>
          </cell>
          <cell r="E943">
            <v>6026.64</v>
          </cell>
        </row>
        <row r="944">
          <cell r="A944">
            <v>44550</v>
          </cell>
          <cell r="B944">
            <v>349.3</v>
          </cell>
          <cell r="D944">
            <v>44374</v>
          </cell>
          <cell r="E944">
            <v>5992.73</v>
          </cell>
        </row>
        <row r="945">
          <cell r="A945">
            <v>44549</v>
          </cell>
          <cell r="B945">
            <v>353.2</v>
          </cell>
          <cell r="D945">
            <v>44371</v>
          </cell>
          <cell r="E945">
            <v>6092.83</v>
          </cell>
        </row>
        <row r="946">
          <cell r="A946">
            <v>44545</v>
          </cell>
          <cell r="B946">
            <v>355.2</v>
          </cell>
          <cell r="D946">
            <v>44370</v>
          </cell>
          <cell r="E946">
            <v>6035.84</v>
          </cell>
        </row>
        <row r="947">
          <cell r="A947">
            <v>44544</v>
          </cell>
          <cell r="B947">
            <v>354.6</v>
          </cell>
          <cell r="D947">
            <v>44369</v>
          </cell>
          <cell r="E947">
            <v>6105.73</v>
          </cell>
        </row>
        <row r="948">
          <cell r="A948">
            <v>44543</v>
          </cell>
          <cell r="B948">
            <v>358.7</v>
          </cell>
          <cell r="D948">
            <v>44368</v>
          </cell>
          <cell r="E948">
            <v>6125.41</v>
          </cell>
        </row>
        <row r="949">
          <cell r="A949">
            <v>44542</v>
          </cell>
          <cell r="B949">
            <v>358.8</v>
          </cell>
          <cell r="D949">
            <v>44367</v>
          </cell>
          <cell r="E949">
            <v>6069.4</v>
          </cell>
        </row>
        <row r="950">
          <cell r="A950">
            <v>44539</v>
          </cell>
          <cell r="B950">
            <v>359.3</v>
          </cell>
          <cell r="D950">
            <v>44364</v>
          </cell>
          <cell r="E950">
            <v>6052.75</v>
          </cell>
        </row>
        <row r="951">
          <cell r="A951">
            <v>44538</v>
          </cell>
          <cell r="B951">
            <v>359.8</v>
          </cell>
          <cell r="D951">
            <v>44363</v>
          </cell>
          <cell r="E951">
            <v>6051.73</v>
          </cell>
        </row>
        <row r="952">
          <cell r="A952">
            <v>44537</v>
          </cell>
          <cell r="B952">
            <v>360.9</v>
          </cell>
          <cell r="D952">
            <v>44362</v>
          </cell>
          <cell r="E952">
            <v>6022.31</v>
          </cell>
        </row>
        <row r="953">
          <cell r="A953">
            <v>44536</v>
          </cell>
          <cell r="B953">
            <v>360.7</v>
          </cell>
          <cell r="D953">
            <v>44361</v>
          </cell>
          <cell r="E953">
            <v>6013.61</v>
          </cell>
        </row>
        <row r="954">
          <cell r="A954">
            <v>44535</v>
          </cell>
          <cell r="B954">
            <v>362</v>
          </cell>
          <cell r="D954">
            <v>44360</v>
          </cell>
          <cell r="E954">
            <v>6036.05</v>
          </cell>
        </row>
        <row r="955">
          <cell r="A955">
            <v>44532</v>
          </cell>
          <cell r="B955">
            <v>358.7</v>
          </cell>
          <cell r="D955">
            <v>44357</v>
          </cell>
          <cell r="E955">
            <v>6066.64</v>
          </cell>
        </row>
        <row r="956">
          <cell r="A956">
            <v>44531</v>
          </cell>
          <cell r="B956">
            <v>355.8</v>
          </cell>
          <cell r="D956">
            <v>44356</v>
          </cell>
          <cell r="E956">
            <v>6055.05</v>
          </cell>
        </row>
        <row r="957">
          <cell r="A957">
            <v>44530</v>
          </cell>
          <cell r="B957">
            <v>348.3</v>
          </cell>
          <cell r="D957">
            <v>44355</v>
          </cell>
          <cell r="E957">
            <v>6023.15</v>
          </cell>
        </row>
        <row r="958">
          <cell r="A958">
            <v>44529</v>
          </cell>
          <cell r="B958">
            <v>359.9</v>
          </cell>
          <cell r="D958">
            <v>44354</v>
          </cell>
          <cell r="E958">
            <v>5975.89</v>
          </cell>
        </row>
        <row r="959">
          <cell r="A959">
            <v>44528</v>
          </cell>
          <cell r="B959">
            <v>360.3</v>
          </cell>
          <cell r="D959">
            <v>44353</v>
          </cell>
          <cell r="E959">
            <v>6038.29</v>
          </cell>
        </row>
        <row r="960">
          <cell r="A960">
            <v>44525</v>
          </cell>
          <cell r="B960">
            <v>360.6</v>
          </cell>
          <cell r="D960">
            <v>44350</v>
          </cell>
          <cell r="E960">
            <v>6053.42</v>
          </cell>
        </row>
        <row r="961">
          <cell r="A961">
            <v>44524</v>
          </cell>
          <cell r="B961">
            <v>360.3</v>
          </cell>
          <cell r="D961">
            <v>44349</v>
          </cell>
          <cell r="E961">
            <v>6019</v>
          </cell>
        </row>
        <row r="962">
          <cell r="A962">
            <v>44523</v>
          </cell>
          <cell r="B962">
            <v>361.1</v>
          </cell>
          <cell r="D962">
            <v>44348</v>
          </cell>
          <cell r="E962">
            <v>5993.33</v>
          </cell>
        </row>
        <row r="963">
          <cell r="A963">
            <v>44522</v>
          </cell>
          <cell r="B963">
            <v>359.9</v>
          </cell>
          <cell r="D963">
            <v>44347</v>
          </cell>
          <cell r="E963">
            <v>5990.98</v>
          </cell>
        </row>
        <row r="964">
          <cell r="A964">
            <v>44521</v>
          </cell>
          <cell r="B964">
            <v>359.8</v>
          </cell>
          <cell r="D964">
            <v>44346</v>
          </cell>
          <cell r="E964">
            <v>6008.69</v>
          </cell>
        </row>
        <row r="965">
          <cell r="A965">
            <v>44518</v>
          </cell>
          <cell r="B965">
            <v>360.6</v>
          </cell>
          <cell r="D965">
            <v>44343</v>
          </cell>
          <cell r="E965">
            <v>5985.81</v>
          </cell>
        </row>
        <row r="966">
          <cell r="A966">
            <v>44517</v>
          </cell>
          <cell r="B966">
            <v>360.5</v>
          </cell>
          <cell r="D966">
            <v>44341</v>
          </cell>
          <cell r="E966">
            <v>5884.78</v>
          </cell>
        </row>
        <row r="967">
          <cell r="A967">
            <v>44516</v>
          </cell>
          <cell r="B967">
            <v>361.7</v>
          </cell>
          <cell r="D967">
            <v>44340</v>
          </cell>
          <cell r="E967">
            <v>5842.91</v>
          </cell>
        </row>
        <row r="968">
          <cell r="A968">
            <v>44515</v>
          </cell>
          <cell r="B968">
            <v>359.3</v>
          </cell>
          <cell r="D968">
            <v>44339</v>
          </cell>
          <cell r="E968">
            <v>5787.59</v>
          </cell>
        </row>
        <row r="969">
          <cell r="A969">
            <v>44514</v>
          </cell>
          <cell r="B969">
            <v>360.2</v>
          </cell>
          <cell r="D969">
            <v>44336</v>
          </cell>
          <cell r="E969">
            <v>5813.06</v>
          </cell>
        </row>
        <row r="970">
          <cell r="A970">
            <v>44511</v>
          </cell>
          <cell r="B970">
            <v>359.1</v>
          </cell>
          <cell r="D970">
            <v>44335</v>
          </cell>
          <cell r="E970">
            <v>5873.13</v>
          </cell>
        </row>
        <row r="971">
          <cell r="A971">
            <v>44510</v>
          </cell>
          <cell r="B971">
            <v>355.1</v>
          </cell>
          <cell r="D971">
            <v>44334</v>
          </cell>
          <cell r="E971">
            <v>5829.23</v>
          </cell>
        </row>
        <row r="972">
          <cell r="A972">
            <v>44509</v>
          </cell>
          <cell r="B972">
            <v>354.8</v>
          </cell>
          <cell r="D972">
            <v>44333</v>
          </cell>
          <cell r="E972">
            <v>5840.08</v>
          </cell>
        </row>
        <row r="973">
          <cell r="A973">
            <v>44508</v>
          </cell>
          <cell r="B973">
            <v>355.9</v>
          </cell>
          <cell r="D973">
            <v>44332</v>
          </cell>
          <cell r="E973">
            <v>5813.16</v>
          </cell>
        </row>
        <row r="974">
          <cell r="A974">
            <v>44507</v>
          </cell>
          <cell r="B974">
            <v>355.1</v>
          </cell>
          <cell r="D974">
            <v>44328</v>
          </cell>
          <cell r="E974">
            <v>5750.49</v>
          </cell>
        </row>
        <row r="975">
          <cell r="A975">
            <v>44504</v>
          </cell>
          <cell r="B975">
            <v>354.7</v>
          </cell>
          <cell r="D975">
            <v>44327</v>
          </cell>
          <cell r="E975">
            <v>5724.36</v>
          </cell>
        </row>
        <row r="976">
          <cell r="A976">
            <v>44503</v>
          </cell>
          <cell r="B976">
            <v>353.4</v>
          </cell>
          <cell r="D976">
            <v>44325</v>
          </cell>
          <cell r="E976">
            <v>5645.69</v>
          </cell>
        </row>
        <row r="977">
          <cell r="A977">
            <v>44502</v>
          </cell>
          <cell r="B977">
            <v>356.6</v>
          </cell>
          <cell r="D977">
            <v>44322</v>
          </cell>
          <cell r="E977">
            <v>5606.01</v>
          </cell>
        </row>
        <row r="978">
          <cell r="A978">
            <v>44501</v>
          </cell>
          <cell r="B978">
            <v>353.9</v>
          </cell>
          <cell r="D978">
            <v>44321</v>
          </cell>
          <cell r="E978">
            <v>5588.83</v>
          </cell>
        </row>
        <row r="979">
          <cell r="A979">
            <v>44500</v>
          </cell>
          <cell r="B979">
            <v>358.5</v>
          </cell>
          <cell r="D979">
            <v>44320</v>
          </cell>
          <cell r="E979">
            <v>5535.48</v>
          </cell>
        </row>
        <row r="980">
          <cell r="A980">
            <v>44497</v>
          </cell>
          <cell r="B980">
            <v>355.2</v>
          </cell>
          <cell r="D980">
            <v>44319</v>
          </cell>
          <cell r="E980">
            <v>5511.36</v>
          </cell>
        </row>
        <row r="981">
          <cell r="A981">
            <v>44496</v>
          </cell>
          <cell r="B981">
            <v>353.7</v>
          </cell>
          <cell r="D981">
            <v>44318</v>
          </cell>
          <cell r="E981">
            <v>5517.01</v>
          </cell>
        </row>
        <row r="982">
          <cell r="A982">
            <v>44495</v>
          </cell>
          <cell r="B982">
            <v>351.5</v>
          </cell>
          <cell r="D982">
            <v>44315</v>
          </cell>
          <cell r="E982">
            <v>5479.61</v>
          </cell>
        </row>
        <row r="983">
          <cell r="A983">
            <v>44494</v>
          </cell>
          <cell r="B983">
            <v>357.4</v>
          </cell>
          <cell r="D983">
            <v>44314</v>
          </cell>
          <cell r="E983">
            <v>5461.34</v>
          </cell>
        </row>
        <row r="984">
          <cell r="A984">
            <v>44493</v>
          </cell>
          <cell r="B984">
            <v>360</v>
          </cell>
          <cell r="D984">
            <v>44313</v>
          </cell>
          <cell r="E984">
            <v>5422.38</v>
          </cell>
        </row>
        <row r="985">
          <cell r="A985">
            <v>44490</v>
          </cell>
          <cell r="B985">
            <v>365.5</v>
          </cell>
          <cell r="D985">
            <v>44312</v>
          </cell>
          <cell r="E985">
            <v>5485.86</v>
          </cell>
        </row>
        <row r="986">
          <cell r="A986">
            <v>44488</v>
          </cell>
          <cell r="B986">
            <v>361.7</v>
          </cell>
          <cell r="D986">
            <v>44311</v>
          </cell>
          <cell r="E986">
            <v>5498.21</v>
          </cell>
        </row>
        <row r="987">
          <cell r="A987">
            <v>44487</v>
          </cell>
          <cell r="B987">
            <v>363.5</v>
          </cell>
          <cell r="D987">
            <v>44308</v>
          </cell>
          <cell r="E987">
            <v>5435.03</v>
          </cell>
        </row>
        <row r="988">
          <cell r="A988">
            <v>44486</v>
          </cell>
          <cell r="B988">
            <v>368.6</v>
          </cell>
          <cell r="D988">
            <v>44307</v>
          </cell>
          <cell r="E988">
            <v>5423.22</v>
          </cell>
        </row>
        <row r="989">
          <cell r="A989">
            <v>44483</v>
          </cell>
          <cell r="B989">
            <v>366.9</v>
          </cell>
          <cell r="D989">
            <v>44306</v>
          </cell>
          <cell r="E989">
            <v>5421.78</v>
          </cell>
        </row>
        <row r="990">
          <cell r="A990">
            <v>44482</v>
          </cell>
          <cell r="B990">
            <v>366.2</v>
          </cell>
          <cell r="D990">
            <v>44305</v>
          </cell>
          <cell r="E990">
            <v>5349.91</v>
          </cell>
        </row>
        <row r="991">
          <cell r="A991">
            <v>44481</v>
          </cell>
          <cell r="B991">
            <v>368.3</v>
          </cell>
          <cell r="D991">
            <v>44304</v>
          </cell>
          <cell r="E991">
            <v>5331.42</v>
          </cell>
        </row>
        <row r="992">
          <cell r="A992">
            <v>44480</v>
          </cell>
          <cell r="B992">
            <v>370.5</v>
          </cell>
          <cell r="D992">
            <v>44301</v>
          </cell>
          <cell r="E992">
            <v>5310.18</v>
          </cell>
        </row>
        <row r="993">
          <cell r="A993">
            <v>44479</v>
          </cell>
          <cell r="B993">
            <v>372.3</v>
          </cell>
          <cell r="D993">
            <v>44299</v>
          </cell>
          <cell r="E993">
            <v>5258.5</v>
          </cell>
        </row>
        <row r="994">
          <cell r="A994">
            <v>44476</v>
          </cell>
          <cell r="B994">
            <v>373.5</v>
          </cell>
          <cell r="D994">
            <v>44298</v>
          </cell>
          <cell r="E994">
            <v>5188.2700000000004</v>
          </cell>
        </row>
        <row r="995">
          <cell r="A995">
            <v>44475</v>
          </cell>
          <cell r="B995">
            <v>374.9</v>
          </cell>
          <cell r="D995">
            <v>44297</v>
          </cell>
          <cell r="E995">
            <v>5164.6899999999996</v>
          </cell>
        </row>
        <row r="996">
          <cell r="A996">
            <v>44474</v>
          </cell>
          <cell r="B996">
            <v>379</v>
          </cell>
          <cell r="D996">
            <v>44294</v>
          </cell>
          <cell r="E996">
            <v>5254.77</v>
          </cell>
        </row>
        <row r="997">
          <cell r="A997">
            <v>44473</v>
          </cell>
          <cell r="B997">
            <v>378.1</v>
          </cell>
          <cell r="D997">
            <v>44293</v>
          </cell>
          <cell r="E997">
            <v>5337.33</v>
          </cell>
        </row>
        <row r="998">
          <cell r="A998">
            <v>44472</v>
          </cell>
          <cell r="B998">
            <v>377.9</v>
          </cell>
          <cell r="D998">
            <v>44292</v>
          </cell>
          <cell r="E998">
            <v>5281.37</v>
          </cell>
        </row>
        <row r="999">
          <cell r="A999">
            <v>44469</v>
          </cell>
          <cell r="B999">
            <v>380.2</v>
          </cell>
          <cell r="D999">
            <v>44291</v>
          </cell>
          <cell r="E999">
            <v>5177.4799999999996</v>
          </cell>
        </row>
        <row r="1000">
          <cell r="A1000">
            <v>44468</v>
          </cell>
          <cell r="B1000">
            <v>380.6</v>
          </cell>
          <cell r="D1000">
            <v>44290</v>
          </cell>
          <cell r="E1000">
            <v>5088.9799999999996</v>
          </cell>
        </row>
        <row r="1001">
          <cell r="A1001">
            <v>44467</v>
          </cell>
          <cell r="B1001">
            <v>381.8</v>
          </cell>
          <cell r="D1001">
            <v>44287</v>
          </cell>
          <cell r="E1001">
            <v>5270.53</v>
          </cell>
        </row>
        <row r="1002">
          <cell r="A1002">
            <v>44466</v>
          </cell>
          <cell r="B1002">
            <v>383</v>
          </cell>
          <cell r="D1002">
            <v>44286</v>
          </cell>
          <cell r="E1002">
            <v>5278.16</v>
          </cell>
        </row>
        <row r="1003">
          <cell r="A1003">
            <v>44465</v>
          </cell>
          <cell r="B1003">
            <v>380.9</v>
          </cell>
          <cell r="D1003">
            <v>44284</v>
          </cell>
          <cell r="E1003">
            <v>5373.12</v>
          </cell>
        </row>
        <row r="1004">
          <cell r="A1004">
            <v>44462</v>
          </cell>
          <cell r="B1004">
            <v>381.4</v>
          </cell>
          <cell r="D1004">
            <v>44283</v>
          </cell>
          <cell r="E1004">
            <v>5343.94</v>
          </cell>
        </row>
        <row r="1005">
          <cell r="A1005">
            <v>44461</v>
          </cell>
          <cell r="B1005">
            <v>383.3</v>
          </cell>
          <cell r="D1005">
            <v>44280</v>
          </cell>
          <cell r="E1005">
            <v>5327.21</v>
          </cell>
        </row>
        <row r="1006">
          <cell r="A1006">
            <v>44460</v>
          </cell>
          <cell r="B1006">
            <v>383.7</v>
          </cell>
          <cell r="D1006">
            <v>44279</v>
          </cell>
          <cell r="E1006">
            <v>5330.12</v>
          </cell>
        </row>
        <row r="1007">
          <cell r="A1007">
            <v>44459</v>
          </cell>
          <cell r="B1007">
            <v>380.4</v>
          </cell>
          <cell r="D1007">
            <v>44278</v>
          </cell>
          <cell r="E1007">
            <v>5413.73</v>
          </cell>
        </row>
        <row r="1008">
          <cell r="A1008">
            <v>44458</v>
          </cell>
          <cell r="B1008">
            <v>382</v>
          </cell>
          <cell r="D1008">
            <v>44277</v>
          </cell>
          <cell r="E1008">
            <v>5412.19</v>
          </cell>
        </row>
        <row r="1009">
          <cell r="A1009">
            <v>44455</v>
          </cell>
          <cell r="B1009">
            <v>384.5</v>
          </cell>
          <cell r="D1009">
            <v>44276</v>
          </cell>
          <cell r="E1009">
            <v>5349.77</v>
          </cell>
        </row>
        <row r="1010">
          <cell r="A1010">
            <v>44454</v>
          </cell>
          <cell r="B1010">
            <v>379.2</v>
          </cell>
          <cell r="D1010">
            <v>44273</v>
          </cell>
          <cell r="E1010">
            <v>5434.69</v>
          </cell>
        </row>
        <row r="1011">
          <cell r="A1011">
            <v>44453</v>
          </cell>
          <cell r="B1011">
            <v>379.7</v>
          </cell>
          <cell r="D1011">
            <v>44271</v>
          </cell>
          <cell r="E1011">
            <v>5516.4</v>
          </cell>
        </row>
        <row r="1012">
          <cell r="A1012">
            <v>44452</v>
          </cell>
          <cell r="B1012">
            <v>386.2</v>
          </cell>
          <cell r="D1012">
            <v>44270</v>
          </cell>
          <cell r="E1012">
            <v>5532.97</v>
          </cell>
        </row>
        <row r="1013">
          <cell r="A1013">
            <v>44451</v>
          </cell>
          <cell r="B1013">
            <v>387.8</v>
          </cell>
          <cell r="D1013">
            <v>44269</v>
          </cell>
          <cell r="E1013">
            <v>5519.15</v>
          </cell>
        </row>
        <row r="1014">
          <cell r="A1014">
            <v>44448</v>
          </cell>
          <cell r="B1014">
            <v>386.5</v>
          </cell>
          <cell r="D1014">
            <v>44266</v>
          </cell>
          <cell r="E1014">
            <v>5568.85</v>
          </cell>
        </row>
        <row r="1015">
          <cell r="A1015">
            <v>44447</v>
          </cell>
          <cell r="B1015">
            <v>384.3</v>
          </cell>
          <cell r="D1015">
            <v>44265</v>
          </cell>
          <cell r="E1015">
            <v>5563.66</v>
          </cell>
        </row>
        <row r="1016">
          <cell r="A1016">
            <v>44446</v>
          </cell>
          <cell r="B1016">
            <v>380.5</v>
          </cell>
          <cell r="D1016">
            <v>44264</v>
          </cell>
          <cell r="E1016">
            <v>5591.38</v>
          </cell>
        </row>
        <row r="1017">
          <cell r="A1017">
            <v>44445</v>
          </cell>
          <cell r="B1017">
            <v>372.5</v>
          </cell>
          <cell r="D1017">
            <v>44263</v>
          </cell>
          <cell r="E1017">
            <v>5604.38</v>
          </cell>
        </row>
        <row r="1018">
          <cell r="A1018">
            <v>44444</v>
          </cell>
          <cell r="B1018">
            <v>367.2</v>
          </cell>
          <cell r="D1018">
            <v>44262</v>
          </cell>
          <cell r="E1018">
            <v>5584.29</v>
          </cell>
        </row>
        <row r="1019">
          <cell r="A1019">
            <v>44441</v>
          </cell>
          <cell r="B1019">
            <v>362.3</v>
          </cell>
          <cell r="D1019">
            <v>44259</v>
          </cell>
          <cell r="E1019">
            <v>5515.78</v>
          </cell>
        </row>
        <row r="1020">
          <cell r="A1020">
            <v>44440</v>
          </cell>
          <cell r="B1020">
            <v>362.1</v>
          </cell>
          <cell r="D1020">
            <v>44258</v>
          </cell>
          <cell r="E1020">
            <v>5488.07</v>
          </cell>
        </row>
        <row r="1021">
          <cell r="A1021">
            <v>44439</v>
          </cell>
          <cell r="B1021">
            <v>362.6</v>
          </cell>
          <cell r="D1021">
            <v>44257</v>
          </cell>
          <cell r="E1021">
            <v>5508.26</v>
          </cell>
        </row>
        <row r="1022">
          <cell r="A1022">
            <v>44437</v>
          </cell>
          <cell r="B1022">
            <v>360.5</v>
          </cell>
          <cell r="D1022">
            <v>44256</v>
          </cell>
          <cell r="E1022">
            <v>5426.82</v>
          </cell>
        </row>
        <row r="1023">
          <cell r="A1023">
            <v>44434</v>
          </cell>
          <cell r="B1023">
            <v>364.9</v>
          </cell>
          <cell r="D1023">
            <v>44255</v>
          </cell>
          <cell r="E1023">
            <v>5404.79</v>
          </cell>
        </row>
        <row r="1024">
          <cell r="A1024">
            <v>44433</v>
          </cell>
          <cell r="B1024">
            <v>367.5</v>
          </cell>
          <cell r="D1024">
            <v>44252</v>
          </cell>
          <cell r="E1024">
            <v>5416.39</v>
          </cell>
        </row>
        <row r="1025">
          <cell r="A1025">
            <v>44432</v>
          </cell>
          <cell r="B1025">
            <v>369.3</v>
          </cell>
          <cell r="D1025">
            <v>44251</v>
          </cell>
          <cell r="E1025">
            <v>5385.64</v>
          </cell>
        </row>
        <row r="1026">
          <cell r="A1026">
            <v>44431</v>
          </cell>
          <cell r="B1026">
            <v>365.8</v>
          </cell>
          <cell r="D1026">
            <v>44250</v>
          </cell>
          <cell r="E1026">
            <v>5317.71</v>
          </cell>
        </row>
        <row r="1027">
          <cell r="A1027">
            <v>44430</v>
          </cell>
          <cell r="B1027">
            <v>363.9</v>
          </cell>
          <cell r="D1027">
            <v>44249</v>
          </cell>
          <cell r="E1027">
            <v>5385.21</v>
          </cell>
        </row>
        <row r="1028">
          <cell r="A1028">
            <v>44427</v>
          </cell>
          <cell r="B1028">
            <v>359.4</v>
          </cell>
          <cell r="D1028">
            <v>44245</v>
          </cell>
          <cell r="E1028">
            <v>5475.98</v>
          </cell>
        </row>
        <row r="1029">
          <cell r="A1029">
            <v>44426</v>
          </cell>
          <cell r="B1029">
            <v>359.7</v>
          </cell>
          <cell r="D1029">
            <v>44244</v>
          </cell>
          <cell r="E1029">
            <v>5503.67</v>
          </cell>
        </row>
        <row r="1030">
          <cell r="A1030">
            <v>44425</v>
          </cell>
          <cell r="B1030">
            <v>359.1</v>
          </cell>
          <cell r="D1030">
            <v>44243</v>
          </cell>
          <cell r="E1030">
            <v>5527.39</v>
          </cell>
        </row>
        <row r="1031">
          <cell r="A1031">
            <v>44424</v>
          </cell>
          <cell r="B1031">
            <v>360.8</v>
          </cell>
          <cell r="D1031">
            <v>44242</v>
          </cell>
          <cell r="E1031">
            <v>5545.09</v>
          </cell>
        </row>
        <row r="1032">
          <cell r="A1032">
            <v>44420</v>
          </cell>
          <cell r="B1032">
            <v>363</v>
          </cell>
          <cell r="D1032">
            <v>44241</v>
          </cell>
          <cell r="E1032">
            <v>5447.64</v>
          </cell>
        </row>
        <row r="1033">
          <cell r="A1033">
            <v>44419</v>
          </cell>
          <cell r="B1033">
            <v>366</v>
          </cell>
          <cell r="D1033">
            <v>44238</v>
          </cell>
          <cell r="E1033">
            <v>5485.01</v>
          </cell>
        </row>
        <row r="1034">
          <cell r="A1034">
            <v>44418</v>
          </cell>
          <cell r="B1034">
            <v>360.9</v>
          </cell>
          <cell r="D1034">
            <v>44237</v>
          </cell>
          <cell r="E1034">
            <v>5509.4</v>
          </cell>
        </row>
        <row r="1035">
          <cell r="A1035">
            <v>44413</v>
          </cell>
          <cell r="B1035">
            <v>369.6</v>
          </cell>
          <cell r="D1035">
            <v>44236</v>
          </cell>
          <cell r="E1035">
            <v>5498.54</v>
          </cell>
        </row>
        <row r="1036">
          <cell r="A1036">
            <v>44411</v>
          </cell>
          <cell r="B1036">
            <v>368.3</v>
          </cell>
          <cell r="D1036">
            <v>44235</v>
          </cell>
          <cell r="E1036">
            <v>5376.45</v>
          </cell>
        </row>
        <row r="1037">
          <cell r="A1037">
            <v>44410</v>
          </cell>
          <cell r="B1037">
            <v>370.7</v>
          </cell>
          <cell r="D1037">
            <v>44234</v>
          </cell>
          <cell r="E1037">
            <v>5504.78</v>
          </cell>
        </row>
        <row r="1038">
          <cell r="A1038">
            <v>44406</v>
          </cell>
          <cell r="B1038">
            <v>379.3</v>
          </cell>
          <cell r="D1038">
            <v>44231</v>
          </cell>
          <cell r="E1038">
            <v>5647.67</v>
          </cell>
        </row>
        <row r="1039">
          <cell r="A1039">
            <v>44405</v>
          </cell>
          <cell r="B1039">
            <v>374.6</v>
          </cell>
          <cell r="D1039">
            <v>44230</v>
          </cell>
          <cell r="E1039">
            <v>5581.86</v>
          </cell>
        </row>
        <row r="1040">
          <cell r="A1040">
            <v>44404</v>
          </cell>
          <cell r="B1040">
            <v>369.2</v>
          </cell>
          <cell r="D1040">
            <v>44229</v>
          </cell>
          <cell r="E1040">
            <v>5564.69</v>
          </cell>
        </row>
        <row r="1041">
          <cell r="A1041">
            <v>44403</v>
          </cell>
          <cell r="B1041">
            <v>366.5</v>
          </cell>
          <cell r="D1041">
            <v>44228</v>
          </cell>
          <cell r="E1041">
            <v>5599.8</v>
          </cell>
        </row>
        <row r="1042">
          <cell r="A1042">
            <v>44402</v>
          </cell>
          <cell r="B1042">
            <v>363.7</v>
          </cell>
          <cell r="D1042">
            <v>44227</v>
          </cell>
          <cell r="E1042">
            <v>5649.86</v>
          </cell>
        </row>
        <row r="1043">
          <cell r="A1043">
            <v>44396</v>
          </cell>
          <cell r="B1043">
            <v>365.7</v>
          </cell>
          <cell r="D1043">
            <v>44224</v>
          </cell>
          <cell r="E1043">
            <v>5724.35</v>
          </cell>
        </row>
        <row r="1044">
          <cell r="A1044">
            <v>44395</v>
          </cell>
          <cell r="B1044">
            <v>361.9</v>
          </cell>
          <cell r="D1044">
            <v>44223</v>
          </cell>
          <cell r="E1044">
            <v>5714.74</v>
          </cell>
        </row>
        <row r="1045">
          <cell r="A1045">
            <v>44392</v>
          </cell>
          <cell r="B1045">
            <v>356.6</v>
          </cell>
          <cell r="D1045">
            <v>44222</v>
          </cell>
          <cell r="E1045">
            <v>5695.37</v>
          </cell>
        </row>
        <row r="1046">
          <cell r="A1046">
            <v>44391</v>
          </cell>
          <cell r="B1046">
            <v>355.2</v>
          </cell>
          <cell r="D1046">
            <v>44221</v>
          </cell>
          <cell r="E1046">
            <v>5789.92</v>
          </cell>
        </row>
        <row r="1047">
          <cell r="A1047">
            <v>44390</v>
          </cell>
          <cell r="B1047">
            <v>358.2</v>
          </cell>
          <cell r="D1047">
            <v>44220</v>
          </cell>
          <cell r="E1047">
            <v>5815.54</v>
          </cell>
        </row>
        <row r="1048">
          <cell r="A1048">
            <v>44389</v>
          </cell>
          <cell r="B1048">
            <v>355.4</v>
          </cell>
          <cell r="D1048">
            <v>44217</v>
          </cell>
          <cell r="E1048">
            <v>5836.18</v>
          </cell>
        </row>
        <row r="1049">
          <cell r="A1049">
            <v>44385</v>
          </cell>
          <cell r="B1049">
            <v>351.8</v>
          </cell>
          <cell r="D1049">
            <v>44216</v>
          </cell>
          <cell r="E1049">
            <v>5827.56</v>
          </cell>
        </row>
        <row r="1050">
          <cell r="A1050">
            <v>44384</v>
          </cell>
          <cell r="B1050">
            <v>349.5</v>
          </cell>
          <cell r="D1050">
            <v>44215</v>
          </cell>
          <cell r="E1050">
            <v>5820.8</v>
          </cell>
        </row>
        <row r="1051">
          <cell r="A1051">
            <v>44383</v>
          </cell>
          <cell r="B1051">
            <v>347.9</v>
          </cell>
          <cell r="D1051">
            <v>44214</v>
          </cell>
          <cell r="E1051">
            <v>5801.72</v>
          </cell>
        </row>
        <row r="1052">
          <cell r="A1052">
            <v>44382</v>
          </cell>
          <cell r="B1052">
            <v>348.4</v>
          </cell>
          <cell r="D1052">
            <v>44213</v>
          </cell>
          <cell r="E1052">
            <v>5850.43</v>
          </cell>
        </row>
        <row r="1053">
          <cell r="A1053">
            <v>44381</v>
          </cell>
          <cell r="B1053">
            <v>349.4</v>
          </cell>
          <cell r="D1053">
            <v>44210</v>
          </cell>
          <cell r="E1053">
            <v>5909.3</v>
          </cell>
        </row>
        <row r="1054">
          <cell r="A1054">
            <v>44377</v>
          </cell>
          <cell r="B1054">
            <v>349.4</v>
          </cell>
          <cell r="D1054">
            <v>44209</v>
          </cell>
          <cell r="E1054">
            <v>5770</v>
          </cell>
        </row>
        <row r="1055">
          <cell r="A1055">
            <v>44376</v>
          </cell>
          <cell r="B1055">
            <v>347.5</v>
          </cell>
          <cell r="D1055">
            <v>44208</v>
          </cell>
          <cell r="E1055">
            <v>5861.02</v>
          </cell>
        </row>
        <row r="1056">
          <cell r="A1056">
            <v>44375</v>
          </cell>
          <cell r="B1056">
            <v>346.3</v>
          </cell>
          <cell r="D1056">
            <v>44207</v>
          </cell>
          <cell r="E1056">
            <v>5718.75</v>
          </cell>
        </row>
        <row r="1057">
          <cell r="A1057">
            <v>44374</v>
          </cell>
          <cell r="B1057">
            <v>345.9</v>
          </cell>
          <cell r="D1057">
            <v>44206</v>
          </cell>
          <cell r="E1057">
            <v>5634.04</v>
          </cell>
        </row>
        <row r="1058">
          <cell r="A1058">
            <v>44371</v>
          </cell>
          <cell r="B1058">
            <v>346.2</v>
          </cell>
          <cell r="D1058">
            <v>44203</v>
          </cell>
          <cell r="E1058">
            <v>5621.76</v>
          </cell>
        </row>
        <row r="1059">
          <cell r="A1059">
            <v>44370</v>
          </cell>
          <cell r="B1059">
            <v>346.9</v>
          </cell>
          <cell r="D1059">
            <v>44202</v>
          </cell>
          <cell r="E1059">
            <v>5640.19</v>
          </cell>
        </row>
        <row r="1060">
          <cell r="A1060">
            <v>44369</v>
          </cell>
          <cell r="B1060">
            <v>345.2</v>
          </cell>
          <cell r="D1060">
            <v>44201</v>
          </cell>
          <cell r="E1060">
            <v>5609.7</v>
          </cell>
        </row>
        <row r="1061">
          <cell r="A1061">
            <v>44368</v>
          </cell>
          <cell r="B1061">
            <v>343.1</v>
          </cell>
          <cell r="D1061">
            <v>44200</v>
          </cell>
          <cell r="E1061">
            <v>5652.32</v>
          </cell>
        </row>
        <row r="1062">
          <cell r="A1062">
            <v>44367</v>
          </cell>
          <cell r="B1062">
            <v>343.3</v>
          </cell>
          <cell r="D1062">
            <v>44199</v>
          </cell>
          <cell r="E1062">
            <v>5618.95</v>
          </cell>
        </row>
        <row r="1063">
          <cell r="A1063">
            <v>44364</v>
          </cell>
          <cell r="B1063">
            <v>344.1</v>
          </cell>
          <cell r="D1063">
            <v>44195</v>
          </cell>
          <cell r="E1063">
            <v>5402.06</v>
          </cell>
        </row>
        <row r="1064">
          <cell r="A1064">
            <v>44363</v>
          </cell>
          <cell r="B1064">
            <v>343.2</v>
          </cell>
          <cell r="D1064">
            <v>44194</v>
          </cell>
          <cell r="E1064">
            <v>5358.25</v>
          </cell>
        </row>
        <row r="1065">
          <cell r="A1065">
            <v>44362</v>
          </cell>
          <cell r="B1065">
            <v>344.1</v>
          </cell>
          <cell r="D1065">
            <v>44193</v>
          </cell>
          <cell r="E1065">
            <v>5344.01</v>
          </cell>
        </row>
        <row r="1066">
          <cell r="A1066">
            <v>44361</v>
          </cell>
          <cell r="B1066">
            <v>347.4</v>
          </cell>
          <cell r="D1066">
            <v>44192</v>
          </cell>
          <cell r="E1066">
            <v>5328.27</v>
          </cell>
        </row>
        <row r="1067">
          <cell r="A1067">
            <v>44360</v>
          </cell>
          <cell r="B1067">
            <v>352.6</v>
          </cell>
          <cell r="D1067">
            <v>44189</v>
          </cell>
          <cell r="E1067">
            <v>5218.3599999999997</v>
          </cell>
        </row>
        <row r="1068">
          <cell r="A1068">
            <v>44357</v>
          </cell>
          <cell r="B1068">
            <v>352.6</v>
          </cell>
          <cell r="D1068">
            <v>44188</v>
          </cell>
          <cell r="E1068">
            <v>5133.29</v>
          </cell>
        </row>
        <row r="1069">
          <cell r="A1069">
            <v>44356</v>
          </cell>
          <cell r="B1069">
            <v>349</v>
          </cell>
          <cell r="D1069">
            <v>44187</v>
          </cell>
          <cell r="E1069">
            <v>5098.4799999999996</v>
          </cell>
        </row>
        <row r="1070">
          <cell r="A1070">
            <v>44355</v>
          </cell>
          <cell r="B1070">
            <v>346.9</v>
          </cell>
          <cell r="D1070">
            <v>44186</v>
          </cell>
          <cell r="E1070">
            <v>5115.1899999999996</v>
          </cell>
        </row>
        <row r="1071">
          <cell r="A1071">
            <v>44354</v>
          </cell>
          <cell r="B1071">
            <v>346.7</v>
          </cell>
          <cell r="D1071">
            <v>44185</v>
          </cell>
          <cell r="E1071">
            <v>5074.58</v>
          </cell>
        </row>
        <row r="1072">
          <cell r="A1072">
            <v>44353</v>
          </cell>
          <cell r="B1072">
            <v>350.3</v>
          </cell>
          <cell r="D1072">
            <v>44182</v>
          </cell>
          <cell r="E1072">
            <v>5108.03</v>
          </cell>
        </row>
        <row r="1073">
          <cell r="A1073">
            <v>44350</v>
          </cell>
          <cell r="B1073">
            <v>352.5</v>
          </cell>
          <cell r="D1073">
            <v>44180</v>
          </cell>
          <cell r="E1073">
            <v>5123.0600000000004</v>
          </cell>
        </row>
        <row r="1074">
          <cell r="A1074">
            <v>44349</v>
          </cell>
          <cell r="B1074">
            <v>346.8</v>
          </cell>
          <cell r="D1074">
            <v>44179</v>
          </cell>
          <cell r="E1074">
            <v>5147.0200000000004</v>
          </cell>
        </row>
        <row r="1075">
          <cell r="A1075">
            <v>44348</v>
          </cell>
          <cell r="B1075">
            <v>346.4</v>
          </cell>
          <cell r="D1075">
            <v>44178</v>
          </cell>
          <cell r="E1075">
            <v>5126.43</v>
          </cell>
        </row>
        <row r="1076">
          <cell r="A1076">
            <v>44347</v>
          </cell>
          <cell r="B1076">
            <v>346.3</v>
          </cell>
          <cell r="D1076">
            <v>44175</v>
          </cell>
          <cell r="E1076">
            <v>5094.66</v>
          </cell>
        </row>
        <row r="1077">
          <cell r="A1077">
            <v>44346</v>
          </cell>
          <cell r="B1077">
            <v>345</v>
          </cell>
          <cell r="D1077">
            <v>44174</v>
          </cell>
          <cell r="E1077">
            <v>5069.88</v>
          </cell>
        </row>
        <row r="1078">
          <cell r="A1078">
            <v>44343</v>
          </cell>
          <cell r="B1078">
            <v>346.7</v>
          </cell>
          <cell r="D1078">
            <v>44173</v>
          </cell>
          <cell r="E1078">
            <v>5049.8</v>
          </cell>
        </row>
        <row r="1079">
          <cell r="A1079">
            <v>44341</v>
          </cell>
          <cell r="B1079">
            <v>341.1</v>
          </cell>
          <cell r="D1079">
            <v>44172</v>
          </cell>
          <cell r="E1079">
            <v>5053.49</v>
          </cell>
        </row>
        <row r="1080">
          <cell r="A1080">
            <v>44340</v>
          </cell>
          <cell r="B1080">
            <v>343.1</v>
          </cell>
          <cell r="D1080">
            <v>44171</v>
          </cell>
          <cell r="E1080">
            <v>5024.38</v>
          </cell>
        </row>
        <row r="1081">
          <cell r="A1081">
            <v>44339</v>
          </cell>
          <cell r="B1081">
            <v>340</v>
          </cell>
          <cell r="D1081">
            <v>44168</v>
          </cell>
          <cell r="E1081">
            <v>4974.83</v>
          </cell>
        </row>
        <row r="1082">
          <cell r="A1082">
            <v>44336</v>
          </cell>
          <cell r="B1082">
            <v>339.1</v>
          </cell>
          <cell r="D1082">
            <v>44167</v>
          </cell>
          <cell r="E1082">
            <v>4934.8599999999997</v>
          </cell>
        </row>
        <row r="1083">
          <cell r="A1083">
            <v>44335</v>
          </cell>
          <cell r="B1083">
            <v>342.6</v>
          </cell>
          <cell r="D1083">
            <v>44166</v>
          </cell>
          <cell r="E1083">
            <v>4903.95</v>
          </cell>
        </row>
        <row r="1084">
          <cell r="A1084">
            <v>44334</v>
          </cell>
          <cell r="B1084">
            <v>344</v>
          </cell>
          <cell r="D1084">
            <v>44165</v>
          </cell>
          <cell r="E1084">
            <v>4866.84</v>
          </cell>
        </row>
        <row r="1085">
          <cell r="A1085">
            <v>44333</v>
          </cell>
          <cell r="B1085">
            <v>344.2</v>
          </cell>
          <cell r="D1085">
            <v>44164</v>
          </cell>
          <cell r="E1085">
            <v>4881.82</v>
          </cell>
        </row>
        <row r="1086">
          <cell r="A1086">
            <v>44332</v>
          </cell>
          <cell r="B1086">
            <v>343.4</v>
          </cell>
          <cell r="D1086">
            <v>44161</v>
          </cell>
          <cell r="E1086">
            <v>4869.09</v>
          </cell>
        </row>
        <row r="1087">
          <cell r="A1087">
            <v>44328</v>
          </cell>
          <cell r="B1087">
            <v>346.6</v>
          </cell>
          <cell r="D1087">
            <v>44160</v>
          </cell>
          <cell r="E1087">
            <v>4861.87</v>
          </cell>
        </row>
        <row r="1088">
          <cell r="A1088">
            <v>44327</v>
          </cell>
          <cell r="B1088">
            <v>346.2</v>
          </cell>
          <cell r="D1088">
            <v>44159</v>
          </cell>
          <cell r="E1088">
            <v>4833.1899999999996</v>
          </cell>
        </row>
        <row r="1089">
          <cell r="A1089">
            <v>44325</v>
          </cell>
          <cell r="B1089">
            <v>338.7</v>
          </cell>
          <cell r="D1089">
            <v>44158</v>
          </cell>
          <cell r="E1089">
            <v>4817.7</v>
          </cell>
        </row>
        <row r="1090">
          <cell r="A1090">
            <v>44322</v>
          </cell>
          <cell r="B1090">
            <v>333.2</v>
          </cell>
          <cell r="D1090">
            <v>44157</v>
          </cell>
          <cell r="E1090">
            <v>4845.09</v>
          </cell>
        </row>
        <row r="1091">
          <cell r="A1091">
            <v>44321</v>
          </cell>
          <cell r="B1091">
            <v>334.7</v>
          </cell>
          <cell r="D1091">
            <v>44154</v>
          </cell>
          <cell r="E1091">
            <v>4879.96</v>
          </cell>
        </row>
        <row r="1092">
          <cell r="A1092">
            <v>44320</v>
          </cell>
          <cell r="B1092">
            <v>337</v>
          </cell>
          <cell r="D1092">
            <v>44153</v>
          </cell>
          <cell r="E1092">
            <v>4887.12</v>
          </cell>
        </row>
        <row r="1093">
          <cell r="A1093">
            <v>44319</v>
          </cell>
          <cell r="B1093">
            <v>339.5</v>
          </cell>
          <cell r="D1093">
            <v>44152</v>
          </cell>
          <cell r="E1093">
            <v>4905.09</v>
          </cell>
        </row>
        <row r="1094">
          <cell r="A1094">
            <v>44318</v>
          </cell>
          <cell r="B1094">
            <v>341</v>
          </cell>
          <cell r="D1094">
            <v>44151</v>
          </cell>
          <cell r="E1094">
            <v>4871.41</v>
          </cell>
        </row>
        <row r="1095">
          <cell r="A1095">
            <v>44315</v>
          </cell>
          <cell r="B1095">
            <v>339</v>
          </cell>
          <cell r="D1095">
            <v>44150</v>
          </cell>
          <cell r="E1095">
            <v>4867.7299999999996</v>
          </cell>
        </row>
        <row r="1096">
          <cell r="A1096">
            <v>44314</v>
          </cell>
          <cell r="B1096">
            <v>339.8</v>
          </cell>
          <cell r="D1096">
            <v>44147</v>
          </cell>
          <cell r="E1096">
            <v>4905.03</v>
          </cell>
        </row>
        <row r="1097">
          <cell r="A1097">
            <v>44313</v>
          </cell>
          <cell r="B1097">
            <v>338.8</v>
          </cell>
          <cell r="D1097">
            <v>44146</v>
          </cell>
          <cell r="E1097">
            <v>4883.6899999999996</v>
          </cell>
        </row>
        <row r="1098">
          <cell r="A1098">
            <v>44312</v>
          </cell>
          <cell r="B1098">
            <v>340.2</v>
          </cell>
          <cell r="D1098">
            <v>44145</v>
          </cell>
          <cell r="E1098">
            <v>4899.6400000000003</v>
          </cell>
        </row>
        <row r="1099">
          <cell r="A1099">
            <v>44311</v>
          </cell>
          <cell r="B1099">
            <v>339.2</v>
          </cell>
          <cell r="D1099">
            <v>44144</v>
          </cell>
          <cell r="E1099">
            <v>4928.07</v>
          </cell>
        </row>
        <row r="1100">
          <cell r="A1100">
            <v>44308</v>
          </cell>
          <cell r="B1100">
            <v>337</v>
          </cell>
          <cell r="D1100">
            <v>44143</v>
          </cell>
          <cell r="E1100">
            <v>4923.6499999999996</v>
          </cell>
        </row>
        <row r="1101">
          <cell r="A1101">
            <v>44307</v>
          </cell>
          <cell r="B1101">
            <v>336.9</v>
          </cell>
          <cell r="D1101">
            <v>44140</v>
          </cell>
          <cell r="E1101">
            <v>4942.12</v>
          </cell>
        </row>
        <row r="1102">
          <cell r="A1102">
            <v>44306</v>
          </cell>
          <cell r="B1102">
            <v>339.4</v>
          </cell>
          <cell r="D1102">
            <v>44139</v>
          </cell>
          <cell r="E1102">
            <v>4919.6000000000004</v>
          </cell>
        </row>
        <row r="1103">
          <cell r="A1103">
            <v>44305</v>
          </cell>
          <cell r="B1103">
            <v>343.9</v>
          </cell>
          <cell r="D1103">
            <v>44138</v>
          </cell>
          <cell r="E1103">
            <v>4928.01</v>
          </cell>
        </row>
        <row r="1104">
          <cell r="A1104">
            <v>44304</v>
          </cell>
          <cell r="B1104">
            <v>342</v>
          </cell>
          <cell r="D1104">
            <v>44137</v>
          </cell>
          <cell r="E1104">
            <v>4918.38</v>
          </cell>
        </row>
        <row r="1105">
          <cell r="A1105">
            <v>44301</v>
          </cell>
          <cell r="B1105">
            <v>338.2</v>
          </cell>
          <cell r="D1105">
            <v>44136</v>
          </cell>
          <cell r="E1105">
            <v>4896.68</v>
          </cell>
        </row>
        <row r="1106">
          <cell r="A1106">
            <v>44299</v>
          </cell>
          <cell r="B1106">
            <v>335.1</v>
          </cell>
          <cell r="D1106">
            <v>44133</v>
          </cell>
          <cell r="E1106">
            <v>4846.1000000000004</v>
          </cell>
        </row>
        <row r="1107">
          <cell r="A1107">
            <v>44298</v>
          </cell>
          <cell r="B1107">
            <v>331.1</v>
          </cell>
          <cell r="D1107">
            <v>44132</v>
          </cell>
          <cell r="E1107">
            <v>4838.5200000000004</v>
          </cell>
        </row>
        <row r="1108">
          <cell r="A1108">
            <v>44297</v>
          </cell>
          <cell r="B1108">
            <v>326.8</v>
          </cell>
          <cell r="D1108">
            <v>44131</v>
          </cell>
          <cell r="E1108">
            <v>4867.96</v>
          </cell>
        </row>
        <row r="1109">
          <cell r="A1109">
            <v>44294</v>
          </cell>
          <cell r="B1109">
            <v>333.6</v>
          </cell>
          <cell r="D1109">
            <v>44129</v>
          </cell>
          <cell r="E1109">
            <v>4892.01</v>
          </cell>
        </row>
        <row r="1110">
          <cell r="A1110">
            <v>44293</v>
          </cell>
          <cell r="B1110">
            <v>335.2</v>
          </cell>
          <cell r="D1110">
            <v>44126</v>
          </cell>
          <cell r="E1110">
            <v>4914.03</v>
          </cell>
        </row>
        <row r="1111">
          <cell r="A1111">
            <v>44292</v>
          </cell>
          <cell r="B1111">
            <v>331.4</v>
          </cell>
          <cell r="D1111">
            <v>44125</v>
          </cell>
          <cell r="E1111">
            <v>4916.8500000000004</v>
          </cell>
        </row>
        <row r="1112">
          <cell r="A1112">
            <v>44291</v>
          </cell>
          <cell r="B1112">
            <v>319.7</v>
          </cell>
          <cell r="D1112">
            <v>44124</v>
          </cell>
          <cell r="E1112">
            <v>4917.25</v>
          </cell>
        </row>
        <row r="1113">
          <cell r="A1113">
            <v>44290</v>
          </cell>
          <cell r="B1113">
            <v>319.10000000000002</v>
          </cell>
          <cell r="D1113">
            <v>44123</v>
          </cell>
          <cell r="E1113">
            <v>4902.1499999999996</v>
          </cell>
        </row>
        <row r="1114">
          <cell r="A1114">
            <v>44287</v>
          </cell>
          <cell r="B1114">
            <v>325.5</v>
          </cell>
          <cell r="D1114">
            <v>44122</v>
          </cell>
          <cell r="E1114">
            <v>4877.6499999999996</v>
          </cell>
        </row>
        <row r="1115">
          <cell r="A1115">
            <v>44286</v>
          </cell>
          <cell r="B1115">
            <v>328.5</v>
          </cell>
          <cell r="D1115">
            <v>44119</v>
          </cell>
          <cell r="E1115">
            <v>4872.29</v>
          </cell>
        </row>
        <row r="1116">
          <cell r="A1116">
            <v>44284</v>
          </cell>
          <cell r="B1116">
            <v>336.5</v>
          </cell>
          <cell r="D1116">
            <v>44118</v>
          </cell>
          <cell r="E1116">
            <v>4839.05</v>
          </cell>
        </row>
        <row r="1117">
          <cell r="A1117">
            <v>44283</v>
          </cell>
          <cell r="B1117">
            <v>337.7</v>
          </cell>
          <cell r="D1117">
            <v>44117</v>
          </cell>
          <cell r="E1117">
            <v>4839.8500000000004</v>
          </cell>
        </row>
        <row r="1118">
          <cell r="A1118">
            <v>44280</v>
          </cell>
          <cell r="B1118">
            <v>337.7</v>
          </cell>
          <cell r="D1118">
            <v>44116</v>
          </cell>
          <cell r="E1118">
            <v>4809.7</v>
          </cell>
        </row>
        <row r="1119">
          <cell r="A1119">
            <v>44279</v>
          </cell>
          <cell r="B1119">
            <v>339.6</v>
          </cell>
          <cell r="D1119">
            <v>44115</v>
          </cell>
          <cell r="E1119">
            <v>4858.3599999999997</v>
          </cell>
        </row>
        <row r="1120">
          <cell r="A1120">
            <v>44278</v>
          </cell>
          <cell r="B1120">
            <v>341.8</v>
          </cell>
          <cell r="D1120">
            <v>44112</v>
          </cell>
          <cell r="E1120">
            <v>4916.97</v>
          </cell>
        </row>
        <row r="1121">
          <cell r="A1121">
            <v>44277</v>
          </cell>
          <cell r="B1121">
            <v>341.7</v>
          </cell>
          <cell r="D1121">
            <v>44111</v>
          </cell>
          <cell r="E1121">
            <v>4934.46</v>
          </cell>
        </row>
        <row r="1122">
          <cell r="A1122">
            <v>44276</v>
          </cell>
          <cell r="B1122">
            <v>339.5</v>
          </cell>
          <cell r="D1122">
            <v>44110</v>
          </cell>
          <cell r="E1122">
            <v>4928.8599999999997</v>
          </cell>
        </row>
        <row r="1123">
          <cell r="A1123">
            <v>44273</v>
          </cell>
          <cell r="B1123">
            <v>344.1</v>
          </cell>
          <cell r="D1123">
            <v>44109</v>
          </cell>
          <cell r="E1123">
            <v>4946.67</v>
          </cell>
        </row>
        <row r="1124">
          <cell r="A1124">
            <v>44271</v>
          </cell>
          <cell r="B1124">
            <v>345.5</v>
          </cell>
          <cell r="D1124">
            <v>44108</v>
          </cell>
          <cell r="E1124">
            <v>4997.99</v>
          </cell>
        </row>
        <row r="1125">
          <cell r="A1125">
            <v>44270</v>
          </cell>
          <cell r="B1125">
            <v>346.8</v>
          </cell>
          <cell r="D1125">
            <v>44105</v>
          </cell>
          <cell r="E1125">
            <v>4995.3100000000004</v>
          </cell>
        </row>
        <row r="1126">
          <cell r="A1126">
            <v>44269</v>
          </cell>
          <cell r="B1126">
            <v>348.9</v>
          </cell>
          <cell r="D1126">
            <v>44104</v>
          </cell>
          <cell r="E1126">
            <v>4963.29</v>
          </cell>
        </row>
        <row r="1127">
          <cell r="A1127">
            <v>44266</v>
          </cell>
          <cell r="B1127">
            <v>346.6</v>
          </cell>
          <cell r="D1127">
            <v>44103</v>
          </cell>
          <cell r="E1127">
            <v>4982.37</v>
          </cell>
        </row>
        <row r="1128">
          <cell r="A1128">
            <v>44265</v>
          </cell>
          <cell r="B1128">
            <v>345.6</v>
          </cell>
          <cell r="D1128">
            <v>44102</v>
          </cell>
          <cell r="E1128">
            <v>5003.62</v>
          </cell>
        </row>
        <row r="1129">
          <cell r="A1129">
            <v>44264</v>
          </cell>
          <cell r="B1129">
            <v>349.4</v>
          </cell>
          <cell r="D1129">
            <v>44101</v>
          </cell>
          <cell r="E1129">
            <v>4971.6099999999997</v>
          </cell>
        </row>
        <row r="1130">
          <cell r="A1130">
            <v>44263</v>
          </cell>
          <cell r="B1130">
            <v>352.3</v>
          </cell>
          <cell r="D1130">
            <v>44098</v>
          </cell>
          <cell r="E1130">
            <v>4978.7700000000004</v>
          </cell>
        </row>
        <row r="1131">
          <cell r="A1131">
            <v>44262</v>
          </cell>
          <cell r="B1131">
            <v>343.8</v>
          </cell>
          <cell r="D1131">
            <v>44097</v>
          </cell>
          <cell r="E1131">
            <v>4972.13</v>
          </cell>
        </row>
        <row r="1132">
          <cell r="A1132">
            <v>44259</v>
          </cell>
          <cell r="B1132">
            <v>340.3</v>
          </cell>
          <cell r="D1132">
            <v>44096</v>
          </cell>
          <cell r="E1132">
            <v>4970.1000000000004</v>
          </cell>
        </row>
        <row r="1133">
          <cell r="A1133">
            <v>44258</v>
          </cell>
          <cell r="B1133">
            <v>341.1</v>
          </cell>
          <cell r="D1133">
            <v>44095</v>
          </cell>
          <cell r="E1133">
            <v>5012.12</v>
          </cell>
        </row>
        <row r="1134">
          <cell r="A1134">
            <v>44257</v>
          </cell>
          <cell r="B1134">
            <v>340.7</v>
          </cell>
          <cell r="D1134">
            <v>44094</v>
          </cell>
          <cell r="E1134">
            <v>5088.87</v>
          </cell>
        </row>
        <row r="1135">
          <cell r="A1135">
            <v>44256</v>
          </cell>
          <cell r="B1135">
            <v>336.7</v>
          </cell>
          <cell r="D1135">
            <v>44091</v>
          </cell>
          <cell r="E1135">
            <v>5104.6499999999996</v>
          </cell>
        </row>
        <row r="1136">
          <cell r="A1136">
            <v>44255</v>
          </cell>
          <cell r="B1136">
            <v>338.3</v>
          </cell>
          <cell r="D1136">
            <v>44090</v>
          </cell>
          <cell r="E1136">
            <v>5116.8100000000004</v>
          </cell>
        </row>
        <row r="1137">
          <cell r="A1137">
            <v>44252</v>
          </cell>
          <cell r="B1137">
            <v>338.8</v>
          </cell>
          <cell r="D1137">
            <v>44089</v>
          </cell>
          <cell r="E1137">
            <v>5100.54</v>
          </cell>
        </row>
        <row r="1138">
          <cell r="A1138">
            <v>44251</v>
          </cell>
          <cell r="B1138">
            <v>341.6</v>
          </cell>
          <cell r="D1138">
            <v>44088</v>
          </cell>
          <cell r="E1138">
            <v>5092.1400000000003</v>
          </cell>
        </row>
        <row r="1139">
          <cell r="A1139">
            <v>44250</v>
          </cell>
          <cell r="B1139">
            <v>340.6</v>
          </cell>
          <cell r="D1139">
            <v>44087</v>
          </cell>
          <cell r="E1139">
            <v>5094.05</v>
          </cell>
        </row>
        <row r="1140">
          <cell r="A1140">
            <v>44249</v>
          </cell>
          <cell r="B1140">
            <v>343.6</v>
          </cell>
          <cell r="D1140">
            <v>44084</v>
          </cell>
          <cell r="E1140">
            <v>5011.29</v>
          </cell>
        </row>
        <row r="1141">
          <cell r="A1141">
            <v>44245</v>
          </cell>
          <cell r="B1141">
            <v>354.5</v>
          </cell>
          <cell r="D1141">
            <v>44083</v>
          </cell>
          <cell r="E1141">
            <v>4971.68</v>
          </cell>
        </row>
        <row r="1142">
          <cell r="A1142">
            <v>44243</v>
          </cell>
          <cell r="B1142">
            <v>371.6</v>
          </cell>
          <cell r="D1142">
            <v>44082</v>
          </cell>
          <cell r="E1142">
            <v>4978.32</v>
          </cell>
        </row>
        <row r="1143">
          <cell r="A1143">
            <v>44242</v>
          </cell>
          <cell r="B1143">
            <v>375</v>
          </cell>
          <cell r="D1143">
            <v>44081</v>
          </cell>
          <cell r="E1143">
            <v>4959.18</v>
          </cell>
        </row>
        <row r="1144">
          <cell r="A1144">
            <v>44241</v>
          </cell>
          <cell r="B1144">
            <v>371.6</v>
          </cell>
          <cell r="D1144">
            <v>44080</v>
          </cell>
          <cell r="E1144">
            <v>4948.5600000000004</v>
          </cell>
        </row>
        <row r="1145">
          <cell r="A1145">
            <v>44238</v>
          </cell>
          <cell r="B1145">
            <v>372.8</v>
          </cell>
          <cell r="D1145">
            <v>44077</v>
          </cell>
          <cell r="E1145">
            <v>4927.82</v>
          </cell>
        </row>
        <row r="1146">
          <cell r="A1146">
            <v>44237</v>
          </cell>
          <cell r="B1146">
            <v>378.9</v>
          </cell>
          <cell r="D1146">
            <v>44076</v>
          </cell>
          <cell r="E1146">
            <v>4891.53</v>
          </cell>
        </row>
        <row r="1147">
          <cell r="A1147">
            <v>44236</v>
          </cell>
          <cell r="B1147">
            <v>375.3</v>
          </cell>
          <cell r="D1147">
            <v>44075</v>
          </cell>
          <cell r="E1147">
            <v>4862.22</v>
          </cell>
        </row>
        <row r="1148">
          <cell r="A1148">
            <v>44235</v>
          </cell>
          <cell r="B1148">
            <v>367.7</v>
          </cell>
          <cell r="D1148">
            <v>44074</v>
          </cell>
          <cell r="E1148">
            <v>4879.1400000000003</v>
          </cell>
        </row>
        <row r="1149">
          <cell r="A1149">
            <v>44234</v>
          </cell>
          <cell r="B1149">
            <v>379</v>
          </cell>
          <cell r="D1149">
            <v>44070</v>
          </cell>
          <cell r="E1149">
            <v>4873.17</v>
          </cell>
        </row>
        <row r="1150">
          <cell r="A1150">
            <v>44231</v>
          </cell>
          <cell r="B1150">
            <v>383.2</v>
          </cell>
          <cell r="D1150">
            <v>44069</v>
          </cell>
          <cell r="E1150">
            <v>4827.57</v>
          </cell>
        </row>
        <row r="1151">
          <cell r="A1151">
            <v>44230</v>
          </cell>
          <cell r="B1151">
            <v>376.4</v>
          </cell>
          <cell r="D1151">
            <v>44068</v>
          </cell>
          <cell r="E1151">
            <v>4781.57</v>
          </cell>
        </row>
        <row r="1152">
          <cell r="A1152">
            <v>44229</v>
          </cell>
          <cell r="B1152">
            <v>369.3</v>
          </cell>
          <cell r="D1152">
            <v>44067</v>
          </cell>
          <cell r="E1152">
            <v>4762.43</v>
          </cell>
        </row>
        <row r="1153">
          <cell r="A1153">
            <v>44228</v>
          </cell>
          <cell r="B1153">
            <v>370.3</v>
          </cell>
          <cell r="D1153">
            <v>44066</v>
          </cell>
          <cell r="E1153">
            <v>4794.92</v>
          </cell>
        </row>
        <row r="1154">
          <cell r="A1154">
            <v>44227</v>
          </cell>
          <cell r="B1154">
            <v>371.9</v>
          </cell>
          <cell r="D1154">
            <v>44063</v>
          </cell>
          <cell r="E1154">
            <v>4794.0600000000004</v>
          </cell>
        </row>
        <row r="1155">
          <cell r="A1155">
            <v>44224</v>
          </cell>
          <cell r="B1155">
            <v>377</v>
          </cell>
          <cell r="D1155">
            <v>44062</v>
          </cell>
          <cell r="E1155">
            <v>4789.37</v>
          </cell>
        </row>
        <row r="1156">
          <cell r="A1156">
            <v>44223</v>
          </cell>
          <cell r="B1156">
            <v>373.5</v>
          </cell>
          <cell r="D1156">
            <v>44061</v>
          </cell>
          <cell r="E1156">
            <v>4720.1000000000004</v>
          </cell>
        </row>
        <row r="1157">
          <cell r="A1157">
            <v>44222</v>
          </cell>
          <cell r="B1157">
            <v>367.1</v>
          </cell>
          <cell r="D1157">
            <v>44060</v>
          </cell>
          <cell r="E1157">
            <v>4785.04</v>
          </cell>
        </row>
        <row r="1158">
          <cell r="A1158">
            <v>44221</v>
          </cell>
          <cell r="B1158">
            <v>370.1</v>
          </cell>
          <cell r="D1158">
            <v>44059</v>
          </cell>
          <cell r="E1158">
            <v>4859.4799999999996</v>
          </cell>
        </row>
        <row r="1159">
          <cell r="A1159">
            <v>44220</v>
          </cell>
          <cell r="B1159">
            <v>372.7</v>
          </cell>
          <cell r="D1159">
            <v>44056</v>
          </cell>
          <cell r="E1159">
            <v>4703.32</v>
          </cell>
        </row>
        <row r="1160">
          <cell r="A1160">
            <v>44217</v>
          </cell>
          <cell r="B1160">
            <v>373.2</v>
          </cell>
          <cell r="D1160">
            <v>44055</v>
          </cell>
          <cell r="E1160">
            <v>4633.37</v>
          </cell>
        </row>
        <row r="1161">
          <cell r="A1161">
            <v>44216</v>
          </cell>
          <cell r="B1161">
            <v>375.9</v>
          </cell>
          <cell r="D1161">
            <v>44053</v>
          </cell>
          <cell r="E1161">
            <v>4533.05</v>
          </cell>
        </row>
        <row r="1162">
          <cell r="A1162">
            <v>44215</v>
          </cell>
          <cell r="B1162">
            <v>383.1</v>
          </cell>
          <cell r="D1162">
            <v>44052</v>
          </cell>
          <cell r="E1162">
            <v>4545.1499999999996</v>
          </cell>
        </row>
        <row r="1163">
          <cell r="A1163">
            <v>44214</v>
          </cell>
          <cell r="B1163">
            <v>384.1</v>
          </cell>
          <cell r="D1163">
            <v>44049</v>
          </cell>
          <cell r="E1163">
            <v>4364.83</v>
          </cell>
        </row>
        <row r="1164">
          <cell r="A1164">
            <v>44213</v>
          </cell>
          <cell r="B1164">
            <v>376.2</v>
          </cell>
          <cell r="D1164">
            <v>44048</v>
          </cell>
          <cell r="E1164">
            <v>4307.1499999999996</v>
          </cell>
        </row>
        <row r="1165">
          <cell r="A1165">
            <v>44210</v>
          </cell>
          <cell r="B1165">
            <v>373.9</v>
          </cell>
          <cell r="D1165">
            <v>44047</v>
          </cell>
          <cell r="E1165">
            <v>4299.1000000000004</v>
          </cell>
        </row>
        <row r="1166">
          <cell r="A1166">
            <v>44209</v>
          </cell>
          <cell r="B1166">
            <v>368.2</v>
          </cell>
          <cell r="D1166">
            <v>44046</v>
          </cell>
          <cell r="E1166">
            <v>4271.8100000000004</v>
          </cell>
        </row>
        <row r="1167">
          <cell r="A1167">
            <v>44208</v>
          </cell>
          <cell r="B1167">
            <v>374.1</v>
          </cell>
          <cell r="D1167">
            <v>44042</v>
          </cell>
          <cell r="E1167">
            <v>4214.42</v>
          </cell>
        </row>
        <row r="1168">
          <cell r="A1168">
            <v>44207</v>
          </cell>
          <cell r="B1168">
            <v>370.1</v>
          </cell>
          <cell r="D1168">
            <v>44041</v>
          </cell>
          <cell r="E1168">
            <v>4171.2</v>
          </cell>
        </row>
        <row r="1169">
          <cell r="A1169">
            <v>44206</v>
          </cell>
          <cell r="B1169">
            <v>372.3</v>
          </cell>
          <cell r="D1169">
            <v>44040</v>
          </cell>
          <cell r="E1169">
            <v>4156.54</v>
          </cell>
        </row>
        <row r="1170">
          <cell r="A1170">
            <v>44203</v>
          </cell>
          <cell r="B1170">
            <v>366.2</v>
          </cell>
          <cell r="D1170">
            <v>44039</v>
          </cell>
          <cell r="E1170">
            <v>4145.38</v>
          </cell>
        </row>
        <row r="1171">
          <cell r="A1171">
            <v>44202</v>
          </cell>
          <cell r="B1171">
            <v>371.2</v>
          </cell>
          <cell r="D1171">
            <v>44038</v>
          </cell>
          <cell r="E1171">
            <v>4129.07</v>
          </cell>
        </row>
        <row r="1172">
          <cell r="A1172">
            <v>44201</v>
          </cell>
          <cell r="B1172">
            <v>376.4</v>
          </cell>
          <cell r="D1172">
            <v>44035</v>
          </cell>
          <cell r="E1172">
            <v>4080.93</v>
          </cell>
        </row>
        <row r="1173">
          <cell r="A1173">
            <v>44200</v>
          </cell>
          <cell r="B1173">
            <v>370.6</v>
          </cell>
          <cell r="D1173">
            <v>44034</v>
          </cell>
          <cell r="E1173">
            <v>4076.79</v>
          </cell>
        </row>
        <row r="1174">
          <cell r="A1174">
            <v>44199</v>
          </cell>
          <cell r="B1174">
            <v>358.4</v>
          </cell>
          <cell r="D1174">
            <v>44033</v>
          </cell>
          <cell r="E1174">
            <v>4085.79</v>
          </cell>
        </row>
        <row r="1175">
          <cell r="A1175">
            <v>44195</v>
          </cell>
          <cell r="B1175">
            <v>347.1</v>
          </cell>
          <cell r="D1175">
            <v>44032</v>
          </cell>
          <cell r="E1175">
            <v>4070.15</v>
          </cell>
        </row>
        <row r="1176">
          <cell r="A1176">
            <v>44194</v>
          </cell>
          <cell r="B1176">
            <v>349.7</v>
          </cell>
          <cell r="D1176">
            <v>44031</v>
          </cell>
          <cell r="E1176">
            <v>4050.64</v>
          </cell>
        </row>
        <row r="1177">
          <cell r="A1177">
            <v>44193</v>
          </cell>
          <cell r="B1177">
            <v>353.7</v>
          </cell>
          <cell r="D1177">
            <v>44028</v>
          </cell>
          <cell r="E1177">
            <v>4069.11</v>
          </cell>
        </row>
        <row r="1178">
          <cell r="A1178">
            <v>44192</v>
          </cell>
          <cell r="B1178">
            <v>350</v>
          </cell>
          <cell r="D1178">
            <v>44027</v>
          </cell>
          <cell r="E1178">
            <v>4079.07</v>
          </cell>
        </row>
        <row r="1179">
          <cell r="A1179">
            <v>44189</v>
          </cell>
          <cell r="B1179">
            <v>341.1</v>
          </cell>
          <cell r="D1179">
            <v>44026</v>
          </cell>
          <cell r="E1179">
            <v>4082.14</v>
          </cell>
        </row>
        <row r="1180">
          <cell r="A1180">
            <v>44188</v>
          </cell>
          <cell r="B1180">
            <v>337.2</v>
          </cell>
          <cell r="D1180">
            <v>44025</v>
          </cell>
          <cell r="E1180">
            <v>4089.51</v>
          </cell>
        </row>
        <row r="1181">
          <cell r="A1181">
            <v>44187</v>
          </cell>
          <cell r="B1181">
            <v>337.5</v>
          </cell>
          <cell r="D1181">
            <v>44024</v>
          </cell>
          <cell r="E1181">
            <v>4099.42</v>
          </cell>
        </row>
        <row r="1182">
          <cell r="A1182">
            <v>44186</v>
          </cell>
          <cell r="B1182">
            <v>341.4</v>
          </cell>
          <cell r="D1182">
            <v>44021</v>
          </cell>
          <cell r="E1182">
            <v>4061.56</v>
          </cell>
        </row>
        <row r="1183">
          <cell r="A1183">
            <v>44185</v>
          </cell>
          <cell r="B1183">
            <v>340.1</v>
          </cell>
          <cell r="D1183">
            <v>44020</v>
          </cell>
          <cell r="E1183">
            <v>4034.65</v>
          </cell>
        </row>
        <row r="1184">
          <cell r="A1184">
            <v>44182</v>
          </cell>
          <cell r="B1184">
            <v>346</v>
          </cell>
          <cell r="D1184">
            <v>44019</v>
          </cell>
          <cell r="E1184">
            <v>4001.81</v>
          </cell>
        </row>
        <row r="1185">
          <cell r="A1185">
            <v>44180</v>
          </cell>
          <cell r="B1185">
            <v>356.8</v>
          </cell>
          <cell r="D1185">
            <v>44018</v>
          </cell>
          <cell r="E1185">
            <v>3994.65</v>
          </cell>
        </row>
        <row r="1186">
          <cell r="A1186">
            <v>44179</v>
          </cell>
          <cell r="B1186">
            <v>350.2</v>
          </cell>
          <cell r="D1186">
            <v>44017</v>
          </cell>
          <cell r="E1186">
            <v>3981.52</v>
          </cell>
        </row>
        <row r="1187">
          <cell r="A1187">
            <v>44178</v>
          </cell>
          <cell r="B1187">
            <v>345.5</v>
          </cell>
          <cell r="D1187">
            <v>44014</v>
          </cell>
          <cell r="E1187">
            <v>3986.73</v>
          </cell>
        </row>
        <row r="1188">
          <cell r="A1188">
            <v>44175</v>
          </cell>
          <cell r="B1188">
            <v>341.5</v>
          </cell>
          <cell r="D1188">
            <v>44012</v>
          </cell>
          <cell r="E1188">
            <v>3989.08</v>
          </cell>
        </row>
        <row r="1189">
          <cell r="A1189">
            <v>44174</v>
          </cell>
          <cell r="B1189">
            <v>334.9</v>
          </cell>
          <cell r="D1189">
            <v>44011</v>
          </cell>
          <cell r="E1189">
            <v>3981.64</v>
          </cell>
        </row>
        <row r="1190">
          <cell r="A1190">
            <v>44173</v>
          </cell>
          <cell r="B1190">
            <v>334.1</v>
          </cell>
          <cell r="D1190">
            <v>44010</v>
          </cell>
          <cell r="E1190">
            <v>3974.22</v>
          </cell>
        </row>
        <row r="1191">
          <cell r="A1191">
            <v>44172</v>
          </cell>
          <cell r="B1191">
            <v>328.8</v>
          </cell>
          <cell r="D1191">
            <v>44007</v>
          </cell>
          <cell r="E1191">
            <v>3969.28</v>
          </cell>
        </row>
        <row r="1192">
          <cell r="A1192">
            <v>44171</v>
          </cell>
          <cell r="B1192">
            <v>326.10000000000002</v>
          </cell>
          <cell r="D1192">
            <v>44006</v>
          </cell>
          <cell r="E1192">
            <v>3964.83</v>
          </cell>
        </row>
        <row r="1193">
          <cell r="A1193">
            <v>44168</v>
          </cell>
          <cell r="B1193">
            <v>319.39999999999998</v>
          </cell>
          <cell r="D1193">
            <v>44005</v>
          </cell>
          <cell r="E1193">
            <v>3963.35</v>
          </cell>
        </row>
        <row r="1194">
          <cell r="A1194">
            <v>44167</v>
          </cell>
          <cell r="B1194">
            <v>318</v>
          </cell>
          <cell r="D1194">
            <v>44004</v>
          </cell>
          <cell r="E1194">
            <v>3962.04</v>
          </cell>
        </row>
        <row r="1195">
          <cell r="A1195">
            <v>44166</v>
          </cell>
          <cell r="B1195">
            <v>320</v>
          </cell>
          <cell r="D1195">
            <v>44003</v>
          </cell>
          <cell r="E1195">
            <v>3962.98</v>
          </cell>
        </row>
        <row r="1196">
          <cell r="A1196">
            <v>44165</v>
          </cell>
          <cell r="B1196">
            <v>319.10000000000002</v>
          </cell>
          <cell r="D1196">
            <v>44000</v>
          </cell>
          <cell r="E1196">
            <v>3960.57</v>
          </cell>
        </row>
        <row r="1197">
          <cell r="A1197">
            <v>44164</v>
          </cell>
          <cell r="B1197">
            <v>321.5</v>
          </cell>
          <cell r="D1197">
            <v>43999</v>
          </cell>
          <cell r="E1197">
            <v>3961.9</v>
          </cell>
        </row>
        <row r="1198">
          <cell r="A1198">
            <v>44161</v>
          </cell>
          <cell r="B1198">
            <v>319.2</v>
          </cell>
          <cell r="D1198">
            <v>43998</v>
          </cell>
          <cell r="E1198">
            <v>3960.65</v>
          </cell>
        </row>
        <row r="1199">
          <cell r="A1199">
            <v>44160</v>
          </cell>
          <cell r="B1199">
            <v>320.8</v>
          </cell>
          <cell r="D1199">
            <v>43997</v>
          </cell>
          <cell r="E1199">
            <v>3958.36</v>
          </cell>
        </row>
        <row r="1200">
          <cell r="A1200">
            <v>44159</v>
          </cell>
          <cell r="B1200">
            <v>318.2</v>
          </cell>
          <cell r="D1200">
            <v>43996</v>
          </cell>
          <cell r="E1200">
            <v>3964.28</v>
          </cell>
        </row>
        <row r="1201">
          <cell r="A1201">
            <v>44158</v>
          </cell>
          <cell r="B1201">
            <v>320.7</v>
          </cell>
          <cell r="D1201">
            <v>43993</v>
          </cell>
          <cell r="E1201">
            <v>3967.31</v>
          </cell>
        </row>
        <row r="1202">
          <cell r="A1202">
            <v>44157</v>
          </cell>
          <cell r="B1202">
            <v>325.3</v>
          </cell>
          <cell r="D1202">
            <v>43992</v>
          </cell>
          <cell r="E1202">
            <v>3966.75</v>
          </cell>
        </row>
        <row r="1203">
          <cell r="A1203">
            <v>44154</v>
          </cell>
          <cell r="B1203">
            <v>326.8</v>
          </cell>
          <cell r="D1203">
            <v>43991</v>
          </cell>
          <cell r="E1203">
            <v>3962.37</v>
          </cell>
        </row>
        <row r="1204">
          <cell r="A1204">
            <v>44153</v>
          </cell>
          <cell r="B1204">
            <v>328.8</v>
          </cell>
          <cell r="D1204">
            <v>43990</v>
          </cell>
          <cell r="E1204">
            <v>3956.1</v>
          </cell>
        </row>
        <row r="1205">
          <cell r="A1205">
            <v>44152</v>
          </cell>
          <cell r="B1205">
            <v>329.7</v>
          </cell>
          <cell r="D1205">
            <v>43989</v>
          </cell>
          <cell r="E1205">
            <v>3961.51</v>
          </cell>
        </row>
        <row r="1206">
          <cell r="A1206">
            <v>44151</v>
          </cell>
          <cell r="B1206">
            <v>329.6</v>
          </cell>
          <cell r="D1206">
            <v>43986</v>
          </cell>
          <cell r="E1206">
            <v>3953.38</v>
          </cell>
        </row>
        <row r="1207">
          <cell r="A1207">
            <v>44150</v>
          </cell>
          <cell r="B1207">
            <v>329.2</v>
          </cell>
          <cell r="D1207">
            <v>43985</v>
          </cell>
          <cell r="E1207">
            <v>3963.4</v>
          </cell>
        </row>
        <row r="1208">
          <cell r="A1208">
            <v>44147</v>
          </cell>
          <cell r="B1208">
            <v>330.2</v>
          </cell>
          <cell r="D1208">
            <v>43984</v>
          </cell>
          <cell r="E1208">
            <v>3969.58</v>
          </cell>
        </row>
        <row r="1209">
          <cell r="A1209">
            <v>44146</v>
          </cell>
          <cell r="B1209">
            <v>334.8</v>
          </cell>
          <cell r="D1209">
            <v>43983</v>
          </cell>
          <cell r="E1209">
            <v>3999.49</v>
          </cell>
        </row>
        <row r="1210">
          <cell r="A1210">
            <v>44145</v>
          </cell>
          <cell r="B1210">
            <v>332.5</v>
          </cell>
          <cell r="D1210">
            <v>43982</v>
          </cell>
          <cell r="E1210">
            <v>4060.44</v>
          </cell>
        </row>
        <row r="1211">
          <cell r="A1211">
            <v>44144</v>
          </cell>
          <cell r="B1211">
            <v>334.8</v>
          </cell>
          <cell r="D1211">
            <v>43919</v>
          </cell>
          <cell r="E1211">
            <v>4008.28</v>
          </cell>
        </row>
        <row r="1212">
          <cell r="A1212">
            <v>44143</v>
          </cell>
          <cell r="B1212">
            <v>337.2</v>
          </cell>
          <cell r="D1212">
            <v>43915</v>
          </cell>
          <cell r="E1212">
            <v>4008.28</v>
          </cell>
        </row>
        <row r="1213">
          <cell r="A1213">
            <v>44140</v>
          </cell>
          <cell r="B1213">
            <v>336.1</v>
          </cell>
          <cell r="D1213">
            <v>43914</v>
          </cell>
          <cell r="E1213">
            <v>3976.56</v>
          </cell>
        </row>
        <row r="1214">
          <cell r="A1214">
            <v>44139</v>
          </cell>
          <cell r="B1214">
            <v>328.7</v>
          </cell>
          <cell r="D1214">
            <v>43913</v>
          </cell>
          <cell r="E1214">
            <v>3984.75</v>
          </cell>
        </row>
        <row r="1215">
          <cell r="A1215">
            <v>44138</v>
          </cell>
          <cell r="B1215">
            <v>328.6</v>
          </cell>
          <cell r="D1215">
            <v>43912</v>
          </cell>
          <cell r="E1215">
            <v>3960.17</v>
          </cell>
        </row>
        <row r="1216">
          <cell r="A1216">
            <v>44137</v>
          </cell>
          <cell r="B1216">
            <v>328.9</v>
          </cell>
          <cell r="D1216">
            <v>43909</v>
          </cell>
          <cell r="E1216">
            <v>3974.96</v>
          </cell>
        </row>
        <row r="1217">
          <cell r="A1217">
            <v>44136</v>
          </cell>
          <cell r="B1217">
            <v>329.2</v>
          </cell>
          <cell r="D1217">
            <v>43908</v>
          </cell>
          <cell r="E1217">
            <v>3603.95</v>
          </cell>
        </row>
        <row r="1218">
          <cell r="A1218">
            <v>44133</v>
          </cell>
          <cell r="B1218">
            <v>329.7</v>
          </cell>
          <cell r="D1218">
            <v>43906</v>
          </cell>
          <cell r="E1218">
            <v>3772.55</v>
          </cell>
        </row>
        <row r="1219">
          <cell r="A1219">
            <v>44132</v>
          </cell>
          <cell r="B1219">
            <v>330</v>
          </cell>
          <cell r="D1219">
            <v>43905</v>
          </cell>
          <cell r="E1219">
            <v>3969.31</v>
          </cell>
        </row>
        <row r="1220">
          <cell r="A1220">
            <v>44131</v>
          </cell>
          <cell r="B1220">
            <v>332.2</v>
          </cell>
          <cell r="D1220">
            <v>43902</v>
          </cell>
          <cell r="E1220">
            <v>4129.96</v>
          </cell>
        </row>
        <row r="1221">
          <cell r="A1221">
            <v>44129</v>
          </cell>
          <cell r="B1221">
            <v>332</v>
          </cell>
          <cell r="D1221">
            <v>43901</v>
          </cell>
          <cell r="E1221">
            <v>4231.4799999999996</v>
          </cell>
        </row>
        <row r="1222">
          <cell r="A1222">
            <v>44126</v>
          </cell>
          <cell r="B1222">
            <v>330</v>
          </cell>
          <cell r="D1222">
            <v>43900</v>
          </cell>
          <cell r="E1222">
            <v>4156.32</v>
          </cell>
        </row>
        <row r="1223">
          <cell r="A1223">
            <v>44125</v>
          </cell>
          <cell r="B1223">
            <v>331.3</v>
          </cell>
          <cell r="D1223">
            <v>43899</v>
          </cell>
          <cell r="E1223">
            <v>4008.05</v>
          </cell>
        </row>
        <row r="1224">
          <cell r="A1224">
            <v>44124</v>
          </cell>
          <cell r="B1224">
            <v>331.9</v>
          </cell>
          <cell r="D1224">
            <v>43898</v>
          </cell>
          <cell r="E1224">
            <v>4287.38</v>
          </cell>
        </row>
        <row r="1225">
          <cell r="A1225">
            <v>44123</v>
          </cell>
          <cell r="B1225">
            <v>335.9</v>
          </cell>
          <cell r="D1225">
            <v>43895</v>
          </cell>
          <cell r="E1225">
            <v>4384.4799999999996</v>
          </cell>
        </row>
        <row r="1226">
          <cell r="A1226">
            <v>44122</v>
          </cell>
          <cell r="B1226">
            <v>335</v>
          </cell>
          <cell r="D1226">
            <v>43894</v>
          </cell>
          <cell r="E1226">
            <v>4409.62</v>
          </cell>
        </row>
        <row r="1227">
          <cell r="A1227">
            <v>44119</v>
          </cell>
          <cell r="B1227">
            <v>341.1</v>
          </cell>
          <cell r="D1227">
            <v>43893</v>
          </cell>
          <cell r="E1227">
            <v>4466.07</v>
          </cell>
        </row>
        <row r="1228">
          <cell r="A1228">
            <v>44118</v>
          </cell>
          <cell r="B1228">
            <v>334.1</v>
          </cell>
          <cell r="D1228">
            <v>43892</v>
          </cell>
          <cell r="E1228">
            <v>4434.8100000000004</v>
          </cell>
        </row>
        <row r="1229">
          <cell r="A1229">
            <v>44117</v>
          </cell>
          <cell r="B1229">
            <v>333.2</v>
          </cell>
          <cell r="D1229">
            <v>43891</v>
          </cell>
          <cell r="E1229">
            <v>4409.91</v>
          </cell>
        </row>
        <row r="1230">
          <cell r="A1230">
            <v>44116</v>
          </cell>
          <cell r="B1230">
            <v>330.8</v>
          </cell>
          <cell r="D1230">
            <v>43888</v>
          </cell>
          <cell r="E1230">
            <v>4480.22</v>
          </cell>
        </row>
        <row r="1231">
          <cell r="A1231">
            <v>44115</v>
          </cell>
          <cell r="B1231">
            <v>329</v>
          </cell>
          <cell r="D1231">
            <v>43887</v>
          </cell>
          <cell r="E1231">
            <v>4549.1099999999997</v>
          </cell>
        </row>
        <row r="1232">
          <cell r="A1232">
            <v>44112</v>
          </cell>
          <cell r="B1232">
            <v>328.3</v>
          </cell>
          <cell r="D1232">
            <v>43886</v>
          </cell>
          <cell r="E1232">
            <v>4621.1899999999996</v>
          </cell>
        </row>
        <row r="1233">
          <cell r="A1233">
            <v>44111</v>
          </cell>
          <cell r="B1233">
            <v>326.89999999999998</v>
          </cell>
          <cell r="D1233">
            <v>43885</v>
          </cell>
          <cell r="E1233">
            <v>4650.8900000000003</v>
          </cell>
        </row>
        <row r="1234">
          <cell r="A1234">
            <v>44110</v>
          </cell>
          <cell r="B1234">
            <v>326.60000000000002</v>
          </cell>
          <cell r="D1234">
            <v>43884</v>
          </cell>
          <cell r="E1234">
            <v>4698.8900000000003</v>
          </cell>
        </row>
        <row r="1235">
          <cell r="A1235">
            <v>44109</v>
          </cell>
          <cell r="B1235">
            <v>328.8</v>
          </cell>
          <cell r="D1235">
            <v>43881</v>
          </cell>
          <cell r="E1235">
            <v>4733.1400000000003</v>
          </cell>
        </row>
        <row r="1236">
          <cell r="A1236">
            <v>44108</v>
          </cell>
          <cell r="B1236">
            <v>330.1</v>
          </cell>
          <cell r="D1236">
            <v>43880</v>
          </cell>
          <cell r="E1236">
            <v>4758</v>
          </cell>
        </row>
        <row r="1237">
          <cell r="A1237">
            <v>44105</v>
          </cell>
          <cell r="B1237">
            <v>331</v>
          </cell>
          <cell r="D1237">
            <v>43879</v>
          </cell>
          <cell r="E1237">
            <v>4740.3999999999996</v>
          </cell>
        </row>
        <row r="1238">
          <cell r="A1238">
            <v>44104</v>
          </cell>
          <cell r="B1238">
            <v>330</v>
          </cell>
          <cell r="D1238">
            <v>43878</v>
          </cell>
          <cell r="E1238">
            <v>4768.13</v>
          </cell>
        </row>
        <row r="1239">
          <cell r="A1239">
            <v>44103</v>
          </cell>
          <cell r="B1239">
            <v>331.9</v>
          </cell>
          <cell r="D1239">
            <v>43877</v>
          </cell>
          <cell r="E1239">
            <v>4734.1499999999996</v>
          </cell>
        </row>
        <row r="1240">
          <cell r="A1240">
            <v>44102</v>
          </cell>
          <cell r="B1240">
            <v>330.9</v>
          </cell>
          <cell r="D1240">
            <v>43874</v>
          </cell>
          <cell r="E1240">
            <v>4564.6099999999997</v>
          </cell>
        </row>
        <row r="1241">
          <cell r="A1241">
            <v>44101</v>
          </cell>
          <cell r="B1241">
            <v>330.6</v>
          </cell>
          <cell r="D1241">
            <v>43873</v>
          </cell>
          <cell r="E1241">
            <v>4480.83</v>
          </cell>
        </row>
        <row r="1242">
          <cell r="A1242">
            <v>44098</v>
          </cell>
          <cell r="B1242">
            <v>335.2</v>
          </cell>
          <cell r="D1242">
            <v>43872</v>
          </cell>
          <cell r="E1242">
            <v>4471.51</v>
          </cell>
        </row>
        <row r="1243">
          <cell r="A1243">
            <v>44097</v>
          </cell>
          <cell r="B1243">
            <v>336.6</v>
          </cell>
          <cell r="D1243">
            <v>43871</v>
          </cell>
          <cell r="E1243">
            <v>4385.54</v>
          </cell>
        </row>
        <row r="1244">
          <cell r="A1244">
            <v>44096</v>
          </cell>
          <cell r="B1244">
            <v>329.5</v>
          </cell>
          <cell r="D1244">
            <v>43870</v>
          </cell>
          <cell r="E1244">
            <v>4388.75</v>
          </cell>
        </row>
        <row r="1245">
          <cell r="A1245">
            <v>44095</v>
          </cell>
          <cell r="B1245">
            <v>331.7</v>
          </cell>
          <cell r="D1245">
            <v>43867</v>
          </cell>
          <cell r="E1245">
            <v>4452.96</v>
          </cell>
        </row>
        <row r="1246">
          <cell r="A1246">
            <v>44094</v>
          </cell>
          <cell r="B1246">
            <v>336.7</v>
          </cell>
          <cell r="D1246">
            <v>43866</v>
          </cell>
          <cell r="E1246">
            <v>4465.8900000000003</v>
          </cell>
        </row>
        <row r="1247">
          <cell r="A1247">
            <v>44091</v>
          </cell>
          <cell r="B1247">
            <v>340.8</v>
          </cell>
          <cell r="D1247">
            <v>43865</v>
          </cell>
          <cell r="E1247">
            <v>4479.3999999999996</v>
          </cell>
        </row>
        <row r="1248">
          <cell r="A1248">
            <v>44090</v>
          </cell>
          <cell r="B1248">
            <v>340.7</v>
          </cell>
          <cell r="D1248">
            <v>43864</v>
          </cell>
          <cell r="E1248">
            <v>4506.87</v>
          </cell>
        </row>
        <row r="1249">
          <cell r="A1249">
            <v>44089</v>
          </cell>
          <cell r="B1249">
            <v>345.9</v>
          </cell>
          <cell r="D1249">
            <v>43863</v>
          </cell>
          <cell r="E1249">
            <v>4481.51</v>
          </cell>
        </row>
        <row r="1250">
          <cell r="A1250">
            <v>44088</v>
          </cell>
          <cell r="B1250">
            <v>350.1</v>
          </cell>
          <cell r="D1250">
            <v>43860</v>
          </cell>
          <cell r="E1250">
            <v>4469.6499999999996</v>
          </cell>
        </row>
        <row r="1251">
          <cell r="A1251">
            <v>44087</v>
          </cell>
          <cell r="B1251">
            <v>352.8</v>
          </cell>
          <cell r="D1251">
            <v>43859</v>
          </cell>
          <cell r="E1251">
            <v>4481.79</v>
          </cell>
        </row>
        <row r="1252">
          <cell r="A1252">
            <v>44084</v>
          </cell>
          <cell r="B1252">
            <v>347.6</v>
          </cell>
          <cell r="D1252">
            <v>43858</v>
          </cell>
          <cell r="E1252">
            <v>4510.7700000000004</v>
          </cell>
        </row>
        <row r="1253">
          <cell r="A1253">
            <v>44083</v>
          </cell>
          <cell r="B1253">
            <v>343.2</v>
          </cell>
          <cell r="D1253">
            <v>43857</v>
          </cell>
          <cell r="E1253">
            <v>4493.01</v>
          </cell>
        </row>
        <row r="1254">
          <cell r="A1254">
            <v>44082</v>
          </cell>
          <cell r="B1254">
            <v>336.3</v>
          </cell>
          <cell r="D1254">
            <v>43856</v>
          </cell>
          <cell r="E1254">
            <v>4528.2</v>
          </cell>
        </row>
        <row r="1255">
          <cell r="A1255">
            <v>44081</v>
          </cell>
          <cell r="B1255">
            <v>325.8</v>
          </cell>
          <cell r="D1255">
            <v>43853</v>
          </cell>
          <cell r="E1255">
            <v>4513.8900000000003</v>
          </cell>
        </row>
        <row r="1256">
          <cell r="A1256">
            <v>44080</v>
          </cell>
          <cell r="B1256">
            <v>322.10000000000002</v>
          </cell>
          <cell r="D1256">
            <v>43852</v>
          </cell>
          <cell r="E1256">
            <v>4440.29</v>
          </cell>
        </row>
        <row r="1257">
          <cell r="A1257">
            <v>44077</v>
          </cell>
          <cell r="B1257">
            <v>322.89999999999998</v>
          </cell>
          <cell r="D1257">
            <v>43851</v>
          </cell>
          <cell r="E1257">
            <v>4408.1000000000004</v>
          </cell>
        </row>
        <row r="1258">
          <cell r="A1258">
            <v>44076</v>
          </cell>
          <cell r="B1258">
            <v>321.10000000000002</v>
          </cell>
          <cell r="D1258">
            <v>43850</v>
          </cell>
          <cell r="E1258">
            <v>4436.79</v>
          </cell>
        </row>
        <row r="1259">
          <cell r="A1259">
            <v>44075</v>
          </cell>
          <cell r="B1259">
            <v>320.10000000000002</v>
          </cell>
          <cell r="D1259">
            <v>43849</v>
          </cell>
          <cell r="E1259">
            <v>4382.0600000000004</v>
          </cell>
        </row>
        <row r="1260">
          <cell r="A1260">
            <v>44074</v>
          </cell>
          <cell r="B1260">
            <v>318.39999999999998</v>
          </cell>
          <cell r="D1260">
            <v>43846</v>
          </cell>
          <cell r="E1260">
            <v>4149.82</v>
          </cell>
        </row>
        <row r="1261">
          <cell r="A1261">
            <v>44070</v>
          </cell>
          <cell r="B1261">
            <v>314.89999999999998</v>
          </cell>
          <cell r="D1261">
            <v>43845</v>
          </cell>
          <cell r="E1261">
            <v>4068.2</v>
          </cell>
        </row>
        <row r="1262">
          <cell r="A1262">
            <v>44069</v>
          </cell>
          <cell r="B1262">
            <v>315.5</v>
          </cell>
          <cell r="D1262">
            <v>43844</v>
          </cell>
          <cell r="E1262">
            <v>4036.23</v>
          </cell>
        </row>
        <row r="1263">
          <cell r="A1263">
            <v>44068</v>
          </cell>
          <cell r="B1263">
            <v>312.5</v>
          </cell>
          <cell r="D1263">
            <v>43843</v>
          </cell>
          <cell r="E1263">
            <v>4123.4799999999996</v>
          </cell>
        </row>
        <row r="1264">
          <cell r="A1264">
            <v>44067</v>
          </cell>
          <cell r="B1264">
            <v>299.5</v>
          </cell>
          <cell r="D1264">
            <v>43842</v>
          </cell>
          <cell r="E1264">
            <v>4212.4399999999996</v>
          </cell>
        </row>
        <row r="1265">
          <cell r="A1265">
            <v>44066</v>
          </cell>
          <cell r="B1265">
            <v>294</v>
          </cell>
          <cell r="D1265">
            <v>43839</v>
          </cell>
          <cell r="E1265">
            <v>4197.3900000000003</v>
          </cell>
        </row>
        <row r="1266">
          <cell r="A1266">
            <v>44063</v>
          </cell>
          <cell r="B1266">
            <v>286.10000000000002</v>
          </cell>
          <cell r="D1266">
            <v>43838</v>
          </cell>
          <cell r="E1266">
            <v>4228.3599999999997</v>
          </cell>
        </row>
        <row r="1267">
          <cell r="A1267">
            <v>44062</v>
          </cell>
          <cell r="B1267">
            <v>285.7</v>
          </cell>
          <cell r="D1267">
            <v>43837</v>
          </cell>
          <cell r="E1267">
            <v>4281.43</v>
          </cell>
        </row>
        <row r="1268">
          <cell r="A1268">
            <v>44061</v>
          </cell>
          <cell r="B1268">
            <v>283.8</v>
          </cell>
          <cell r="D1268">
            <v>43836</v>
          </cell>
          <cell r="E1268">
            <v>4331.95</v>
          </cell>
        </row>
        <row r="1269">
          <cell r="A1269">
            <v>44060</v>
          </cell>
          <cell r="B1269">
            <v>287.2</v>
          </cell>
          <cell r="D1269">
            <v>43835</v>
          </cell>
          <cell r="E1269">
            <v>4400.1400000000003</v>
          </cell>
        </row>
        <row r="1270">
          <cell r="A1270">
            <v>44059</v>
          </cell>
          <cell r="B1270">
            <v>291.7</v>
          </cell>
          <cell r="D1270">
            <v>43832</v>
          </cell>
          <cell r="E1270">
            <v>4459.29</v>
          </cell>
        </row>
        <row r="1271">
          <cell r="A1271">
            <v>44056</v>
          </cell>
          <cell r="B1271">
            <v>290</v>
          </cell>
          <cell r="D1271">
            <v>43831</v>
          </cell>
          <cell r="E1271">
            <v>4453.29</v>
          </cell>
        </row>
        <row r="1272">
          <cell r="A1272">
            <v>44055</v>
          </cell>
          <cell r="B1272">
            <v>288.3</v>
          </cell>
          <cell r="D1272">
            <v>43829</v>
          </cell>
          <cell r="E1272">
            <v>4452.93</v>
          </cell>
        </row>
        <row r="1273">
          <cell r="A1273">
            <v>44053</v>
          </cell>
          <cell r="B1273">
            <v>277.3</v>
          </cell>
          <cell r="D1273">
            <v>43828</v>
          </cell>
          <cell r="E1273">
            <v>4433.9399999999996</v>
          </cell>
        </row>
        <row r="1274">
          <cell r="A1274">
            <v>44052</v>
          </cell>
          <cell r="B1274">
            <v>271.10000000000002</v>
          </cell>
          <cell r="D1274">
            <v>43825</v>
          </cell>
          <cell r="E1274">
            <v>4418.83</v>
          </cell>
        </row>
        <row r="1275">
          <cell r="A1275">
            <v>44049</v>
          </cell>
          <cell r="B1275">
            <v>254.2</v>
          </cell>
          <cell r="D1275">
            <v>43823</v>
          </cell>
          <cell r="E1275">
            <v>4390.67</v>
          </cell>
        </row>
        <row r="1276">
          <cell r="A1276">
            <v>44047</v>
          </cell>
          <cell r="B1276">
            <v>263.5</v>
          </cell>
          <cell r="D1276">
            <v>43822</v>
          </cell>
          <cell r="E1276">
            <v>4394.4399999999996</v>
          </cell>
        </row>
        <row r="1277">
          <cell r="A1277">
            <v>44046</v>
          </cell>
          <cell r="B1277">
            <v>263.5</v>
          </cell>
          <cell r="D1277">
            <v>43821</v>
          </cell>
          <cell r="E1277">
            <v>4430.95</v>
          </cell>
        </row>
        <row r="1278">
          <cell r="A1278">
            <v>44042</v>
          </cell>
          <cell r="B1278">
            <v>258.5</v>
          </cell>
          <cell r="D1278">
            <v>43818</v>
          </cell>
          <cell r="E1278">
            <v>4456.83</v>
          </cell>
        </row>
        <row r="1279">
          <cell r="A1279">
            <v>44041</v>
          </cell>
          <cell r="B1279">
            <v>254.4</v>
          </cell>
          <cell r="D1279">
            <v>43817</v>
          </cell>
          <cell r="E1279">
            <v>4417.95</v>
          </cell>
        </row>
        <row r="1280">
          <cell r="A1280">
            <v>44040</v>
          </cell>
          <cell r="B1280">
            <v>254.2</v>
          </cell>
          <cell r="D1280">
            <v>43816</v>
          </cell>
          <cell r="E1280">
            <v>4419.82</v>
          </cell>
        </row>
        <row r="1281">
          <cell r="A1281">
            <v>44039</v>
          </cell>
          <cell r="B1281">
            <v>254.9</v>
          </cell>
          <cell r="D1281">
            <v>43814</v>
          </cell>
          <cell r="E1281">
            <v>4498.49</v>
          </cell>
        </row>
        <row r="1282">
          <cell r="A1282">
            <v>44038</v>
          </cell>
          <cell r="B1282">
            <v>258.10000000000002</v>
          </cell>
          <cell r="D1282">
            <v>43811</v>
          </cell>
          <cell r="E1282">
            <v>4514.4399999999996</v>
          </cell>
        </row>
        <row r="1283">
          <cell r="A1283">
            <v>44035</v>
          </cell>
          <cell r="B1283">
            <v>250.8</v>
          </cell>
          <cell r="D1283">
            <v>43810</v>
          </cell>
          <cell r="E1283">
            <v>4512.3900000000003</v>
          </cell>
        </row>
        <row r="1284">
          <cell r="A1284">
            <v>44034</v>
          </cell>
          <cell r="B1284">
            <v>246.7</v>
          </cell>
          <cell r="D1284">
            <v>43809</v>
          </cell>
          <cell r="E1284">
            <v>4506.93</v>
          </cell>
        </row>
        <row r="1285">
          <cell r="A1285">
            <v>44033</v>
          </cell>
          <cell r="B1285">
            <v>246.5</v>
          </cell>
          <cell r="D1285">
            <v>43808</v>
          </cell>
          <cell r="E1285">
            <v>4533.75</v>
          </cell>
        </row>
        <row r="1286">
          <cell r="A1286">
            <v>44032</v>
          </cell>
          <cell r="B1286">
            <v>245.9</v>
          </cell>
          <cell r="D1286">
            <v>43807</v>
          </cell>
          <cell r="E1286">
            <v>4596</v>
          </cell>
        </row>
        <row r="1287">
          <cell r="A1287">
            <v>44031</v>
          </cell>
          <cell r="B1287">
            <v>244.1</v>
          </cell>
          <cell r="D1287">
            <v>43804</v>
          </cell>
          <cell r="E1287">
            <v>4671.33</v>
          </cell>
        </row>
        <row r="1288">
          <cell r="A1288">
            <v>44028</v>
          </cell>
          <cell r="B1288">
            <v>241.9</v>
          </cell>
          <cell r="D1288">
            <v>43803</v>
          </cell>
          <cell r="E1288">
            <v>4702.9799999999996</v>
          </cell>
        </row>
        <row r="1289">
          <cell r="A1289">
            <v>44027</v>
          </cell>
          <cell r="B1289">
            <v>242.1</v>
          </cell>
          <cell r="D1289">
            <v>43802</v>
          </cell>
          <cell r="E1289">
            <v>4697.3500000000004</v>
          </cell>
        </row>
        <row r="1290">
          <cell r="A1290">
            <v>44026</v>
          </cell>
          <cell r="B1290">
            <v>239.1</v>
          </cell>
          <cell r="D1290">
            <v>43801</v>
          </cell>
          <cell r="E1290">
            <v>4734.59</v>
          </cell>
        </row>
        <row r="1291">
          <cell r="A1291">
            <v>44025</v>
          </cell>
          <cell r="B1291">
            <v>239.9</v>
          </cell>
          <cell r="D1291">
            <v>43800</v>
          </cell>
          <cell r="E1291">
            <v>4758.8100000000004</v>
          </cell>
        </row>
        <row r="1292">
          <cell r="A1292">
            <v>44024</v>
          </cell>
          <cell r="B1292">
            <v>244.2</v>
          </cell>
          <cell r="D1292">
            <v>43797</v>
          </cell>
          <cell r="E1292">
            <v>4731.43</v>
          </cell>
        </row>
        <row r="1293">
          <cell r="A1293">
            <v>44021</v>
          </cell>
          <cell r="B1293">
            <v>239.8</v>
          </cell>
          <cell r="D1293">
            <v>43796</v>
          </cell>
          <cell r="E1293">
            <v>4730.34</v>
          </cell>
        </row>
        <row r="1294">
          <cell r="A1294">
            <v>44020</v>
          </cell>
          <cell r="B1294">
            <v>238.8</v>
          </cell>
          <cell r="D1294">
            <v>43795</v>
          </cell>
          <cell r="E1294">
            <v>4722.3</v>
          </cell>
        </row>
        <row r="1295">
          <cell r="A1295">
            <v>44019</v>
          </cell>
          <cell r="B1295">
            <v>238.8</v>
          </cell>
          <cell r="D1295">
            <v>43794</v>
          </cell>
          <cell r="E1295">
            <v>4693.62</v>
          </cell>
        </row>
        <row r="1296">
          <cell r="A1296">
            <v>44018</v>
          </cell>
          <cell r="B1296">
            <v>238.8</v>
          </cell>
          <cell r="D1296">
            <v>43793</v>
          </cell>
          <cell r="E1296">
            <v>4688.42</v>
          </cell>
        </row>
        <row r="1297">
          <cell r="A1297">
            <v>44017</v>
          </cell>
          <cell r="B1297">
            <v>238.8</v>
          </cell>
          <cell r="D1297">
            <v>43790</v>
          </cell>
          <cell r="E1297">
            <v>4706.66</v>
          </cell>
        </row>
        <row r="1298">
          <cell r="A1298">
            <v>44014</v>
          </cell>
          <cell r="B1298">
            <v>238.8</v>
          </cell>
          <cell r="D1298">
            <v>43789</v>
          </cell>
          <cell r="E1298">
            <v>4691.93</v>
          </cell>
        </row>
        <row r="1299">
          <cell r="A1299">
            <v>44012</v>
          </cell>
          <cell r="B1299">
            <v>238.8</v>
          </cell>
          <cell r="D1299">
            <v>43788</v>
          </cell>
          <cell r="E1299">
            <v>4722.37</v>
          </cell>
        </row>
        <row r="1300">
          <cell r="A1300">
            <v>44011</v>
          </cell>
          <cell r="B1300">
            <v>238.8</v>
          </cell>
          <cell r="D1300">
            <v>43787</v>
          </cell>
          <cell r="E1300">
            <v>4722.01</v>
          </cell>
        </row>
        <row r="1301">
          <cell r="A1301">
            <v>44010</v>
          </cell>
          <cell r="B1301">
            <v>238.8</v>
          </cell>
          <cell r="D1301">
            <v>43786</v>
          </cell>
          <cell r="E1301">
            <v>4717.3900000000003</v>
          </cell>
        </row>
        <row r="1302">
          <cell r="A1302">
            <v>44007</v>
          </cell>
          <cell r="B1302">
            <v>238.8</v>
          </cell>
          <cell r="D1302">
            <v>43783</v>
          </cell>
          <cell r="E1302">
            <v>4710.3599999999997</v>
          </cell>
        </row>
        <row r="1303">
          <cell r="A1303">
            <v>44006</v>
          </cell>
          <cell r="B1303">
            <v>238.8</v>
          </cell>
          <cell r="D1303">
            <v>43782</v>
          </cell>
          <cell r="E1303">
            <v>4737.17</v>
          </cell>
        </row>
        <row r="1304">
          <cell r="A1304">
            <v>44005</v>
          </cell>
          <cell r="B1304">
            <v>238.8</v>
          </cell>
          <cell r="D1304">
            <v>43781</v>
          </cell>
          <cell r="E1304">
            <v>4779.18</v>
          </cell>
        </row>
        <row r="1305">
          <cell r="A1305">
            <v>44004</v>
          </cell>
          <cell r="B1305">
            <v>238.8</v>
          </cell>
          <cell r="D1305">
            <v>43780</v>
          </cell>
          <cell r="E1305">
            <v>4781.47</v>
          </cell>
        </row>
        <row r="1306">
          <cell r="A1306">
            <v>44003</v>
          </cell>
          <cell r="B1306">
            <v>238.8</v>
          </cell>
          <cell r="D1306">
            <v>43776</v>
          </cell>
          <cell r="E1306">
            <v>4771.91</v>
          </cell>
        </row>
        <row r="1307">
          <cell r="A1307">
            <v>44000</v>
          </cell>
          <cell r="B1307">
            <v>238.8</v>
          </cell>
          <cell r="D1307">
            <v>43775</v>
          </cell>
          <cell r="E1307">
            <v>4754.6899999999996</v>
          </cell>
        </row>
        <row r="1308">
          <cell r="A1308">
            <v>43999</v>
          </cell>
          <cell r="B1308">
            <v>238.8</v>
          </cell>
          <cell r="D1308">
            <v>43774</v>
          </cell>
          <cell r="E1308">
            <v>4703.7</v>
          </cell>
        </row>
        <row r="1309">
          <cell r="A1309">
            <v>43998</v>
          </cell>
          <cell r="B1309">
            <v>238.8</v>
          </cell>
          <cell r="D1309">
            <v>43773</v>
          </cell>
          <cell r="E1309">
            <v>4678.3599999999997</v>
          </cell>
        </row>
        <row r="1310">
          <cell r="A1310">
            <v>43997</v>
          </cell>
          <cell r="B1310">
            <v>238.8</v>
          </cell>
          <cell r="D1310">
            <v>43772</v>
          </cell>
          <cell r="E1310">
            <v>4712.08</v>
          </cell>
        </row>
        <row r="1311">
          <cell r="A1311">
            <v>43996</v>
          </cell>
          <cell r="B1311">
            <v>238.8</v>
          </cell>
          <cell r="D1311">
            <v>43769</v>
          </cell>
          <cell r="E1311">
            <v>4682.8999999999996</v>
          </cell>
        </row>
        <row r="1312">
          <cell r="A1312">
            <v>43993</v>
          </cell>
          <cell r="B1312">
            <v>238.8</v>
          </cell>
          <cell r="D1312">
            <v>43768</v>
          </cell>
          <cell r="E1312">
            <v>4683.2</v>
          </cell>
        </row>
        <row r="1313">
          <cell r="A1313">
            <v>43992</v>
          </cell>
          <cell r="B1313">
            <v>238.8</v>
          </cell>
          <cell r="D1313">
            <v>43767</v>
          </cell>
          <cell r="E1313">
            <v>4670.74</v>
          </cell>
        </row>
        <row r="1314">
          <cell r="A1314">
            <v>43991</v>
          </cell>
          <cell r="B1314">
            <v>238.8</v>
          </cell>
          <cell r="D1314">
            <v>43766</v>
          </cell>
          <cell r="E1314">
            <v>4699.22</v>
          </cell>
        </row>
        <row r="1315">
          <cell r="A1315">
            <v>43990</v>
          </cell>
          <cell r="B1315">
            <v>238.8</v>
          </cell>
          <cell r="D1315">
            <v>43765</v>
          </cell>
          <cell r="E1315">
            <v>4752.6400000000003</v>
          </cell>
        </row>
        <row r="1316">
          <cell r="A1316">
            <v>43989</v>
          </cell>
          <cell r="B1316">
            <v>238.9</v>
          </cell>
          <cell r="D1316">
            <v>43762</v>
          </cell>
          <cell r="E1316">
            <v>4772</v>
          </cell>
        </row>
        <row r="1317">
          <cell r="A1317">
            <v>43986</v>
          </cell>
          <cell r="B1317">
            <v>239</v>
          </cell>
          <cell r="D1317">
            <v>43761</v>
          </cell>
          <cell r="E1317">
            <v>4726.62</v>
          </cell>
        </row>
        <row r="1318">
          <cell r="A1318">
            <v>43985</v>
          </cell>
          <cell r="B1318">
            <v>238.9</v>
          </cell>
          <cell r="D1318">
            <v>43760</v>
          </cell>
          <cell r="E1318">
            <v>4708.68</v>
          </cell>
        </row>
        <row r="1319">
          <cell r="A1319">
            <v>43984</v>
          </cell>
          <cell r="B1319">
            <v>240</v>
          </cell>
          <cell r="D1319">
            <v>43759</v>
          </cell>
          <cell r="E1319">
            <v>4761.42</v>
          </cell>
        </row>
        <row r="1320">
          <cell r="A1320">
            <v>43983</v>
          </cell>
          <cell r="B1320">
            <v>243.5</v>
          </cell>
          <cell r="D1320">
            <v>43758</v>
          </cell>
          <cell r="E1320">
            <v>4782.09</v>
          </cell>
        </row>
        <row r="1321">
          <cell r="A1321">
            <v>43982</v>
          </cell>
          <cell r="B1321">
            <v>255.9</v>
          </cell>
          <cell r="D1321">
            <v>43755</v>
          </cell>
          <cell r="E1321">
            <v>4770.99</v>
          </cell>
        </row>
        <row r="1322">
          <cell r="A1322">
            <v>43919</v>
          </cell>
          <cell r="B1322">
            <v>238.8</v>
          </cell>
          <cell r="D1322">
            <v>43754</v>
          </cell>
          <cell r="E1322">
            <v>4781.62</v>
          </cell>
        </row>
        <row r="1323">
          <cell r="A1323">
            <v>43915</v>
          </cell>
          <cell r="B1323">
            <v>238.8</v>
          </cell>
          <cell r="D1323">
            <v>43753</v>
          </cell>
          <cell r="E1323">
            <v>4821.6400000000003</v>
          </cell>
        </row>
        <row r="1324">
          <cell r="A1324">
            <v>43914</v>
          </cell>
          <cell r="B1324">
            <v>238.8</v>
          </cell>
          <cell r="D1324">
            <v>43752</v>
          </cell>
          <cell r="E1324">
            <v>4711.3</v>
          </cell>
        </row>
        <row r="1325">
          <cell r="A1325">
            <v>43913</v>
          </cell>
          <cell r="B1325">
            <v>238.8</v>
          </cell>
          <cell r="D1325">
            <v>43751</v>
          </cell>
          <cell r="E1325">
            <v>4761.87</v>
          </cell>
        </row>
        <row r="1326">
          <cell r="A1326">
            <v>43912</v>
          </cell>
          <cell r="B1326">
            <v>238.8</v>
          </cell>
          <cell r="D1326">
            <v>43748</v>
          </cell>
          <cell r="E1326">
            <v>4810.21</v>
          </cell>
        </row>
        <row r="1327">
          <cell r="A1327">
            <v>43909</v>
          </cell>
          <cell r="B1327">
            <v>235.5</v>
          </cell>
          <cell r="D1327">
            <v>43747</v>
          </cell>
          <cell r="E1327">
            <v>4862.25</v>
          </cell>
        </row>
        <row r="1328">
          <cell r="A1328">
            <v>43908</v>
          </cell>
          <cell r="B1328">
            <v>219.5</v>
          </cell>
          <cell r="D1328">
            <v>43745</v>
          </cell>
          <cell r="E1328">
            <v>4894.3100000000004</v>
          </cell>
        </row>
        <row r="1329">
          <cell r="A1329">
            <v>43906</v>
          </cell>
          <cell r="B1329">
            <v>229.8</v>
          </cell>
          <cell r="D1329">
            <v>43744</v>
          </cell>
          <cell r="E1329">
            <v>4916.68</v>
          </cell>
        </row>
        <row r="1330">
          <cell r="A1330">
            <v>43905</v>
          </cell>
          <cell r="B1330">
            <v>241.2</v>
          </cell>
          <cell r="D1330">
            <v>43741</v>
          </cell>
          <cell r="E1330">
            <v>4937.82</v>
          </cell>
        </row>
        <row r="1331">
          <cell r="A1331">
            <v>43902</v>
          </cell>
          <cell r="B1331">
            <v>248</v>
          </cell>
          <cell r="D1331">
            <v>43740</v>
          </cell>
          <cell r="E1331">
            <v>4936.37</v>
          </cell>
        </row>
        <row r="1332">
          <cell r="A1332">
            <v>43901</v>
          </cell>
          <cell r="B1332">
            <v>255.5</v>
          </cell>
          <cell r="D1332">
            <v>43739</v>
          </cell>
          <cell r="E1332">
            <v>4949.3900000000003</v>
          </cell>
        </row>
        <row r="1333">
          <cell r="A1333">
            <v>43900</v>
          </cell>
          <cell r="B1333">
            <v>253.3</v>
          </cell>
          <cell r="D1333">
            <v>43738</v>
          </cell>
          <cell r="E1333">
            <v>4947.63</v>
          </cell>
        </row>
        <row r="1334">
          <cell r="A1334">
            <v>43899</v>
          </cell>
          <cell r="B1334">
            <v>250.1</v>
          </cell>
          <cell r="D1334">
            <v>43737</v>
          </cell>
          <cell r="E1334">
            <v>4975.7299999999996</v>
          </cell>
        </row>
        <row r="1335">
          <cell r="A1335">
            <v>43898</v>
          </cell>
          <cell r="B1335">
            <v>265.7</v>
          </cell>
          <cell r="D1335">
            <v>43734</v>
          </cell>
          <cell r="E1335">
            <v>4968.46</v>
          </cell>
        </row>
        <row r="1336">
          <cell r="A1336">
            <v>43895</v>
          </cell>
          <cell r="B1336">
            <v>263.8</v>
          </cell>
          <cell r="D1336">
            <v>43733</v>
          </cell>
          <cell r="E1336">
            <v>4951.7299999999996</v>
          </cell>
        </row>
        <row r="1337">
          <cell r="A1337">
            <v>43894</v>
          </cell>
          <cell r="B1337">
            <v>269.89999999999998</v>
          </cell>
          <cell r="D1337">
            <v>43732</v>
          </cell>
          <cell r="E1337">
            <v>4958.72</v>
          </cell>
        </row>
        <row r="1338">
          <cell r="A1338">
            <v>43893</v>
          </cell>
          <cell r="B1338">
            <v>268.5</v>
          </cell>
          <cell r="D1338">
            <v>43731</v>
          </cell>
          <cell r="E1338">
            <v>5000.2299999999996</v>
          </cell>
        </row>
        <row r="1339">
          <cell r="A1339">
            <v>43892</v>
          </cell>
          <cell r="B1339">
            <v>271.39999999999998</v>
          </cell>
          <cell r="D1339">
            <v>43730</v>
          </cell>
          <cell r="E1339">
            <v>4920.96</v>
          </cell>
        </row>
        <row r="1340">
          <cell r="A1340">
            <v>43891</v>
          </cell>
          <cell r="B1340">
            <v>270.5</v>
          </cell>
          <cell r="D1340">
            <v>43727</v>
          </cell>
          <cell r="E1340">
            <v>4855.9799999999996</v>
          </cell>
        </row>
        <row r="1341">
          <cell r="A1341">
            <v>43888</v>
          </cell>
          <cell r="B1341">
            <v>274.39999999999998</v>
          </cell>
          <cell r="D1341">
            <v>43726</v>
          </cell>
          <cell r="E1341">
            <v>4888.01</v>
          </cell>
        </row>
        <row r="1342">
          <cell r="A1342">
            <v>43887</v>
          </cell>
          <cell r="B1342">
            <v>288.10000000000002</v>
          </cell>
          <cell r="D1342">
            <v>43725</v>
          </cell>
          <cell r="E1342">
            <v>4928.9799999999996</v>
          </cell>
        </row>
        <row r="1343">
          <cell r="A1343">
            <v>43886</v>
          </cell>
          <cell r="B1343">
            <v>292.39999999999998</v>
          </cell>
          <cell r="D1343">
            <v>43724</v>
          </cell>
          <cell r="E1343">
            <v>4959.7299999999996</v>
          </cell>
        </row>
        <row r="1344">
          <cell r="A1344">
            <v>43885</v>
          </cell>
          <cell r="B1344">
            <v>298.39999999999998</v>
          </cell>
          <cell r="D1344">
            <v>43723</v>
          </cell>
          <cell r="E1344">
            <v>4942.2299999999996</v>
          </cell>
        </row>
        <row r="1345">
          <cell r="A1345">
            <v>43884</v>
          </cell>
          <cell r="B1345">
            <v>319.60000000000002</v>
          </cell>
          <cell r="D1345">
            <v>43720</v>
          </cell>
          <cell r="E1345">
            <v>4933.8900000000003</v>
          </cell>
        </row>
        <row r="1346">
          <cell r="A1346">
            <v>43881</v>
          </cell>
          <cell r="B1346">
            <v>295.60000000000002</v>
          </cell>
          <cell r="D1346">
            <v>43719</v>
          </cell>
          <cell r="E1346">
            <v>4933.17</v>
          </cell>
        </row>
        <row r="1347">
          <cell r="A1347">
            <v>43880</v>
          </cell>
          <cell r="B1347">
            <v>284.89999999999998</v>
          </cell>
          <cell r="D1347">
            <v>43717</v>
          </cell>
          <cell r="E1347">
            <v>5008.96</v>
          </cell>
        </row>
        <row r="1348">
          <cell r="A1348">
            <v>43879</v>
          </cell>
          <cell r="B1348">
            <v>264.5</v>
          </cell>
          <cell r="D1348">
            <v>43716</v>
          </cell>
          <cell r="E1348">
            <v>5033.79</v>
          </cell>
        </row>
        <row r="1349">
          <cell r="A1349">
            <v>43877</v>
          </cell>
          <cell r="B1349">
            <v>262</v>
          </cell>
          <cell r="D1349">
            <v>43713</v>
          </cell>
          <cell r="E1349">
            <v>5013.01</v>
          </cell>
        </row>
        <row r="1350">
          <cell r="A1350">
            <v>43874</v>
          </cell>
          <cell r="B1350">
            <v>258.8</v>
          </cell>
          <cell r="D1350">
            <v>43712</v>
          </cell>
          <cell r="E1350">
            <v>4986.37</v>
          </cell>
        </row>
        <row r="1351">
          <cell r="A1351">
            <v>43873</v>
          </cell>
          <cell r="B1351">
            <v>258.39999999999998</v>
          </cell>
          <cell r="D1351">
            <v>43711</v>
          </cell>
          <cell r="E1351">
            <v>5007.05</v>
          </cell>
        </row>
        <row r="1352">
          <cell r="A1352">
            <v>43872</v>
          </cell>
          <cell r="B1352">
            <v>260.89999999999998</v>
          </cell>
          <cell r="D1352">
            <v>43710</v>
          </cell>
          <cell r="E1352">
            <v>5033.53</v>
          </cell>
        </row>
        <row r="1353">
          <cell r="A1353">
            <v>43871</v>
          </cell>
          <cell r="B1353">
            <v>256.2</v>
          </cell>
          <cell r="D1353">
            <v>43709</v>
          </cell>
          <cell r="E1353">
            <v>5070.68</v>
          </cell>
        </row>
        <row r="1354">
          <cell r="A1354">
            <v>43870</v>
          </cell>
          <cell r="B1354">
            <v>258.5</v>
          </cell>
          <cell r="D1354">
            <v>43706</v>
          </cell>
          <cell r="E1354">
            <v>5095.7700000000004</v>
          </cell>
        </row>
        <row r="1355">
          <cell r="A1355">
            <v>43867</v>
          </cell>
          <cell r="B1355">
            <v>260.7</v>
          </cell>
          <cell r="D1355">
            <v>43705</v>
          </cell>
          <cell r="E1355">
            <v>5139.99</v>
          </cell>
        </row>
        <row r="1356">
          <cell r="A1356">
            <v>43866</v>
          </cell>
          <cell r="B1356">
            <v>262.8</v>
          </cell>
          <cell r="D1356">
            <v>43704</v>
          </cell>
          <cell r="E1356">
            <v>5178.7</v>
          </cell>
        </row>
        <row r="1357">
          <cell r="A1357">
            <v>43865</v>
          </cell>
          <cell r="B1357">
            <v>268.2</v>
          </cell>
          <cell r="D1357">
            <v>43703</v>
          </cell>
          <cell r="E1357">
            <v>5165.76</v>
          </cell>
        </row>
        <row r="1358">
          <cell r="A1358">
            <v>43864</v>
          </cell>
          <cell r="B1358">
            <v>272.7</v>
          </cell>
          <cell r="D1358">
            <v>43702</v>
          </cell>
          <cell r="E1358">
            <v>5223.72</v>
          </cell>
        </row>
        <row r="1359">
          <cell r="A1359">
            <v>43863</v>
          </cell>
          <cell r="B1359">
            <v>257.60000000000002</v>
          </cell>
          <cell r="D1359">
            <v>43699</v>
          </cell>
          <cell r="E1359">
            <v>5236.8500000000004</v>
          </cell>
        </row>
        <row r="1360">
          <cell r="A1360">
            <v>43860</v>
          </cell>
          <cell r="B1360">
            <v>257.8</v>
          </cell>
          <cell r="D1360">
            <v>43698</v>
          </cell>
          <cell r="E1360">
            <v>5223.41</v>
          </cell>
        </row>
        <row r="1361">
          <cell r="A1361">
            <v>43859</v>
          </cell>
          <cell r="B1361">
            <v>261.10000000000002</v>
          </cell>
          <cell r="D1361">
            <v>43697</v>
          </cell>
          <cell r="E1361">
            <v>5227.49</v>
          </cell>
        </row>
        <row r="1362">
          <cell r="A1362">
            <v>43858</v>
          </cell>
          <cell r="B1362">
            <v>266.39999999999998</v>
          </cell>
          <cell r="D1362">
            <v>43696</v>
          </cell>
          <cell r="E1362">
            <v>5227.26</v>
          </cell>
        </row>
        <row r="1363">
          <cell r="A1363">
            <v>43857</v>
          </cell>
          <cell r="B1363">
            <v>271.39999999999998</v>
          </cell>
          <cell r="D1363">
            <v>43695</v>
          </cell>
          <cell r="E1363">
            <v>5216.53</v>
          </cell>
        </row>
        <row r="1364">
          <cell r="A1364">
            <v>43856</v>
          </cell>
          <cell r="B1364">
            <v>267.39999999999998</v>
          </cell>
          <cell r="D1364">
            <v>43685</v>
          </cell>
          <cell r="E1364">
            <v>5201.42</v>
          </cell>
        </row>
        <row r="1365">
          <cell r="A1365">
            <v>43853</v>
          </cell>
          <cell r="B1365">
            <v>272</v>
          </cell>
          <cell r="D1365">
            <v>43684</v>
          </cell>
          <cell r="E1365">
            <v>5187.2</v>
          </cell>
        </row>
        <row r="1366">
          <cell r="A1366">
            <v>43852</v>
          </cell>
          <cell r="B1366">
            <v>269.3</v>
          </cell>
          <cell r="D1366">
            <v>43683</v>
          </cell>
          <cell r="E1366">
            <v>5187.29</v>
          </cell>
        </row>
        <row r="1367">
          <cell r="A1367">
            <v>43851</v>
          </cell>
          <cell r="B1367">
            <v>272.8</v>
          </cell>
          <cell r="D1367">
            <v>43682</v>
          </cell>
          <cell r="E1367">
            <v>5160.37</v>
          </cell>
        </row>
        <row r="1368">
          <cell r="A1368">
            <v>43850</v>
          </cell>
          <cell r="B1368">
            <v>278.60000000000002</v>
          </cell>
          <cell r="D1368">
            <v>43681</v>
          </cell>
          <cell r="E1368">
            <v>5172.8599999999997</v>
          </cell>
        </row>
        <row r="1369">
          <cell r="A1369">
            <v>43849</v>
          </cell>
          <cell r="B1369">
            <v>263.3</v>
          </cell>
          <cell r="D1369">
            <v>43678</v>
          </cell>
          <cell r="E1369">
            <v>5169.7299999999996</v>
          </cell>
        </row>
        <row r="1370">
          <cell r="A1370">
            <v>43846</v>
          </cell>
          <cell r="B1370">
            <v>242.2</v>
          </cell>
          <cell r="D1370">
            <v>43677</v>
          </cell>
          <cell r="E1370">
            <v>5138.79</v>
          </cell>
        </row>
        <row r="1371">
          <cell r="A1371">
            <v>43845</v>
          </cell>
          <cell r="B1371">
            <v>231.4</v>
          </cell>
          <cell r="D1371">
            <v>43676</v>
          </cell>
          <cell r="E1371">
            <v>5125.0200000000004</v>
          </cell>
        </row>
        <row r="1372">
          <cell r="A1372">
            <v>43844</v>
          </cell>
          <cell r="B1372">
            <v>234.2</v>
          </cell>
          <cell r="D1372">
            <v>43675</v>
          </cell>
          <cell r="E1372">
            <v>5160.74</v>
          </cell>
        </row>
        <row r="1373">
          <cell r="A1373">
            <v>43843</v>
          </cell>
          <cell r="B1373">
            <v>241.2</v>
          </cell>
          <cell r="D1373">
            <v>43674</v>
          </cell>
          <cell r="E1373">
            <v>5133.93</v>
          </cell>
        </row>
        <row r="1374">
          <cell r="A1374">
            <v>43842</v>
          </cell>
          <cell r="B1374">
            <v>253</v>
          </cell>
          <cell r="D1374">
            <v>43671</v>
          </cell>
          <cell r="E1374">
            <v>5133.25</v>
          </cell>
        </row>
        <row r="1375">
          <cell r="A1375">
            <v>43839</v>
          </cell>
          <cell r="B1375">
            <v>250.8</v>
          </cell>
          <cell r="D1375">
            <v>43670</v>
          </cell>
          <cell r="E1375">
            <v>5077.28</v>
          </cell>
        </row>
        <row r="1376">
          <cell r="A1376">
            <v>43838</v>
          </cell>
          <cell r="B1376">
            <v>259.7</v>
          </cell>
          <cell r="D1376">
            <v>43669</v>
          </cell>
          <cell r="E1376">
            <v>5077.75</v>
          </cell>
        </row>
        <row r="1377">
          <cell r="A1377">
            <v>43837</v>
          </cell>
          <cell r="B1377">
            <v>272</v>
          </cell>
          <cell r="D1377">
            <v>43668</v>
          </cell>
          <cell r="E1377">
            <v>4966.4399999999996</v>
          </cell>
        </row>
        <row r="1378">
          <cell r="A1378">
            <v>43836</v>
          </cell>
          <cell r="B1378">
            <v>275</v>
          </cell>
          <cell r="D1378">
            <v>43667</v>
          </cell>
          <cell r="E1378">
            <v>5033.74</v>
          </cell>
        </row>
        <row r="1379">
          <cell r="A1379">
            <v>43835</v>
          </cell>
          <cell r="B1379">
            <v>282.39999999999998</v>
          </cell>
          <cell r="D1379">
            <v>43664</v>
          </cell>
          <cell r="E1379">
            <v>5130.6899999999996</v>
          </cell>
        </row>
        <row r="1380">
          <cell r="A1380">
            <v>43832</v>
          </cell>
          <cell r="B1380">
            <v>282.89999999999998</v>
          </cell>
          <cell r="D1380">
            <v>43663</v>
          </cell>
          <cell r="E1380">
            <v>5133.13</v>
          </cell>
        </row>
        <row r="1381">
          <cell r="A1381">
            <v>43831</v>
          </cell>
          <cell r="B1381">
            <v>281.39999999999998</v>
          </cell>
          <cell r="D1381">
            <v>43662</v>
          </cell>
          <cell r="E1381">
            <v>5124.4399999999996</v>
          </cell>
        </row>
        <row r="1382">
          <cell r="A1382">
            <v>43829</v>
          </cell>
          <cell r="B1382">
            <v>285.8</v>
          </cell>
          <cell r="D1382">
            <v>43661</v>
          </cell>
          <cell r="E1382">
            <v>5091.4799999999996</v>
          </cell>
        </row>
        <row r="1383">
          <cell r="A1383">
            <v>43828</v>
          </cell>
          <cell r="B1383">
            <v>285.8</v>
          </cell>
          <cell r="D1383">
            <v>43660</v>
          </cell>
          <cell r="E1383">
            <v>5179.49</v>
          </cell>
        </row>
        <row r="1384">
          <cell r="A1384">
            <v>43825</v>
          </cell>
          <cell r="B1384">
            <v>286.89999999999998</v>
          </cell>
          <cell r="D1384">
            <v>43657</v>
          </cell>
          <cell r="E1384">
            <v>5222.3</v>
          </cell>
        </row>
        <row r="1385">
          <cell r="A1385">
            <v>43823</v>
          </cell>
          <cell r="B1385">
            <v>287.2</v>
          </cell>
          <cell r="D1385">
            <v>43656</v>
          </cell>
          <cell r="E1385">
            <v>5230.63</v>
          </cell>
        </row>
        <row r="1386">
          <cell r="A1386">
            <v>43822</v>
          </cell>
          <cell r="B1386">
            <v>288.8</v>
          </cell>
          <cell r="D1386">
            <v>43655</v>
          </cell>
          <cell r="E1386">
            <v>5280.04</v>
          </cell>
        </row>
        <row r="1387">
          <cell r="A1387">
            <v>43821</v>
          </cell>
          <cell r="B1387">
            <v>284.2</v>
          </cell>
          <cell r="D1387">
            <v>43654</v>
          </cell>
          <cell r="E1387">
            <v>5318.61</v>
          </cell>
        </row>
        <row r="1388">
          <cell r="A1388">
            <v>43818</v>
          </cell>
          <cell r="B1388">
            <v>293.3</v>
          </cell>
          <cell r="D1388">
            <v>43653</v>
          </cell>
          <cell r="E1388">
            <v>5333.08</v>
          </cell>
        </row>
        <row r="1389">
          <cell r="A1389">
            <v>43817</v>
          </cell>
          <cell r="B1389">
            <v>290</v>
          </cell>
          <cell r="D1389">
            <v>43650</v>
          </cell>
          <cell r="E1389">
            <v>5380.79</v>
          </cell>
        </row>
        <row r="1390">
          <cell r="A1390">
            <v>43816</v>
          </cell>
          <cell r="B1390">
            <v>291.10000000000002</v>
          </cell>
          <cell r="D1390">
            <v>43649</v>
          </cell>
          <cell r="E1390">
            <v>5372.21</v>
          </cell>
        </row>
        <row r="1391">
          <cell r="A1391">
            <v>43814</v>
          </cell>
          <cell r="B1391">
            <v>300</v>
          </cell>
          <cell r="D1391">
            <v>43648</v>
          </cell>
          <cell r="E1391">
            <v>5384.92</v>
          </cell>
        </row>
        <row r="1392">
          <cell r="A1392">
            <v>43811</v>
          </cell>
          <cell r="B1392">
            <v>296.89999999999998</v>
          </cell>
          <cell r="D1392">
            <v>43646</v>
          </cell>
          <cell r="E1392">
            <v>5421.62</v>
          </cell>
        </row>
        <row r="1393">
          <cell r="A1393">
            <v>43810</v>
          </cell>
          <cell r="B1393">
            <v>299</v>
          </cell>
          <cell r="D1393">
            <v>43643</v>
          </cell>
          <cell r="E1393">
            <v>5430.04</v>
          </cell>
        </row>
        <row r="1394">
          <cell r="A1394">
            <v>43809</v>
          </cell>
          <cell r="B1394">
            <v>299.10000000000002</v>
          </cell>
          <cell r="D1394">
            <v>43642</v>
          </cell>
          <cell r="E1394">
            <v>5410.7</v>
          </cell>
        </row>
        <row r="1395">
          <cell r="A1395">
            <v>43808</v>
          </cell>
          <cell r="B1395">
            <v>302.60000000000002</v>
          </cell>
          <cell r="D1395">
            <v>43641</v>
          </cell>
          <cell r="E1395">
            <v>5380.96</v>
          </cell>
        </row>
        <row r="1396">
          <cell r="A1396">
            <v>43807</v>
          </cell>
          <cell r="B1396">
            <v>305.89999999999998</v>
          </cell>
          <cell r="D1396">
            <v>43640</v>
          </cell>
          <cell r="E1396">
            <v>5386.87</v>
          </cell>
        </row>
        <row r="1397">
          <cell r="A1397">
            <v>43804</v>
          </cell>
          <cell r="B1397">
            <v>307.39999999999998</v>
          </cell>
          <cell r="D1397">
            <v>43639</v>
          </cell>
          <cell r="E1397">
            <v>5383.89</v>
          </cell>
        </row>
        <row r="1398">
          <cell r="A1398">
            <v>43803</v>
          </cell>
          <cell r="B1398">
            <v>307</v>
          </cell>
          <cell r="D1398">
            <v>43636</v>
          </cell>
          <cell r="E1398">
            <v>5395.62</v>
          </cell>
        </row>
        <row r="1399">
          <cell r="A1399">
            <v>43802</v>
          </cell>
          <cell r="B1399">
            <v>307.3</v>
          </cell>
          <cell r="D1399">
            <v>43635</v>
          </cell>
          <cell r="E1399">
            <v>5411.4</v>
          </cell>
        </row>
        <row r="1400">
          <cell r="A1400">
            <v>43801</v>
          </cell>
          <cell r="B1400">
            <v>311.2</v>
          </cell>
          <cell r="D1400">
            <v>43634</v>
          </cell>
          <cell r="E1400">
            <v>5400.23</v>
          </cell>
        </row>
        <row r="1401">
          <cell r="A1401">
            <v>43800</v>
          </cell>
          <cell r="B1401">
            <v>311.39999999999998</v>
          </cell>
          <cell r="D1401">
            <v>43633</v>
          </cell>
          <cell r="E1401">
            <v>5375.29</v>
          </cell>
        </row>
        <row r="1402">
          <cell r="A1402">
            <v>43797</v>
          </cell>
          <cell r="B1402">
            <v>318.2</v>
          </cell>
          <cell r="D1402">
            <v>43632</v>
          </cell>
          <cell r="E1402">
            <v>5430.83</v>
          </cell>
        </row>
        <row r="1403">
          <cell r="A1403">
            <v>43796</v>
          </cell>
          <cell r="B1403">
            <v>319.89999999999998</v>
          </cell>
          <cell r="D1403">
            <v>43629</v>
          </cell>
          <cell r="E1403">
            <v>5474.3</v>
          </cell>
        </row>
        <row r="1404">
          <cell r="A1404">
            <v>43795</v>
          </cell>
          <cell r="B1404">
            <v>306.2</v>
          </cell>
          <cell r="D1404">
            <v>43628</v>
          </cell>
          <cell r="E1404">
            <v>5469.63</v>
          </cell>
        </row>
        <row r="1405">
          <cell r="A1405">
            <v>43794</v>
          </cell>
          <cell r="B1405">
            <v>307.8</v>
          </cell>
          <cell r="D1405">
            <v>43627</v>
          </cell>
          <cell r="E1405">
            <v>5475.98</v>
          </cell>
        </row>
        <row r="1406">
          <cell r="A1406">
            <v>43793</v>
          </cell>
          <cell r="B1406">
            <v>312</v>
          </cell>
          <cell r="D1406">
            <v>43626</v>
          </cell>
          <cell r="E1406">
            <v>5431.59</v>
          </cell>
        </row>
        <row r="1407">
          <cell r="A1407">
            <v>43790</v>
          </cell>
          <cell r="B1407">
            <v>329.5</v>
          </cell>
          <cell r="D1407">
            <v>43625</v>
          </cell>
          <cell r="E1407">
            <v>5402.96</v>
          </cell>
        </row>
        <row r="1408">
          <cell r="A1408">
            <v>43789</v>
          </cell>
          <cell r="B1408">
            <v>323.10000000000002</v>
          </cell>
          <cell r="D1408">
            <v>43615</v>
          </cell>
          <cell r="E1408">
            <v>5377.74</v>
          </cell>
        </row>
        <row r="1409">
          <cell r="A1409">
            <v>43788</v>
          </cell>
          <cell r="B1409">
            <v>323</v>
          </cell>
          <cell r="D1409">
            <v>43614</v>
          </cell>
          <cell r="E1409">
            <v>5354.19</v>
          </cell>
        </row>
        <row r="1410">
          <cell r="A1410">
            <v>43787</v>
          </cell>
          <cell r="B1410">
            <v>310.5</v>
          </cell>
          <cell r="D1410">
            <v>43613</v>
          </cell>
          <cell r="E1410">
            <v>5328.76</v>
          </cell>
        </row>
        <row r="1411">
          <cell r="A1411">
            <v>43786</v>
          </cell>
          <cell r="B1411">
            <v>310.10000000000002</v>
          </cell>
          <cell r="D1411">
            <v>43612</v>
          </cell>
          <cell r="E1411">
            <v>5253.54</v>
          </cell>
        </row>
        <row r="1412">
          <cell r="A1412">
            <v>43783</v>
          </cell>
          <cell r="B1412">
            <v>306.2</v>
          </cell>
          <cell r="D1412">
            <v>43611</v>
          </cell>
          <cell r="E1412">
            <v>5253.32</v>
          </cell>
        </row>
        <row r="1413">
          <cell r="A1413">
            <v>43782</v>
          </cell>
          <cell r="B1413">
            <v>310.10000000000002</v>
          </cell>
          <cell r="D1413">
            <v>43608</v>
          </cell>
          <cell r="E1413">
            <v>5250.59</v>
          </cell>
        </row>
        <row r="1414">
          <cell r="A1414">
            <v>43781</v>
          </cell>
          <cell r="B1414">
            <v>315.10000000000002</v>
          </cell>
          <cell r="D1414">
            <v>43607</v>
          </cell>
          <cell r="E1414">
            <v>5250.94</v>
          </cell>
        </row>
        <row r="1415">
          <cell r="A1415">
            <v>43780</v>
          </cell>
          <cell r="B1415">
            <v>313.89999999999998</v>
          </cell>
          <cell r="D1415">
            <v>43606</v>
          </cell>
          <cell r="E1415">
            <v>5236.84</v>
          </cell>
        </row>
        <row r="1416">
          <cell r="A1416">
            <v>43776</v>
          </cell>
          <cell r="B1416">
            <v>313.3</v>
          </cell>
          <cell r="D1416">
            <v>43605</v>
          </cell>
          <cell r="E1416">
            <v>5276.14</v>
          </cell>
        </row>
        <row r="1417">
          <cell r="A1417">
            <v>43775</v>
          </cell>
          <cell r="B1417">
            <v>312.89999999999998</v>
          </cell>
          <cell r="D1417">
            <v>43604</v>
          </cell>
          <cell r="E1417">
            <v>5335.7</v>
          </cell>
        </row>
        <row r="1418">
          <cell r="A1418">
            <v>43774</v>
          </cell>
          <cell r="B1418">
            <v>313.10000000000002</v>
          </cell>
          <cell r="D1418">
            <v>43601</v>
          </cell>
          <cell r="E1418">
            <v>5230.78</v>
          </cell>
        </row>
        <row r="1419">
          <cell r="A1419">
            <v>43773</v>
          </cell>
          <cell r="B1419">
            <v>314.5</v>
          </cell>
          <cell r="D1419">
            <v>43600</v>
          </cell>
          <cell r="E1419">
            <v>5196.03</v>
          </cell>
        </row>
        <row r="1420">
          <cell r="A1420">
            <v>43772</v>
          </cell>
          <cell r="B1420">
            <v>316.5</v>
          </cell>
          <cell r="D1420">
            <v>43599</v>
          </cell>
          <cell r="E1420">
            <v>5217.91</v>
          </cell>
        </row>
        <row r="1421">
          <cell r="A1421">
            <v>43769</v>
          </cell>
          <cell r="B1421">
            <v>317.5</v>
          </cell>
          <cell r="D1421">
            <v>43598</v>
          </cell>
          <cell r="E1421">
            <v>5247.82</v>
          </cell>
        </row>
        <row r="1422">
          <cell r="A1422">
            <v>43768</v>
          </cell>
          <cell r="B1422">
            <v>319.60000000000002</v>
          </cell>
          <cell r="D1422">
            <v>43597</v>
          </cell>
          <cell r="E1422">
            <v>5273.92</v>
          </cell>
        </row>
        <row r="1423">
          <cell r="A1423">
            <v>43767</v>
          </cell>
          <cell r="B1423">
            <v>322.10000000000002</v>
          </cell>
          <cell r="D1423">
            <v>43594</v>
          </cell>
          <cell r="E1423">
            <v>5275.83</v>
          </cell>
        </row>
        <row r="1424">
          <cell r="A1424">
            <v>43766</v>
          </cell>
          <cell r="B1424">
            <v>322.8</v>
          </cell>
          <cell r="D1424">
            <v>43593</v>
          </cell>
          <cell r="E1424">
            <v>5272.38</v>
          </cell>
        </row>
        <row r="1425">
          <cell r="A1425">
            <v>43765</v>
          </cell>
          <cell r="B1425">
            <v>324.39999999999998</v>
          </cell>
          <cell r="D1425">
            <v>43592</v>
          </cell>
          <cell r="E1425">
            <v>5289.99</v>
          </cell>
        </row>
        <row r="1426">
          <cell r="A1426">
            <v>43762</v>
          </cell>
          <cell r="B1426">
            <v>327.60000000000002</v>
          </cell>
          <cell r="D1426">
            <v>43591</v>
          </cell>
          <cell r="E1426">
            <v>5342.08</v>
          </cell>
        </row>
        <row r="1427">
          <cell r="A1427">
            <v>43761</v>
          </cell>
          <cell r="B1427">
            <v>322.7</v>
          </cell>
          <cell r="D1427">
            <v>43590</v>
          </cell>
          <cell r="E1427">
            <v>5394.9</v>
          </cell>
        </row>
        <row r="1428">
          <cell r="A1428">
            <v>43760</v>
          </cell>
          <cell r="B1428">
            <v>321.60000000000002</v>
          </cell>
          <cell r="D1428">
            <v>43587</v>
          </cell>
          <cell r="E1428">
            <v>5286.75</v>
          </cell>
        </row>
        <row r="1429">
          <cell r="A1429">
            <v>43759</v>
          </cell>
          <cell r="B1429">
            <v>315.39999999999998</v>
          </cell>
          <cell r="D1429">
            <v>43585</v>
          </cell>
          <cell r="E1429">
            <v>5202.8500000000004</v>
          </cell>
        </row>
        <row r="1430">
          <cell r="A1430">
            <v>43758</v>
          </cell>
          <cell r="B1430">
            <v>318.7</v>
          </cell>
          <cell r="D1430">
            <v>43584</v>
          </cell>
          <cell r="E1430">
            <v>5175.46</v>
          </cell>
        </row>
        <row r="1431">
          <cell r="A1431">
            <v>43755</v>
          </cell>
          <cell r="B1431">
            <v>317.8</v>
          </cell>
          <cell r="D1431">
            <v>43583</v>
          </cell>
          <cell r="E1431">
            <v>5238.1899999999996</v>
          </cell>
        </row>
        <row r="1432">
          <cell r="A1432">
            <v>43754</v>
          </cell>
          <cell r="B1432">
            <v>328.1</v>
          </cell>
          <cell r="D1432">
            <v>43580</v>
          </cell>
          <cell r="E1432">
            <v>5266.17</v>
          </cell>
        </row>
        <row r="1433">
          <cell r="A1433">
            <v>43753</v>
          </cell>
          <cell r="B1433">
            <v>332.1</v>
          </cell>
          <cell r="D1433">
            <v>43579</v>
          </cell>
          <cell r="E1433">
            <v>5240.3599999999997</v>
          </cell>
        </row>
        <row r="1434">
          <cell r="A1434">
            <v>43752</v>
          </cell>
          <cell r="B1434">
            <v>316.5</v>
          </cell>
          <cell r="D1434">
            <v>43578</v>
          </cell>
          <cell r="E1434">
            <v>5260.85</v>
          </cell>
        </row>
        <row r="1435">
          <cell r="A1435">
            <v>43751</v>
          </cell>
          <cell r="B1435">
            <v>325.39999999999998</v>
          </cell>
          <cell r="D1435">
            <v>43576</v>
          </cell>
          <cell r="E1435">
            <v>5323.73</v>
          </cell>
        </row>
        <row r="1436">
          <cell r="A1436">
            <v>43748</v>
          </cell>
          <cell r="B1436">
            <v>333</v>
          </cell>
          <cell r="D1436">
            <v>43573</v>
          </cell>
          <cell r="E1436">
            <v>5321.41</v>
          </cell>
        </row>
        <row r="1437">
          <cell r="A1437">
            <v>43747</v>
          </cell>
          <cell r="B1437">
            <v>336</v>
          </cell>
          <cell r="D1437">
            <v>43572</v>
          </cell>
          <cell r="E1437">
            <v>5259.41</v>
          </cell>
        </row>
        <row r="1438">
          <cell r="A1438">
            <v>43745</v>
          </cell>
          <cell r="B1438">
            <v>340.9</v>
          </cell>
          <cell r="D1438">
            <v>43571</v>
          </cell>
          <cell r="E1438">
            <v>5248.91</v>
          </cell>
        </row>
        <row r="1439">
          <cell r="A1439">
            <v>43744</v>
          </cell>
          <cell r="B1439">
            <v>345.1</v>
          </cell>
          <cell r="D1439">
            <v>43570</v>
          </cell>
          <cell r="E1439">
            <v>5309.47</v>
          </cell>
        </row>
        <row r="1440">
          <cell r="A1440">
            <v>43741</v>
          </cell>
          <cell r="B1440">
            <v>345.1</v>
          </cell>
          <cell r="D1440">
            <v>43566</v>
          </cell>
          <cell r="E1440">
            <v>5326.39</v>
          </cell>
        </row>
        <row r="1441">
          <cell r="A1441">
            <v>43740</v>
          </cell>
          <cell r="B1441">
            <v>344.7</v>
          </cell>
          <cell r="D1441">
            <v>43565</v>
          </cell>
          <cell r="E1441">
            <v>5261.6</v>
          </cell>
        </row>
        <row r="1442">
          <cell r="A1442">
            <v>43739</v>
          </cell>
          <cell r="B1442">
            <v>348.9</v>
          </cell>
          <cell r="D1442">
            <v>43564</v>
          </cell>
          <cell r="E1442">
            <v>5318.75</v>
          </cell>
        </row>
        <row r="1443">
          <cell r="A1443">
            <v>43738</v>
          </cell>
          <cell r="B1443">
            <v>352.4</v>
          </cell>
          <cell r="D1443">
            <v>43563</v>
          </cell>
          <cell r="E1443">
            <v>5372.23</v>
          </cell>
        </row>
        <row r="1444">
          <cell r="A1444">
            <v>43737</v>
          </cell>
          <cell r="B1444">
            <v>356.9</v>
          </cell>
          <cell r="D1444">
            <v>43562</v>
          </cell>
          <cell r="E1444">
            <v>5433.89</v>
          </cell>
        </row>
        <row r="1445">
          <cell r="A1445">
            <v>43734</v>
          </cell>
          <cell r="B1445">
            <v>359.4</v>
          </cell>
          <cell r="D1445">
            <v>43559</v>
          </cell>
          <cell r="E1445">
            <v>5459.91</v>
          </cell>
        </row>
        <row r="1446">
          <cell r="A1446">
            <v>43733</v>
          </cell>
          <cell r="B1446">
            <v>355.1</v>
          </cell>
          <cell r="D1446">
            <v>43558</v>
          </cell>
          <cell r="E1446">
            <v>5452.19</v>
          </cell>
        </row>
        <row r="1447">
          <cell r="A1447">
            <v>43732</v>
          </cell>
          <cell r="B1447">
            <v>358.4</v>
          </cell>
          <cell r="D1447">
            <v>43557</v>
          </cell>
          <cell r="E1447">
            <v>5522.17</v>
          </cell>
        </row>
        <row r="1448">
          <cell r="A1448">
            <v>43731</v>
          </cell>
          <cell r="B1448">
            <v>362.8</v>
          </cell>
          <cell r="D1448">
            <v>43556</v>
          </cell>
          <cell r="E1448">
            <v>5503.08</v>
          </cell>
        </row>
        <row r="1449">
          <cell r="A1449">
            <v>43730</v>
          </cell>
          <cell r="B1449">
            <v>360.5</v>
          </cell>
          <cell r="D1449">
            <v>43555</v>
          </cell>
          <cell r="E1449">
            <v>5491.9</v>
          </cell>
        </row>
        <row r="1450">
          <cell r="A1450">
            <v>43727</v>
          </cell>
          <cell r="B1450">
            <v>335.3</v>
          </cell>
          <cell r="D1450">
            <v>43552</v>
          </cell>
          <cell r="E1450">
            <v>5505.49</v>
          </cell>
        </row>
        <row r="1451">
          <cell r="A1451">
            <v>43726</v>
          </cell>
          <cell r="B1451">
            <v>308.39999999999998</v>
          </cell>
          <cell r="D1451">
            <v>43551</v>
          </cell>
          <cell r="E1451">
            <v>5502.48</v>
          </cell>
        </row>
        <row r="1452">
          <cell r="A1452">
            <v>43725</v>
          </cell>
          <cell r="B1452">
            <v>312.60000000000002</v>
          </cell>
          <cell r="D1452">
            <v>43549</v>
          </cell>
          <cell r="E1452">
            <v>5530.07</v>
          </cell>
        </row>
        <row r="1453">
          <cell r="A1453">
            <v>43724</v>
          </cell>
          <cell r="B1453">
            <v>308.2</v>
          </cell>
          <cell r="D1453">
            <v>43548</v>
          </cell>
          <cell r="E1453">
            <v>5512.07</v>
          </cell>
        </row>
        <row r="1454">
          <cell r="A1454">
            <v>43723</v>
          </cell>
          <cell r="B1454">
            <v>306.10000000000002</v>
          </cell>
          <cell r="D1454">
            <v>43545</v>
          </cell>
          <cell r="E1454">
            <v>5570.15</v>
          </cell>
        </row>
        <row r="1455">
          <cell r="A1455">
            <v>43720</v>
          </cell>
          <cell r="B1455">
            <v>304.10000000000002</v>
          </cell>
          <cell r="D1455">
            <v>43544</v>
          </cell>
          <cell r="E1455">
            <v>5600.55</v>
          </cell>
        </row>
        <row r="1456">
          <cell r="A1456">
            <v>43719</v>
          </cell>
          <cell r="B1456">
            <v>305.10000000000002</v>
          </cell>
          <cell r="D1456">
            <v>43543</v>
          </cell>
          <cell r="E1456">
            <v>5631.29</v>
          </cell>
        </row>
        <row r="1457">
          <cell r="A1457">
            <v>43717</v>
          </cell>
          <cell r="B1457">
            <v>308</v>
          </cell>
          <cell r="D1457">
            <v>43542</v>
          </cell>
          <cell r="E1457">
            <v>5604.9</v>
          </cell>
        </row>
        <row r="1458">
          <cell r="A1458">
            <v>43716</v>
          </cell>
          <cell r="B1458">
            <v>299.2</v>
          </cell>
          <cell r="D1458">
            <v>43538</v>
          </cell>
          <cell r="E1458">
            <v>5655.81</v>
          </cell>
        </row>
        <row r="1459">
          <cell r="A1459">
            <v>43713</v>
          </cell>
          <cell r="B1459">
            <v>295.5</v>
          </cell>
          <cell r="D1459">
            <v>43537</v>
          </cell>
          <cell r="E1459">
            <v>5653.21</v>
          </cell>
        </row>
        <row r="1460">
          <cell r="A1460">
            <v>43712</v>
          </cell>
          <cell r="B1460">
            <v>289.39999999999998</v>
          </cell>
          <cell r="D1460">
            <v>43536</v>
          </cell>
          <cell r="E1460">
            <v>5682.43</v>
          </cell>
        </row>
        <row r="1461">
          <cell r="A1461">
            <v>43711</v>
          </cell>
          <cell r="B1461">
            <v>294.7</v>
          </cell>
          <cell r="D1461">
            <v>43535</v>
          </cell>
          <cell r="E1461">
            <v>5690.82</v>
          </cell>
        </row>
        <row r="1462">
          <cell r="A1462">
            <v>43710</v>
          </cell>
          <cell r="B1462">
            <v>304.10000000000002</v>
          </cell>
          <cell r="D1462">
            <v>43534</v>
          </cell>
          <cell r="E1462">
            <v>5710.06</v>
          </cell>
        </row>
        <row r="1463">
          <cell r="A1463">
            <v>43709</v>
          </cell>
          <cell r="B1463">
            <v>310</v>
          </cell>
          <cell r="D1463">
            <v>43531</v>
          </cell>
          <cell r="E1463">
            <v>5688.45</v>
          </cell>
        </row>
        <row r="1464">
          <cell r="A1464">
            <v>43706</v>
          </cell>
          <cell r="B1464">
            <v>312</v>
          </cell>
          <cell r="D1464">
            <v>43530</v>
          </cell>
          <cell r="E1464">
            <v>5686.38</v>
          </cell>
        </row>
        <row r="1465">
          <cell r="A1465">
            <v>43705</v>
          </cell>
          <cell r="B1465">
            <v>316.8</v>
          </cell>
          <cell r="D1465">
            <v>43529</v>
          </cell>
          <cell r="E1465">
            <v>5687.48</v>
          </cell>
        </row>
        <row r="1466">
          <cell r="A1466">
            <v>43704</v>
          </cell>
          <cell r="B1466">
            <v>320.10000000000002</v>
          </cell>
          <cell r="D1466">
            <v>43528</v>
          </cell>
          <cell r="E1466">
            <v>5682.41</v>
          </cell>
        </row>
        <row r="1467">
          <cell r="A1467">
            <v>43703</v>
          </cell>
          <cell r="B1467">
            <v>313.5</v>
          </cell>
          <cell r="D1467">
            <v>43527</v>
          </cell>
          <cell r="E1467">
            <v>5723.07</v>
          </cell>
        </row>
        <row r="1468">
          <cell r="A1468">
            <v>43702</v>
          </cell>
          <cell r="B1468">
            <v>316.8</v>
          </cell>
          <cell r="D1468">
            <v>43524</v>
          </cell>
          <cell r="E1468">
            <v>5711.82</v>
          </cell>
        </row>
        <row r="1469">
          <cell r="A1469">
            <v>43699</v>
          </cell>
          <cell r="B1469">
            <v>319.7</v>
          </cell>
          <cell r="D1469">
            <v>43523</v>
          </cell>
          <cell r="E1469">
            <v>5711.82</v>
          </cell>
        </row>
        <row r="1470">
          <cell r="A1470">
            <v>43698</v>
          </cell>
          <cell r="B1470">
            <v>323.3</v>
          </cell>
          <cell r="D1470">
            <v>43522</v>
          </cell>
          <cell r="E1470">
            <v>5738.64</v>
          </cell>
        </row>
        <row r="1471">
          <cell r="A1471">
            <v>43697</v>
          </cell>
          <cell r="B1471">
            <v>326.60000000000002</v>
          </cell>
          <cell r="D1471">
            <v>43521</v>
          </cell>
          <cell r="E1471">
            <v>5755.79</v>
          </cell>
        </row>
        <row r="1472">
          <cell r="A1472">
            <v>43696</v>
          </cell>
          <cell r="B1472">
            <v>323.89999999999998</v>
          </cell>
          <cell r="D1472">
            <v>43520</v>
          </cell>
          <cell r="E1472">
            <v>5714.27</v>
          </cell>
        </row>
        <row r="1473">
          <cell r="A1473">
            <v>43695</v>
          </cell>
          <cell r="B1473">
            <v>317</v>
          </cell>
          <cell r="D1473">
            <v>43516</v>
          </cell>
          <cell r="E1473">
            <v>5745.83</v>
          </cell>
        </row>
        <row r="1474">
          <cell r="A1474">
            <v>43685</v>
          </cell>
          <cell r="B1474">
            <v>317.7</v>
          </cell>
          <cell r="D1474">
            <v>43515</v>
          </cell>
          <cell r="E1474">
            <v>5735.92</v>
          </cell>
        </row>
        <row r="1475">
          <cell r="A1475">
            <v>43684</v>
          </cell>
          <cell r="B1475">
            <v>318.8</v>
          </cell>
          <cell r="D1475">
            <v>43514</v>
          </cell>
          <cell r="E1475">
            <v>5724.52</v>
          </cell>
        </row>
        <row r="1476">
          <cell r="A1476">
            <v>43683</v>
          </cell>
          <cell r="B1476">
            <v>322.2</v>
          </cell>
          <cell r="D1476">
            <v>43513</v>
          </cell>
          <cell r="E1476">
            <v>5775.82</v>
          </cell>
        </row>
        <row r="1477">
          <cell r="A1477">
            <v>43682</v>
          </cell>
          <cell r="B1477">
            <v>321.39999999999998</v>
          </cell>
          <cell r="D1477">
            <v>43510</v>
          </cell>
          <cell r="E1477">
            <v>5750.29</v>
          </cell>
        </row>
        <row r="1478">
          <cell r="A1478">
            <v>43681</v>
          </cell>
          <cell r="B1478">
            <v>337.1</v>
          </cell>
          <cell r="D1478">
            <v>43509</v>
          </cell>
          <cell r="E1478">
            <v>5748.31</v>
          </cell>
        </row>
        <row r="1479">
          <cell r="A1479">
            <v>43678</v>
          </cell>
          <cell r="B1479">
            <v>337.1</v>
          </cell>
          <cell r="D1479">
            <v>43508</v>
          </cell>
          <cell r="E1479">
            <v>5731.95</v>
          </cell>
        </row>
        <row r="1480">
          <cell r="A1480">
            <v>43677</v>
          </cell>
          <cell r="B1480">
            <v>332.4</v>
          </cell>
          <cell r="D1480">
            <v>43507</v>
          </cell>
          <cell r="E1480">
            <v>5733.91</v>
          </cell>
        </row>
        <row r="1481">
          <cell r="A1481">
            <v>43676</v>
          </cell>
          <cell r="B1481">
            <v>325.7</v>
          </cell>
          <cell r="D1481">
            <v>43506</v>
          </cell>
          <cell r="E1481">
            <v>5763.73</v>
          </cell>
        </row>
        <row r="1482">
          <cell r="A1482">
            <v>43675</v>
          </cell>
          <cell r="B1482">
            <v>327.3</v>
          </cell>
          <cell r="D1482">
            <v>43503</v>
          </cell>
          <cell r="E1482">
            <v>5811.92</v>
          </cell>
        </row>
        <row r="1483">
          <cell r="A1483">
            <v>43674</v>
          </cell>
          <cell r="B1483">
            <v>324.8</v>
          </cell>
          <cell r="D1483">
            <v>43502</v>
          </cell>
          <cell r="E1483">
            <v>5786</v>
          </cell>
        </row>
        <row r="1484">
          <cell r="A1484">
            <v>43671</v>
          </cell>
          <cell r="B1484">
            <v>324.7</v>
          </cell>
          <cell r="D1484">
            <v>43501</v>
          </cell>
          <cell r="E1484">
            <v>5800.24</v>
          </cell>
        </row>
        <row r="1485">
          <cell r="A1485">
            <v>43670</v>
          </cell>
          <cell r="B1485">
            <v>320.39999999999998</v>
          </cell>
          <cell r="D1485">
            <v>43500</v>
          </cell>
          <cell r="E1485">
            <v>5828.07</v>
          </cell>
        </row>
        <row r="1486">
          <cell r="A1486">
            <v>43669</v>
          </cell>
          <cell r="B1486">
            <v>323.2</v>
          </cell>
          <cell r="D1486">
            <v>43499</v>
          </cell>
          <cell r="E1486">
            <v>5801.33</v>
          </cell>
        </row>
        <row r="1487">
          <cell r="A1487">
            <v>43668</v>
          </cell>
          <cell r="B1487">
            <v>322.5</v>
          </cell>
          <cell r="D1487">
            <v>43496</v>
          </cell>
          <cell r="E1487">
            <v>5821.01</v>
          </cell>
        </row>
        <row r="1488">
          <cell r="A1488">
            <v>43667</v>
          </cell>
          <cell r="B1488">
            <v>325.3</v>
          </cell>
          <cell r="D1488">
            <v>43495</v>
          </cell>
          <cell r="E1488">
            <v>5884.11</v>
          </cell>
        </row>
        <row r="1489">
          <cell r="A1489">
            <v>43664</v>
          </cell>
          <cell r="B1489">
            <v>330.3</v>
          </cell>
          <cell r="D1489">
            <v>43494</v>
          </cell>
          <cell r="E1489">
            <v>5924.53</v>
          </cell>
        </row>
        <row r="1490">
          <cell r="A1490">
            <v>43663</v>
          </cell>
          <cell r="B1490">
            <v>326</v>
          </cell>
          <cell r="D1490">
            <v>43493</v>
          </cell>
          <cell r="E1490">
            <v>5904.22</v>
          </cell>
        </row>
        <row r="1491">
          <cell r="A1491">
            <v>43662</v>
          </cell>
          <cell r="B1491">
            <v>328</v>
          </cell>
          <cell r="D1491">
            <v>43492</v>
          </cell>
          <cell r="E1491">
            <v>5939.45</v>
          </cell>
        </row>
        <row r="1492">
          <cell r="A1492">
            <v>43661</v>
          </cell>
          <cell r="B1492">
            <v>324.39999999999998</v>
          </cell>
          <cell r="D1492">
            <v>43489</v>
          </cell>
          <cell r="E1492">
            <v>5950.01</v>
          </cell>
        </row>
        <row r="1493">
          <cell r="A1493">
            <v>43660</v>
          </cell>
          <cell r="B1493">
            <v>344.7</v>
          </cell>
          <cell r="D1493">
            <v>43488</v>
          </cell>
          <cell r="E1493">
            <v>5925.24</v>
          </cell>
        </row>
        <row r="1494">
          <cell r="A1494">
            <v>43657</v>
          </cell>
          <cell r="B1494">
            <v>331.6</v>
          </cell>
          <cell r="D1494">
            <v>43487</v>
          </cell>
          <cell r="E1494">
            <v>5865.46</v>
          </cell>
        </row>
        <row r="1495">
          <cell r="A1495">
            <v>43656</v>
          </cell>
          <cell r="B1495">
            <v>334.1</v>
          </cell>
          <cell r="D1495">
            <v>43486</v>
          </cell>
          <cell r="E1495">
            <v>5859.3</v>
          </cell>
        </row>
        <row r="1496">
          <cell r="A1496">
            <v>43655</v>
          </cell>
          <cell r="B1496">
            <v>340.8</v>
          </cell>
          <cell r="D1496">
            <v>43485</v>
          </cell>
          <cell r="E1496">
            <v>5887.27</v>
          </cell>
        </row>
        <row r="1497">
          <cell r="A1497">
            <v>43654</v>
          </cell>
          <cell r="B1497">
            <v>345.2</v>
          </cell>
          <cell r="D1497">
            <v>43482</v>
          </cell>
          <cell r="E1497">
            <v>5825.57</v>
          </cell>
        </row>
        <row r="1498">
          <cell r="A1498">
            <v>43653</v>
          </cell>
          <cell r="B1498">
            <v>351.7</v>
          </cell>
          <cell r="D1498">
            <v>43481</v>
          </cell>
          <cell r="E1498">
            <v>5839.48</v>
          </cell>
        </row>
        <row r="1499">
          <cell r="A1499">
            <v>43650</v>
          </cell>
          <cell r="B1499">
            <v>359.8</v>
          </cell>
          <cell r="D1499">
            <v>43480</v>
          </cell>
          <cell r="E1499">
            <v>5863.27</v>
          </cell>
        </row>
        <row r="1500">
          <cell r="A1500">
            <v>43649</v>
          </cell>
          <cell r="B1500">
            <v>359.7</v>
          </cell>
          <cell r="D1500">
            <v>43479</v>
          </cell>
          <cell r="E1500">
            <v>5836.23</v>
          </cell>
        </row>
        <row r="1501">
          <cell r="A1501">
            <v>43648</v>
          </cell>
          <cell r="B1501">
            <v>360.3</v>
          </cell>
          <cell r="D1501">
            <v>43478</v>
          </cell>
          <cell r="E1501">
            <v>5860.21</v>
          </cell>
        </row>
        <row r="1502">
          <cell r="A1502">
            <v>43646</v>
          </cell>
          <cell r="B1502">
            <v>364.7</v>
          </cell>
          <cell r="D1502">
            <v>43475</v>
          </cell>
          <cell r="E1502">
            <v>5797.3</v>
          </cell>
        </row>
        <row r="1503">
          <cell r="A1503">
            <v>43643</v>
          </cell>
          <cell r="B1503">
            <v>365.1</v>
          </cell>
          <cell r="D1503">
            <v>43474</v>
          </cell>
          <cell r="E1503">
            <v>5798.59</v>
          </cell>
        </row>
        <row r="1504">
          <cell r="A1504">
            <v>43642</v>
          </cell>
          <cell r="B1504">
            <v>363.1</v>
          </cell>
          <cell r="D1504">
            <v>43473</v>
          </cell>
          <cell r="E1504">
            <v>5770.77</v>
          </cell>
        </row>
        <row r="1505">
          <cell r="A1505">
            <v>43641</v>
          </cell>
          <cell r="B1505">
            <v>358.9</v>
          </cell>
          <cell r="D1505">
            <v>43472</v>
          </cell>
          <cell r="E1505">
            <v>5655.18</v>
          </cell>
        </row>
        <row r="1506">
          <cell r="A1506">
            <v>43640</v>
          </cell>
          <cell r="B1506">
            <v>357.9</v>
          </cell>
          <cell r="D1506">
            <v>43471</v>
          </cell>
          <cell r="E1506">
            <v>5687</v>
          </cell>
        </row>
        <row r="1507">
          <cell r="A1507">
            <v>43639</v>
          </cell>
          <cell r="B1507">
            <v>360.2</v>
          </cell>
          <cell r="D1507">
            <v>43468</v>
          </cell>
          <cell r="E1507">
            <v>5590.47</v>
          </cell>
        </row>
        <row r="1508">
          <cell r="A1508">
            <v>43636</v>
          </cell>
          <cell r="B1508">
            <v>359.3</v>
          </cell>
          <cell r="D1508">
            <v>43467</v>
          </cell>
          <cell r="E1508">
            <v>5496.43</v>
          </cell>
        </row>
        <row r="1509">
          <cell r="A1509">
            <v>43635</v>
          </cell>
          <cell r="B1509">
            <v>360.4</v>
          </cell>
          <cell r="D1509">
            <v>43466</v>
          </cell>
          <cell r="E1509">
            <v>5465.25</v>
          </cell>
        </row>
        <row r="1510">
          <cell r="A1510">
            <v>43634</v>
          </cell>
          <cell r="B1510">
            <v>362.7</v>
          </cell>
          <cell r="D1510">
            <v>43461</v>
          </cell>
          <cell r="E1510">
            <v>5385.64</v>
          </cell>
        </row>
        <row r="1511">
          <cell r="A1511">
            <v>43633</v>
          </cell>
          <cell r="B1511">
            <v>357.3</v>
          </cell>
          <cell r="D1511">
            <v>43460</v>
          </cell>
          <cell r="E1511">
            <v>5349.18</v>
          </cell>
        </row>
        <row r="1512">
          <cell r="A1512">
            <v>43632</v>
          </cell>
          <cell r="B1512">
            <v>357.9</v>
          </cell>
          <cell r="D1512">
            <v>43458</v>
          </cell>
          <cell r="E1512">
            <v>5300.09</v>
          </cell>
        </row>
        <row r="1513">
          <cell r="A1513">
            <v>43629</v>
          </cell>
          <cell r="B1513">
            <v>361.4</v>
          </cell>
          <cell r="D1513">
            <v>43457</v>
          </cell>
          <cell r="E1513">
            <v>5281.77</v>
          </cell>
        </row>
        <row r="1514">
          <cell r="A1514">
            <v>43628</v>
          </cell>
          <cell r="B1514">
            <v>361.3</v>
          </cell>
          <cell r="D1514">
            <v>43454</v>
          </cell>
          <cell r="E1514">
            <v>5265.31</v>
          </cell>
        </row>
        <row r="1515">
          <cell r="A1515">
            <v>43627</v>
          </cell>
          <cell r="B1515">
            <v>364</v>
          </cell>
          <cell r="D1515">
            <v>43453</v>
          </cell>
          <cell r="E1515">
            <v>5242.5600000000004</v>
          </cell>
        </row>
        <row r="1516">
          <cell r="A1516">
            <v>43626</v>
          </cell>
          <cell r="B1516">
            <v>355.8</v>
          </cell>
          <cell r="D1516">
            <v>43452</v>
          </cell>
          <cell r="E1516">
            <v>5233.59</v>
          </cell>
        </row>
        <row r="1517">
          <cell r="A1517">
            <v>43625</v>
          </cell>
          <cell r="B1517">
            <v>356.4</v>
          </cell>
          <cell r="D1517">
            <v>43451</v>
          </cell>
          <cell r="E1517">
            <v>5218.01</v>
          </cell>
        </row>
        <row r="1518">
          <cell r="A1518">
            <v>43615</v>
          </cell>
          <cell r="B1518">
            <v>355.1</v>
          </cell>
          <cell r="D1518">
            <v>43447</v>
          </cell>
          <cell r="E1518">
            <v>5251.01</v>
          </cell>
        </row>
        <row r="1519">
          <cell r="A1519">
            <v>43614</v>
          </cell>
          <cell r="B1519">
            <v>349.8</v>
          </cell>
          <cell r="D1519">
            <v>43446</v>
          </cell>
          <cell r="E1519">
            <v>5265.84</v>
          </cell>
        </row>
        <row r="1520">
          <cell r="A1520">
            <v>43613</v>
          </cell>
          <cell r="B1520">
            <v>349.7</v>
          </cell>
          <cell r="D1520">
            <v>43445</v>
          </cell>
          <cell r="E1520">
            <v>5275.76</v>
          </cell>
        </row>
        <row r="1521">
          <cell r="A1521">
            <v>43612</v>
          </cell>
          <cell r="B1521">
            <v>341.1</v>
          </cell>
          <cell r="D1521">
            <v>43444</v>
          </cell>
          <cell r="E1521">
            <v>5295.69</v>
          </cell>
        </row>
        <row r="1522">
          <cell r="A1522">
            <v>43611</v>
          </cell>
          <cell r="B1522">
            <v>338.2</v>
          </cell>
          <cell r="D1522">
            <v>43443</v>
          </cell>
          <cell r="E1522">
            <v>5306.22</v>
          </cell>
        </row>
        <row r="1523">
          <cell r="A1523">
            <v>43608</v>
          </cell>
          <cell r="B1523">
            <v>337.9</v>
          </cell>
          <cell r="D1523">
            <v>43440</v>
          </cell>
          <cell r="E1523">
            <v>5332.8</v>
          </cell>
        </row>
        <row r="1524">
          <cell r="A1524">
            <v>43607</v>
          </cell>
          <cell r="B1524">
            <v>342.8</v>
          </cell>
          <cell r="D1524">
            <v>43439</v>
          </cell>
          <cell r="E1524">
            <v>5361.11</v>
          </cell>
        </row>
        <row r="1525">
          <cell r="A1525">
            <v>43606</v>
          </cell>
          <cell r="B1525">
            <v>343.4</v>
          </cell>
          <cell r="D1525">
            <v>43438</v>
          </cell>
          <cell r="E1525">
            <v>5345.42</v>
          </cell>
        </row>
        <row r="1526">
          <cell r="A1526">
            <v>43605</v>
          </cell>
          <cell r="B1526">
            <v>348</v>
          </cell>
          <cell r="D1526">
            <v>43437</v>
          </cell>
          <cell r="E1526">
            <v>5296.55</v>
          </cell>
        </row>
        <row r="1527">
          <cell r="A1527">
            <v>43604</v>
          </cell>
          <cell r="B1527">
            <v>351.1</v>
          </cell>
          <cell r="D1527">
            <v>43436</v>
          </cell>
          <cell r="E1527">
            <v>5290.76</v>
          </cell>
        </row>
        <row r="1528">
          <cell r="A1528">
            <v>43601</v>
          </cell>
          <cell r="B1528">
            <v>345.3</v>
          </cell>
          <cell r="D1528">
            <v>43433</v>
          </cell>
          <cell r="E1528">
            <v>5281.25</v>
          </cell>
        </row>
        <row r="1529">
          <cell r="A1529">
            <v>43600</v>
          </cell>
          <cell r="B1529">
            <v>346.4</v>
          </cell>
          <cell r="D1529">
            <v>43432</v>
          </cell>
          <cell r="E1529">
            <v>5286.72</v>
          </cell>
        </row>
        <row r="1530">
          <cell r="A1530">
            <v>43599</v>
          </cell>
          <cell r="B1530">
            <v>346.6</v>
          </cell>
          <cell r="D1530">
            <v>43431</v>
          </cell>
          <cell r="E1530">
            <v>5288.54</v>
          </cell>
        </row>
        <row r="1531">
          <cell r="A1531">
            <v>43598</v>
          </cell>
          <cell r="B1531">
            <v>348.1</v>
          </cell>
        </row>
        <row r="1532">
          <cell r="A1532">
            <v>43597</v>
          </cell>
          <cell r="B1532">
            <v>352.4</v>
          </cell>
        </row>
        <row r="1533">
          <cell r="A1533">
            <v>43594</v>
          </cell>
          <cell r="B1533">
            <v>354.1</v>
          </cell>
        </row>
        <row r="1534">
          <cell r="A1534">
            <v>43593</v>
          </cell>
          <cell r="B1534">
            <v>354.6</v>
          </cell>
        </row>
        <row r="1535">
          <cell r="A1535">
            <v>43592</v>
          </cell>
          <cell r="B1535">
            <v>354.4</v>
          </cell>
        </row>
        <row r="1536">
          <cell r="A1536">
            <v>43591</v>
          </cell>
          <cell r="B1536">
            <v>359.4</v>
          </cell>
        </row>
        <row r="1537">
          <cell r="A1537">
            <v>43590</v>
          </cell>
          <cell r="B1537">
            <v>362.5</v>
          </cell>
        </row>
        <row r="1538">
          <cell r="A1538">
            <v>43587</v>
          </cell>
          <cell r="B1538">
            <v>358.2</v>
          </cell>
        </row>
        <row r="1539">
          <cell r="A1539">
            <v>43585</v>
          </cell>
          <cell r="B1539">
            <v>358.7</v>
          </cell>
        </row>
        <row r="1540">
          <cell r="A1540">
            <v>43584</v>
          </cell>
          <cell r="B1540">
            <v>360</v>
          </cell>
        </row>
        <row r="1541">
          <cell r="A1541">
            <v>43583</v>
          </cell>
          <cell r="B1541">
            <v>365.2</v>
          </cell>
        </row>
        <row r="1542">
          <cell r="A1542">
            <v>43580</v>
          </cell>
          <cell r="B1542">
            <v>364.2</v>
          </cell>
        </row>
        <row r="1543">
          <cell r="A1543">
            <v>43579</v>
          </cell>
          <cell r="B1543">
            <v>367.9</v>
          </cell>
        </row>
        <row r="1544">
          <cell r="A1544">
            <v>43578</v>
          </cell>
          <cell r="B1544">
            <v>369.4</v>
          </cell>
        </row>
        <row r="1545">
          <cell r="A1545">
            <v>43576</v>
          </cell>
          <cell r="B1545">
            <v>374</v>
          </cell>
        </row>
        <row r="1546">
          <cell r="A1546">
            <v>43573</v>
          </cell>
          <cell r="B1546">
            <v>368.4</v>
          </cell>
        </row>
        <row r="1547">
          <cell r="A1547">
            <v>43572</v>
          </cell>
          <cell r="B1547">
            <v>372.9</v>
          </cell>
        </row>
        <row r="1548">
          <cell r="A1548">
            <v>43571</v>
          </cell>
          <cell r="B1548">
            <v>371.7</v>
          </cell>
        </row>
        <row r="1549">
          <cell r="A1549">
            <v>43570</v>
          </cell>
          <cell r="B1549">
            <v>377.8</v>
          </cell>
        </row>
        <row r="1550">
          <cell r="A1550">
            <v>43566</v>
          </cell>
          <cell r="B1550">
            <v>367.7</v>
          </cell>
        </row>
        <row r="1551">
          <cell r="A1551">
            <v>43565</v>
          </cell>
          <cell r="B1551">
            <v>357.6</v>
          </cell>
        </row>
        <row r="1552">
          <cell r="A1552">
            <v>43564</v>
          </cell>
          <cell r="B1552">
            <v>362</v>
          </cell>
        </row>
        <row r="1553">
          <cell r="A1553">
            <v>43563</v>
          </cell>
          <cell r="B1553">
            <v>370.9</v>
          </cell>
        </row>
        <row r="1554">
          <cell r="A1554">
            <v>43562</v>
          </cell>
          <cell r="B1554">
            <v>375.5</v>
          </cell>
        </row>
        <row r="1555">
          <cell r="A1555">
            <v>43559</v>
          </cell>
          <cell r="B1555">
            <v>387.9</v>
          </cell>
        </row>
        <row r="1556">
          <cell r="A1556">
            <v>43558</v>
          </cell>
          <cell r="B1556">
            <v>399.4</v>
          </cell>
        </row>
        <row r="1557">
          <cell r="A1557">
            <v>43557</v>
          </cell>
          <cell r="B1557">
            <v>409.6</v>
          </cell>
        </row>
        <row r="1558">
          <cell r="A1558">
            <v>43556</v>
          </cell>
          <cell r="B1558">
            <v>417</v>
          </cell>
        </row>
        <row r="1559">
          <cell r="A1559">
            <v>43555</v>
          </cell>
          <cell r="B1559">
            <v>409.2</v>
          </cell>
        </row>
        <row r="1560">
          <cell r="A1560">
            <v>43552</v>
          </cell>
          <cell r="B1560">
            <v>407.4</v>
          </cell>
        </row>
        <row r="1561">
          <cell r="A1561">
            <v>43551</v>
          </cell>
          <cell r="B1561">
            <v>408.5</v>
          </cell>
        </row>
        <row r="1562">
          <cell r="A1562">
            <v>43549</v>
          </cell>
          <cell r="B1562">
            <v>409.5</v>
          </cell>
        </row>
        <row r="1563">
          <cell r="A1563">
            <v>43548</v>
          </cell>
          <cell r="B1563">
            <v>401.4</v>
          </cell>
        </row>
        <row r="1564">
          <cell r="A1564">
            <v>43545</v>
          </cell>
          <cell r="B1564">
            <v>397.3</v>
          </cell>
        </row>
        <row r="1565">
          <cell r="A1565">
            <v>43544</v>
          </cell>
          <cell r="B1565">
            <v>394.9</v>
          </cell>
        </row>
        <row r="1566">
          <cell r="A1566">
            <v>43543</v>
          </cell>
          <cell r="B1566">
            <v>391.7</v>
          </cell>
        </row>
        <row r="1567">
          <cell r="A1567">
            <v>43542</v>
          </cell>
          <cell r="B1567">
            <v>388.4</v>
          </cell>
        </row>
        <row r="1568">
          <cell r="A1568">
            <v>43538</v>
          </cell>
          <cell r="B1568">
            <v>387.1</v>
          </cell>
        </row>
        <row r="1569">
          <cell r="A1569">
            <v>43537</v>
          </cell>
          <cell r="B1569">
            <v>385.5</v>
          </cell>
        </row>
        <row r="1570">
          <cell r="A1570">
            <v>43536</v>
          </cell>
          <cell r="B1570">
            <v>392.9</v>
          </cell>
        </row>
        <row r="1571">
          <cell r="A1571">
            <v>43535</v>
          </cell>
          <cell r="B1571">
            <v>384.9</v>
          </cell>
        </row>
        <row r="1572">
          <cell r="A1572">
            <v>43534</v>
          </cell>
          <cell r="B1572">
            <v>385.3</v>
          </cell>
        </row>
        <row r="1573">
          <cell r="A1573">
            <v>43531</v>
          </cell>
          <cell r="B1573">
            <v>385.8</v>
          </cell>
        </row>
        <row r="1574">
          <cell r="A1574">
            <v>43530</v>
          </cell>
          <cell r="B1574">
            <v>390</v>
          </cell>
        </row>
        <row r="1575">
          <cell r="A1575">
            <v>43529</v>
          </cell>
          <cell r="B1575">
            <v>392</v>
          </cell>
        </row>
        <row r="1576">
          <cell r="A1576">
            <v>43528</v>
          </cell>
          <cell r="B1576">
            <v>393.4</v>
          </cell>
        </row>
        <row r="1577">
          <cell r="A1577">
            <v>43527</v>
          </cell>
          <cell r="B1577">
            <v>390</v>
          </cell>
        </row>
        <row r="1578">
          <cell r="A1578">
            <v>43523</v>
          </cell>
          <cell r="B1578">
            <v>393.5</v>
          </cell>
        </row>
        <row r="1579">
          <cell r="A1579">
            <v>43522</v>
          </cell>
          <cell r="B1579">
            <v>398.6</v>
          </cell>
        </row>
        <row r="1580">
          <cell r="A1580">
            <v>43521</v>
          </cell>
          <cell r="B1580">
            <v>397.4</v>
          </cell>
        </row>
        <row r="1581">
          <cell r="A1581">
            <v>43520</v>
          </cell>
          <cell r="B1581">
            <v>385.6</v>
          </cell>
        </row>
        <row r="1582">
          <cell r="A1582">
            <v>43516</v>
          </cell>
          <cell r="B1582">
            <v>385.7</v>
          </cell>
        </row>
        <row r="1583">
          <cell r="A1583">
            <v>43515</v>
          </cell>
          <cell r="B1583">
            <v>379.5</v>
          </cell>
        </row>
        <row r="1584">
          <cell r="A1584">
            <v>43514</v>
          </cell>
          <cell r="B1584">
            <v>377.1</v>
          </cell>
        </row>
        <row r="1585">
          <cell r="A1585">
            <v>43513</v>
          </cell>
          <cell r="B1585">
            <v>389.9</v>
          </cell>
        </row>
        <row r="1586">
          <cell r="A1586">
            <v>43510</v>
          </cell>
          <cell r="B1586">
            <v>389.9</v>
          </cell>
        </row>
        <row r="1587">
          <cell r="A1587">
            <v>43509</v>
          </cell>
          <cell r="B1587">
            <v>392.9</v>
          </cell>
        </row>
        <row r="1588">
          <cell r="A1588">
            <v>43508</v>
          </cell>
          <cell r="B1588">
            <v>388.6</v>
          </cell>
        </row>
        <row r="1589">
          <cell r="A1589">
            <v>43507</v>
          </cell>
          <cell r="B1589">
            <v>397.6</v>
          </cell>
        </row>
        <row r="1590">
          <cell r="A1590">
            <v>43506</v>
          </cell>
          <cell r="B1590">
            <v>406.1</v>
          </cell>
        </row>
        <row r="1591">
          <cell r="A1591">
            <v>43503</v>
          </cell>
          <cell r="B1591">
            <v>405.5</v>
          </cell>
        </row>
        <row r="1592">
          <cell r="A1592">
            <v>43502</v>
          </cell>
          <cell r="B1592">
            <v>404.9</v>
          </cell>
        </row>
        <row r="1593">
          <cell r="A1593">
            <v>43501</v>
          </cell>
          <cell r="B1593">
            <v>403.5</v>
          </cell>
        </row>
        <row r="1594">
          <cell r="A1594">
            <v>43500</v>
          </cell>
          <cell r="B1594">
            <v>402</v>
          </cell>
        </row>
        <row r="1595">
          <cell r="A1595">
            <v>43499</v>
          </cell>
          <cell r="B1595">
            <v>394</v>
          </cell>
        </row>
        <row r="1596">
          <cell r="A1596">
            <v>43496</v>
          </cell>
          <cell r="B1596">
            <v>398.2</v>
          </cell>
        </row>
        <row r="1597">
          <cell r="A1597">
            <v>43495</v>
          </cell>
          <cell r="B1597">
            <v>413.8</v>
          </cell>
        </row>
        <row r="1598">
          <cell r="A1598">
            <v>43494</v>
          </cell>
          <cell r="B1598">
            <v>415.4</v>
          </cell>
        </row>
        <row r="1599">
          <cell r="A1599">
            <v>43493</v>
          </cell>
          <cell r="B1599">
            <v>409.5</v>
          </cell>
        </row>
        <row r="1600">
          <cell r="A1600">
            <v>43492</v>
          </cell>
          <cell r="B1600">
            <v>393.6</v>
          </cell>
        </row>
        <row r="1601">
          <cell r="A1601">
            <v>43489</v>
          </cell>
          <cell r="B1601">
            <v>395.5</v>
          </cell>
        </row>
        <row r="1602">
          <cell r="A1602">
            <v>43488</v>
          </cell>
          <cell r="B1602">
            <v>391.5</v>
          </cell>
        </row>
        <row r="1603">
          <cell r="A1603">
            <v>43487</v>
          </cell>
          <cell r="B1603">
            <v>388.9</v>
          </cell>
        </row>
        <row r="1604">
          <cell r="A1604">
            <v>43486</v>
          </cell>
          <cell r="B1604">
            <v>384.6</v>
          </cell>
        </row>
        <row r="1605">
          <cell r="A1605">
            <v>43485</v>
          </cell>
          <cell r="B1605">
            <v>385.2</v>
          </cell>
        </row>
        <row r="1606">
          <cell r="A1606">
            <v>43482</v>
          </cell>
          <cell r="B1606">
            <v>375.1</v>
          </cell>
        </row>
        <row r="1607">
          <cell r="A1607">
            <v>43481</v>
          </cell>
          <cell r="B1607">
            <v>382.6</v>
          </cell>
        </row>
        <row r="1608">
          <cell r="A1608">
            <v>43480</v>
          </cell>
          <cell r="B1608">
            <v>387.1</v>
          </cell>
        </row>
        <row r="1609">
          <cell r="A1609">
            <v>43479</v>
          </cell>
          <cell r="B1609">
            <v>389.3</v>
          </cell>
        </row>
        <row r="1610">
          <cell r="A1610">
            <v>43478</v>
          </cell>
          <cell r="B1610">
            <v>389.9</v>
          </cell>
        </row>
        <row r="1611">
          <cell r="A1611">
            <v>43475</v>
          </cell>
          <cell r="B1611">
            <v>388.9</v>
          </cell>
        </row>
        <row r="1612">
          <cell r="A1612">
            <v>43474</v>
          </cell>
          <cell r="B1612">
            <v>382.7</v>
          </cell>
        </row>
        <row r="1613">
          <cell r="A1613">
            <v>43473</v>
          </cell>
          <cell r="B1613">
            <v>379.7</v>
          </cell>
        </row>
        <row r="1614">
          <cell r="A1614">
            <v>43472</v>
          </cell>
          <cell r="B1614">
            <v>372.1</v>
          </cell>
        </row>
        <row r="1615">
          <cell r="A1615">
            <v>43471</v>
          </cell>
          <cell r="B1615">
            <v>373</v>
          </cell>
        </row>
        <row r="1616">
          <cell r="A1616">
            <v>43468</v>
          </cell>
          <cell r="B1616">
            <v>365.4</v>
          </cell>
        </row>
        <row r="1617">
          <cell r="A1617">
            <v>43467</v>
          </cell>
          <cell r="B1617">
            <v>365.6</v>
          </cell>
        </row>
        <row r="1618">
          <cell r="A1618">
            <v>43466</v>
          </cell>
          <cell r="B1618">
            <v>368.3</v>
          </cell>
        </row>
        <row r="1619">
          <cell r="A1619">
            <v>43461</v>
          </cell>
          <cell r="B1619">
            <v>367.3</v>
          </cell>
        </row>
        <row r="1620">
          <cell r="A1620">
            <v>43460</v>
          </cell>
          <cell r="B1620">
            <v>361</v>
          </cell>
        </row>
        <row r="1621">
          <cell r="A1621">
            <v>43458</v>
          </cell>
          <cell r="B1621">
            <v>360.4</v>
          </cell>
        </row>
        <row r="1622">
          <cell r="A1622">
            <v>43457</v>
          </cell>
          <cell r="B1622">
            <v>359.6</v>
          </cell>
        </row>
        <row r="1623">
          <cell r="A1623">
            <v>43454</v>
          </cell>
          <cell r="B1623">
            <v>356.8</v>
          </cell>
        </row>
        <row r="1624">
          <cell r="A1624">
            <v>43453</v>
          </cell>
          <cell r="B1624">
            <v>356.5</v>
          </cell>
        </row>
        <row r="1625">
          <cell r="A1625">
            <v>43452</v>
          </cell>
          <cell r="B1625">
            <v>359.6</v>
          </cell>
        </row>
        <row r="1626">
          <cell r="A1626">
            <v>43451</v>
          </cell>
          <cell r="B1626">
            <v>358.9</v>
          </cell>
        </row>
        <row r="1627">
          <cell r="A1627">
            <v>43447</v>
          </cell>
          <cell r="B1627">
            <v>356.3</v>
          </cell>
        </row>
        <row r="1628">
          <cell r="A1628">
            <v>43446</v>
          </cell>
          <cell r="B1628">
            <v>354.9</v>
          </cell>
        </row>
        <row r="1629">
          <cell r="A1629">
            <v>43445</v>
          </cell>
          <cell r="B1629">
            <v>355.5</v>
          </cell>
        </row>
        <row r="1630">
          <cell r="A1630">
            <v>43444</v>
          </cell>
          <cell r="B1630">
            <v>359.7</v>
          </cell>
        </row>
        <row r="1631">
          <cell r="A1631">
            <v>43443</v>
          </cell>
          <cell r="B1631">
            <v>362</v>
          </cell>
        </row>
        <row r="1632">
          <cell r="A1632">
            <v>43440</v>
          </cell>
          <cell r="B1632">
            <v>362.9</v>
          </cell>
        </row>
        <row r="1633">
          <cell r="A1633">
            <v>43439</v>
          </cell>
          <cell r="B1633">
            <v>360.8</v>
          </cell>
        </row>
        <row r="1634">
          <cell r="A1634">
            <v>43438</v>
          </cell>
          <cell r="B1634">
            <v>362.4</v>
          </cell>
        </row>
        <row r="1635">
          <cell r="A1635">
            <v>43437</v>
          </cell>
          <cell r="B1635">
            <v>360.6</v>
          </cell>
        </row>
        <row r="1636">
          <cell r="A1636">
            <v>43436</v>
          </cell>
          <cell r="B1636">
            <v>360.4</v>
          </cell>
        </row>
        <row r="1637">
          <cell r="A1637">
            <v>43433</v>
          </cell>
          <cell r="B1637">
            <v>362.7</v>
          </cell>
        </row>
        <row r="1638">
          <cell r="A1638">
            <v>43432</v>
          </cell>
          <cell r="B1638">
            <v>367.4</v>
          </cell>
        </row>
        <row r="1639">
          <cell r="A1639">
            <v>43431</v>
          </cell>
          <cell r="B1639">
            <v>366</v>
          </cell>
        </row>
      </sheetData>
      <sheetData sheetId="1">
        <row r="2">
          <cell r="J2">
            <v>1.7992083483266974E-3</v>
          </cell>
          <cell r="K2">
            <v>3.6608247834244434E-3</v>
          </cell>
        </row>
        <row r="3">
          <cell r="J3">
            <v>1.4414414414414267E-3</v>
          </cell>
          <cell r="K3">
            <v>-1.6898220107286477E-3</v>
          </cell>
        </row>
        <row r="4">
          <cell r="J4">
            <v>8.3575581395349818E-3</v>
          </cell>
          <cell r="K4">
            <v>-1.3094892196001684E-3</v>
          </cell>
        </row>
        <row r="5">
          <cell r="J5">
            <v>4.3795620437956373E-3</v>
          </cell>
          <cell r="K5">
            <v>2.2196002644560675E-2</v>
          </cell>
          <cell r="N5">
            <v>0.85102811460885219</v>
          </cell>
        </row>
        <row r="6">
          <cell r="J6">
            <v>2.5612879619465456E-3</v>
          </cell>
          <cell r="K6">
            <v>9.5994873701223948E-3</v>
          </cell>
        </row>
        <row r="7">
          <cell r="J7">
            <v>-2.1905805038333614E-3</v>
          </cell>
          <cell r="K7">
            <v>-6.604262473017819E-3</v>
          </cell>
        </row>
        <row r="8">
          <cell r="J8">
            <v>5.5066079295154058E-3</v>
          </cell>
          <cell r="K8">
            <v>1.1244346878816813E-2</v>
          </cell>
        </row>
        <row r="9">
          <cell r="J9">
            <v>1.8389113644723398E-3</v>
          </cell>
          <cell r="K9">
            <v>1.5061906277748838E-2</v>
          </cell>
        </row>
        <row r="10">
          <cell r="J10">
            <v>1.8422991893882745E-3</v>
          </cell>
          <cell r="K10">
            <v>9.0444955369217706E-3</v>
          </cell>
        </row>
        <row r="11">
          <cell r="J11">
            <v>-2.0923520923521011E-2</v>
          </cell>
          <cell r="K11">
            <v>6.2666261224959552E-3</v>
          </cell>
        </row>
        <row r="12">
          <cell r="J12">
            <v>-4.6678635547576786E-3</v>
          </cell>
          <cell r="K12">
            <v>-2.5415878292261995E-2</v>
          </cell>
        </row>
        <row r="13">
          <cell r="J13">
            <v>2.8808066258552145E-3</v>
          </cell>
          <cell r="K13">
            <v>-9.7357355261997736E-3</v>
          </cell>
        </row>
        <row r="14">
          <cell r="J14">
            <v>1.4424810674358302E-3</v>
          </cell>
          <cell r="K14">
            <v>2.4728694131563866E-3</v>
          </cell>
        </row>
        <row r="15">
          <cell r="J15">
            <v>-1.3518320882248358E-2</v>
          </cell>
          <cell r="K15">
            <v>-7.9960325963840395E-3</v>
          </cell>
        </row>
        <row r="16">
          <cell r="J16">
            <v>-6.0113154172559691E-3</v>
          </cell>
          <cell r="K16">
            <v>-1.3689778862063462E-2</v>
          </cell>
        </row>
        <row r="17">
          <cell r="J17">
            <v>-5.2761167780513984E-3</v>
          </cell>
          <cell r="K17">
            <v>-3.7999635043084456E-3</v>
          </cell>
        </row>
        <row r="18">
          <cell r="J18">
            <v>3.5298270384751529E-3</v>
          </cell>
          <cell r="K18">
            <v>-6.4115463621745583E-3</v>
          </cell>
        </row>
        <row r="19">
          <cell r="J19">
            <v>7.8263963002489501E-3</v>
          </cell>
          <cell r="K19">
            <v>-8.2868834481656384E-3</v>
          </cell>
        </row>
        <row r="20">
          <cell r="J20">
            <v>-1.7755681818182323E-3</v>
          </cell>
          <cell r="K20">
            <v>-1.0725427492435324E-2</v>
          </cell>
        </row>
        <row r="21">
          <cell r="J21">
            <v>-6.3514467184190293E-3</v>
          </cell>
          <cell r="K21">
            <v>-1.2377445716896807E-3</v>
          </cell>
        </row>
        <row r="22">
          <cell r="J22">
            <v>1.6864011481880103E-2</v>
          </cell>
          <cell r="K22">
            <v>5.8557850915090803E-3</v>
          </cell>
        </row>
        <row r="23">
          <cell r="J23">
            <v>-8.1850533807830139E-3</v>
          </cell>
          <cell r="K23">
            <v>1.6266303182648212E-3</v>
          </cell>
        </row>
        <row r="24">
          <cell r="J24">
            <v>-5.3097345132743223E-3</v>
          </cell>
          <cell r="K24">
            <v>-5.3667684976577146E-4</v>
          </cell>
        </row>
        <row r="25">
          <cell r="J25">
            <v>-1.258301293254116E-2</v>
          </cell>
          <cell r="K25">
            <v>-7.8252694568732295E-3</v>
          </cell>
        </row>
        <row r="26">
          <cell r="J26">
            <v>-5.9068797776232751E-3</v>
          </cell>
          <cell r="K26">
            <v>-4.4486387087880885E-3</v>
          </cell>
        </row>
        <row r="27">
          <cell r="J27">
            <v>4.8882681564246244E-3</v>
          </cell>
          <cell r="K27">
            <v>1.0832826270438023E-2</v>
          </cell>
        </row>
        <row r="28">
          <cell r="J28">
            <v>1.7488632388946712E-3</v>
          </cell>
          <cell r="K28">
            <v>1.0551487130918691E-3</v>
          </cell>
        </row>
        <row r="29">
          <cell r="J29">
            <v>-4.8729550991996051E-3</v>
          </cell>
          <cell r="K29">
            <v>-4.3567571797481497E-3</v>
          </cell>
        </row>
        <row r="30">
          <cell r="J30">
            <v>6.9662138627646364E-4</v>
          </cell>
          <cell r="K30">
            <v>1.3333756249578776E-2</v>
          </cell>
        </row>
        <row r="31">
          <cell r="J31">
            <v>-2.7787426189647135E-3</v>
          </cell>
          <cell r="K31">
            <v>-1.4665723851530088E-2</v>
          </cell>
        </row>
        <row r="32">
          <cell r="J32">
            <v>-9.9724896836315136E-3</v>
          </cell>
          <cell r="K32">
            <v>5.6874705609866183E-4</v>
          </cell>
        </row>
        <row r="33">
          <cell r="J33">
            <v>-5.4719562243500386E-3</v>
          </cell>
          <cell r="K33">
            <v>-1.5538927167532246E-2</v>
          </cell>
        </row>
        <row r="34">
          <cell r="J34">
            <v>-5.4421768707483276E-3</v>
          </cell>
          <cell r="K34">
            <v>-5.8304241786618638E-3</v>
          </cell>
        </row>
        <row r="35">
          <cell r="J35">
            <v>1.7035775127767216E-3</v>
          </cell>
          <cell r="K35">
            <v>4.8611618349780894E-3</v>
          </cell>
        </row>
        <row r="36">
          <cell r="J36">
            <v>-2.7183146449202278E-3</v>
          </cell>
          <cell r="K36">
            <v>-1.5379316087907768E-2</v>
          </cell>
        </row>
        <row r="37">
          <cell r="J37">
            <v>3.399048266485849E-4</v>
          </cell>
          <cell r="K37">
            <v>-1.0142641433083521E-2</v>
          </cell>
        </row>
        <row r="38">
          <cell r="J38">
            <v>-1.6966406515099841E-3</v>
          </cell>
          <cell r="K38">
            <v>-7.2791519434629581E-3</v>
          </cell>
        </row>
        <row r="39">
          <cell r="J39">
            <v>-1.1405568601140725E-2</v>
          </cell>
          <cell r="K39">
            <v>-8.5993908150246989E-3</v>
          </cell>
        </row>
        <row r="40">
          <cell r="J40">
            <v>-2.008704385671134E-3</v>
          </cell>
          <cell r="K40">
            <v>-4.4037498875657555E-3</v>
          </cell>
        </row>
        <row r="41">
          <cell r="J41">
            <v>-1.0033444816054393E-3</v>
          </cell>
          <cell r="K41">
            <v>5.8791053567439633E-3</v>
          </cell>
        </row>
        <row r="42">
          <cell r="J42">
            <v>3.3557046979866278E-3</v>
          </cell>
          <cell r="K42">
            <v>4.8257999398861884E-3</v>
          </cell>
        </row>
        <row r="43">
          <cell r="J43">
            <v>-3.6776997659646593E-3</v>
          </cell>
          <cell r="K43">
            <v>1.8029471680718334E-3</v>
          </cell>
        </row>
        <row r="44">
          <cell r="J44">
            <v>2.3458445040216436E-3</v>
          </cell>
          <cell r="K44">
            <v>-6.4726054591487392E-3</v>
          </cell>
        </row>
        <row r="45">
          <cell r="J45">
            <v>-2.0066889632107676E-3</v>
          </cell>
          <cell r="K45">
            <v>4.1686369410216528E-3</v>
          </cell>
        </row>
        <row r="46">
          <cell r="J46">
            <v>1.6750418760469454E-3</v>
          </cell>
          <cell r="K46">
            <v>8.4488552530448402E-3</v>
          </cell>
        </row>
        <row r="47">
          <cell r="J47">
            <v>-5.3315561479507778E-3</v>
          </cell>
          <cell r="K47">
            <v>1.9354935414848118E-3</v>
          </cell>
        </row>
        <row r="48">
          <cell r="J48">
            <v>-6.6600066600064345E-4</v>
          </cell>
          <cell r="K48">
            <v>-8.307552235755411E-3</v>
          </cell>
        </row>
        <row r="49">
          <cell r="J49">
            <v>-2.6569246097641885E-3</v>
          </cell>
          <cell r="K49">
            <v>-1.249190356573382E-2</v>
          </cell>
        </row>
        <row r="50">
          <cell r="J50">
            <v>-2.3194168323392717E-3</v>
          </cell>
          <cell r="K50">
            <v>-1.0831982663019546E-2</v>
          </cell>
        </row>
        <row r="51">
          <cell r="J51">
            <v>2.6578073089700283E-3</v>
          </cell>
          <cell r="K51">
            <v>6.3729286611917679E-3</v>
          </cell>
        </row>
        <row r="52">
          <cell r="J52">
            <v>3.6678892964321363E-3</v>
          </cell>
          <cell r="K52">
            <v>1.164885203031929E-3</v>
          </cell>
        </row>
        <row r="53">
          <cell r="J53">
            <v>-6.2955599734925149E-3</v>
          </cell>
          <cell r="K53">
            <v>-1.0034795013559417E-2</v>
          </cell>
        </row>
        <row r="54">
          <cell r="J54">
            <v>4.9950049950049369E-3</v>
          </cell>
          <cell r="K54">
            <v>9.250614362844134E-3</v>
          </cell>
        </row>
        <row r="55">
          <cell r="J55">
            <v>-1.6622340425531679E-3</v>
          </cell>
          <cell r="K55">
            <v>-1.175461562768032E-2</v>
          </cell>
        </row>
        <row r="56">
          <cell r="J56">
            <v>-1.5062213490504184E-2</v>
          </cell>
          <cell r="K56">
            <v>-1.5875356946757013E-2</v>
          </cell>
        </row>
        <row r="57">
          <cell r="J57">
            <v>-2.9382957884428462E-3</v>
          </cell>
          <cell r="K57">
            <v>-1.5187672435970079E-3</v>
          </cell>
        </row>
        <row r="58">
          <cell r="J58">
            <v>6.2417871222077981E-3</v>
          </cell>
          <cell r="K58">
            <v>3.8954238121362561E-3</v>
          </cell>
        </row>
        <row r="59">
          <cell r="J59">
            <v>-1.7113335485954173E-2</v>
          </cell>
          <cell r="K59">
            <v>-3.0790429752007853E-3</v>
          </cell>
        </row>
        <row r="60">
          <cell r="J60">
            <v>-1.9336126329358994E-3</v>
          </cell>
          <cell r="K60">
            <v>1.9036029689090128E-3</v>
          </cell>
        </row>
        <row r="61">
          <cell r="J61">
            <v>1.0749185667752403E-2</v>
          </cell>
          <cell r="K61">
            <v>6.6496053755602524E-3</v>
          </cell>
        </row>
        <row r="62">
          <cell r="J62">
            <v>-1.0953608247422641E-2</v>
          </cell>
          <cell r="K62">
            <v>-1.8947552816304114E-3</v>
          </cell>
        </row>
        <row r="63">
          <cell r="J63">
            <v>1.6371971185330736E-2</v>
          </cell>
          <cell r="K63">
            <v>1.3852970759068217E-2</v>
          </cell>
        </row>
        <row r="64">
          <cell r="J64">
            <v>2.2772940388479324E-2</v>
          </cell>
          <cell r="K64">
            <v>1.2685292071875853E-2</v>
          </cell>
        </row>
        <row r="65">
          <cell r="J65">
            <v>-3.3478406427844831E-4</v>
          </cell>
          <cell r="K65">
            <v>-1.2043113245591153E-3</v>
          </cell>
        </row>
        <row r="66">
          <cell r="J66">
            <v>7.0802427511800214E-3</v>
          </cell>
          <cell r="K66">
            <v>1.2289462013630903E-2</v>
          </cell>
        </row>
        <row r="67">
          <cell r="J67">
            <v>-8.6898395721923816E-3</v>
          </cell>
          <cell r="K67">
            <v>2.6437406045811684E-3</v>
          </cell>
        </row>
        <row r="68">
          <cell r="J68">
            <v>-8.6149768058317866E-3</v>
          </cell>
          <cell r="K68">
            <v>-8.2722826480963185E-4</v>
          </cell>
        </row>
        <row r="69">
          <cell r="J69">
            <v>-9.930486593843213E-4</v>
          </cell>
          <cell r="K69">
            <v>-5.8197342401448138E-3</v>
          </cell>
        </row>
        <row r="70">
          <cell r="J70">
            <v>-9.5081967213114238E-3</v>
          </cell>
          <cell r="K70">
            <v>-1.6623892278654351E-3</v>
          </cell>
        </row>
        <row r="71">
          <cell r="J71">
            <v>3.9499670836076195E-3</v>
          </cell>
          <cell r="K71">
            <v>3.4101701567530451E-3</v>
          </cell>
        </row>
        <row r="72">
          <cell r="J72">
            <v>-3.2808398950131545E-3</v>
          </cell>
          <cell r="K72">
            <v>9.5771225643661584E-3</v>
          </cell>
        </row>
        <row r="73">
          <cell r="J73">
            <v>-3.3301617507136005E-2</v>
          </cell>
          <cell r="K73">
            <v>6.5469527509429692E-3</v>
          </cell>
        </row>
        <row r="74">
          <cell r="J74">
            <v>-3.7914691943127243E-3</v>
          </cell>
          <cell r="K74">
            <v>-5.3517463347088068E-3</v>
          </cell>
        </row>
        <row r="75">
          <cell r="J75">
            <v>9.4876660341558505E-4</v>
          </cell>
          <cell r="K75">
            <v>-1.3044217655291401E-3</v>
          </cell>
        </row>
        <row r="76">
          <cell r="J76">
            <v>1.5837820715869366E-3</v>
          </cell>
          <cell r="K76">
            <v>-1.0547200757386688E-2</v>
          </cell>
        </row>
        <row r="77">
          <cell r="J77">
            <v>-4.1009463722397888E-3</v>
          </cell>
          <cell r="K77">
            <v>-1.1531375430438917E-2</v>
          </cell>
        </row>
        <row r="78">
          <cell r="J78">
            <v>-6.3051702395966469E-4</v>
          </cell>
          <cell r="K78">
            <v>-2.6887061581396532E-3</v>
          </cell>
        </row>
        <row r="79">
          <cell r="J79">
            <v>-4.0816326530612734E-3</v>
          </cell>
          <cell r="K79">
            <v>-9.0731087002858812E-3</v>
          </cell>
        </row>
        <row r="80">
          <cell r="J80">
            <v>1.7571884984025621E-2</v>
          </cell>
          <cell r="K80">
            <v>1.7033409143516476E-2</v>
          </cell>
        </row>
        <row r="81">
          <cell r="J81">
            <v>9.5938599296463423E-4</v>
          </cell>
          <cell r="K81">
            <v>1.7043458764620212E-2</v>
          </cell>
        </row>
        <row r="82">
          <cell r="J82">
            <v>1.6015374759770218E-3</v>
          </cell>
          <cell r="K82">
            <v>1.0140663248069615E-2</v>
          </cell>
        </row>
        <row r="83">
          <cell r="J83">
            <v>-2.2236141559661804E-2</v>
          </cell>
          <cell r="K83">
            <v>-6.3014926660751591E-3</v>
          </cell>
        </row>
        <row r="84">
          <cell r="J84">
            <v>-4.6758104738154893E-3</v>
          </cell>
          <cell r="K84">
            <v>-4.2503683590329189E-3</v>
          </cell>
        </row>
        <row r="85">
          <cell r="J85">
            <v>-9.3428838368114775E-4</v>
          </cell>
          <cell r="K85">
            <v>-6.9009131979733684E-3</v>
          </cell>
        </row>
        <row r="86">
          <cell r="J86">
            <v>-6.804825239715373E-3</v>
          </cell>
          <cell r="K86">
            <v>5.2368124236803482E-3</v>
          </cell>
        </row>
        <row r="87">
          <cell r="J87">
            <v>3.1589023611997558E-2</v>
          </cell>
          <cell r="K87">
            <v>1.7717248798517105E-2</v>
          </cell>
        </row>
        <row r="88">
          <cell r="J88">
            <v>1.0641728474685364E-2</v>
          </cell>
          <cell r="K88">
            <v>9.7612469873284979E-3</v>
          </cell>
        </row>
        <row r="89">
          <cell r="J89">
            <v>2.3432343234323527E-2</v>
          </cell>
          <cell r="K89">
            <v>4.9268102032526961E-3</v>
          </cell>
        </row>
        <row r="90">
          <cell r="J90">
            <v>9.327115256495766E-3</v>
          </cell>
          <cell r="K90">
            <v>1.1992253257684382E-2</v>
          </cell>
        </row>
        <row r="91">
          <cell r="J91">
            <v>1.1455525606469008E-2</v>
          </cell>
          <cell r="K91">
            <v>3.0448122886903572E-3</v>
          </cell>
        </row>
        <row r="92">
          <cell r="J92">
            <v>-2.6881720430107503E-3</v>
          </cell>
          <cell r="K92">
            <v>1.0805578602188781E-2</v>
          </cell>
        </row>
        <row r="93">
          <cell r="J93">
            <v>-1.3422818791946067E-3</v>
          </cell>
          <cell r="K93">
            <v>7.3096093705204979E-5</v>
          </cell>
        </row>
        <row r="94">
          <cell r="J94">
            <v>-5.6723390056723222E-3</v>
          </cell>
          <cell r="K94">
            <v>-9.099091275135418E-4</v>
          </cell>
        </row>
        <row r="95">
          <cell r="J95">
            <v>1.3364517206815307E-3</v>
          </cell>
          <cell r="K95">
            <v>-3.1570390131108184E-4</v>
          </cell>
        </row>
        <row r="96">
          <cell r="J96">
            <v>-1.0013351134846582E-3</v>
          </cell>
          <cell r="K96">
            <v>6.4681151908361212E-3</v>
          </cell>
        </row>
        <row r="97">
          <cell r="J97">
            <v>3.013056578506923E-3</v>
          </cell>
          <cell r="K97">
            <v>1.0805678451273115E-2</v>
          </cell>
        </row>
        <row r="98">
          <cell r="J98">
            <v>-3.3366700033367058E-3</v>
          </cell>
          <cell r="K98">
            <v>1.1012507636412039E-3</v>
          </cell>
        </row>
        <row r="99">
          <cell r="J99">
            <v>2.34113712374584E-3</v>
          </cell>
          <cell r="K99">
            <v>1.6773360413725236E-2</v>
          </cell>
        </row>
        <row r="100">
          <cell r="J100">
            <v>-3.0010003334444146E-3</v>
          </cell>
          <cell r="K100">
            <v>5.9071018820922028E-3</v>
          </cell>
        </row>
        <row r="101">
          <cell r="J101">
            <v>-1.0557571758495699E-2</v>
          </cell>
          <cell r="K101">
            <v>5.5679678570763613E-3</v>
          </cell>
        </row>
        <row r="102">
          <cell r="J102">
            <v>-1.3179571663920475E-3</v>
          </cell>
          <cell r="K102">
            <v>-2.8720313733254788E-4</v>
          </cell>
        </row>
        <row r="103">
          <cell r="J103">
            <v>2.6428807400067367E-3</v>
          </cell>
          <cell r="K103">
            <v>1.4380807932412587E-3</v>
          </cell>
        </row>
        <row r="104">
          <cell r="J104">
            <v>2.33265720081135E-2</v>
          </cell>
          <cell r="K104">
            <v>1.3673431718837836E-2</v>
          </cell>
        </row>
        <row r="105">
          <cell r="J105">
            <v>3.3818058843437804E-4</v>
          </cell>
          <cell r="K105">
            <v>1.0594235277658903E-2</v>
          </cell>
        </row>
        <row r="106">
          <cell r="J106">
            <v>6.7681895093052447E-4</v>
          </cell>
          <cell r="K106">
            <v>4.8199905005932298E-3</v>
          </cell>
        </row>
        <row r="107">
          <cell r="J107">
            <v>1.8965517241379404E-2</v>
          </cell>
          <cell r="K107">
            <v>3.7262698819906515E-3</v>
          </cell>
        </row>
        <row r="108">
          <cell r="J108">
            <v>-1.4276002719238567E-2</v>
          </cell>
          <cell r="K108">
            <v>-1.6155527184235186E-2</v>
          </cell>
        </row>
        <row r="109">
          <cell r="J109">
            <v>9.608785175017287E-3</v>
          </cell>
          <cell r="K109">
            <v>-4.693489196810452E-3</v>
          </cell>
        </row>
        <row r="110">
          <cell r="J110">
            <v>2.3893183415319541E-2</v>
          </cell>
          <cell r="K110">
            <v>7.8359555160780747E-3</v>
          </cell>
        </row>
        <row r="111">
          <cell r="J111">
            <v>-6.2849162011171522E-3</v>
          </cell>
          <cell r="K111">
            <v>-9.1917067684577081E-3</v>
          </cell>
        </row>
        <row r="112">
          <cell r="J112">
            <v>7.3865634892718024E-3</v>
          </cell>
          <cell r="K112">
            <v>1.2629127857747724E-2</v>
          </cell>
        </row>
        <row r="113">
          <cell r="J113">
            <v>-6.6387141858839094E-3</v>
          </cell>
          <cell r="K113">
            <v>3.1662168274548819E-3</v>
          </cell>
        </row>
        <row r="114">
          <cell r="J114">
            <v>6.3291139240506666E-3</v>
          </cell>
          <cell r="K114">
            <v>9.4966761633428209E-3</v>
          </cell>
        </row>
        <row r="115">
          <cell r="J115">
            <v>-9.7493036211699913E-3</v>
          </cell>
          <cell r="K115">
            <v>-5.2734608232826163E-3</v>
          </cell>
        </row>
        <row r="116">
          <cell r="J116">
            <v>3.483106931381208E-4</v>
          </cell>
          <cell r="K116">
            <v>4.5218821825847577E-3</v>
          </cell>
        </row>
        <row r="117">
          <cell r="J117">
            <v>1.3055751587861764E-2</v>
          </cell>
          <cell r="K117">
            <v>6.5740676855141622E-3</v>
          </cell>
        </row>
        <row r="118">
          <cell r="J118">
            <v>3.7335285505124327E-2</v>
          </cell>
          <cell r="K118">
            <v>4.8771398423976819E-3</v>
          </cell>
        </row>
        <row r="119">
          <cell r="J119">
            <v>-1.4619883040937198E-3</v>
          </cell>
          <cell r="K119">
            <v>-1.3407066498793418E-2</v>
          </cell>
        </row>
        <row r="120">
          <cell r="J120">
            <v>8.8495575221241296E-3</v>
          </cell>
          <cell r="K120">
            <v>-8.7426553007909913E-3</v>
          </cell>
        </row>
        <row r="121">
          <cell r="J121">
            <v>-4.0396621373486319E-3</v>
          </cell>
          <cell r="K121">
            <v>-3.5787126768770383E-3</v>
          </cell>
        </row>
        <row r="122">
          <cell r="J122">
            <v>-3.4054629301170536E-2</v>
          </cell>
          <cell r="K122">
            <v>-1.0194101715317427E-2</v>
          </cell>
        </row>
        <row r="123">
          <cell r="J123">
            <v>-2.2538141470180295E-2</v>
          </cell>
          <cell r="K123">
            <v>-3.374072130164163E-3</v>
          </cell>
        </row>
        <row r="124">
          <cell r="J124">
            <v>-2.0713073005093507E-2</v>
          </cell>
          <cell r="K124">
            <v>1.3075984609127733E-3</v>
          </cell>
        </row>
        <row r="125">
          <cell r="J125">
            <v>1.3600816048962017E-3</v>
          </cell>
          <cell r="K125">
            <v>3.9193271821671427E-3</v>
          </cell>
        </row>
        <row r="126">
          <cell r="J126">
            <v>-7.0898041863604044E-3</v>
          </cell>
          <cell r="K126">
            <v>-3.080718583871378E-3</v>
          </cell>
        </row>
        <row r="127">
          <cell r="J127">
            <v>4.4082739911834867E-3</v>
          </cell>
          <cell r="K127">
            <v>2.1062451108757596E-3</v>
          </cell>
        </row>
        <row r="128">
          <cell r="J128">
            <v>-6.7362748400134898E-3</v>
          </cell>
          <cell r="K128">
            <v>-1.1287120522789351E-2</v>
          </cell>
        </row>
        <row r="129">
          <cell r="J129">
            <v>-3.3670033670041288E-4</v>
          </cell>
          <cell r="K129">
            <v>-7.996586372569392E-3</v>
          </cell>
        </row>
        <row r="130">
          <cell r="J130">
            <v>-3.6900369003690647E-3</v>
          </cell>
          <cell r="K130">
            <v>-9.545753785385247E-3</v>
          </cell>
        </row>
        <row r="131">
          <cell r="J131">
            <v>3.3557046979870719E-4</v>
          </cell>
          <cell r="K131">
            <v>3.9328638919033931E-3</v>
          </cell>
        </row>
        <row r="132">
          <cell r="J132">
            <v>2.3545240497813147E-3</v>
          </cell>
          <cell r="K132">
            <v>2.079368318472774E-2</v>
          </cell>
        </row>
        <row r="133">
          <cell r="J133">
            <v>-1.588877855014903E-2</v>
          </cell>
          <cell r="K133">
            <v>-3.0153098008170787E-2</v>
          </cell>
        </row>
        <row r="134">
          <cell r="J134">
            <v>-6.5767839526471583E-3</v>
          </cell>
          <cell r="K134">
            <v>-2.6064169421130545E-3</v>
          </cell>
        </row>
        <row r="135">
          <cell r="J135">
            <v>1.2991339107262023E-2</v>
          </cell>
          <cell r="K135">
            <v>1.6988650693567919E-3</v>
          </cell>
        </row>
        <row r="136">
          <cell r="J136">
            <v>2.0026702269690944E-3</v>
          </cell>
          <cell r="K136">
            <v>7.7939454078146397E-3</v>
          </cell>
        </row>
        <row r="137">
          <cell r="J137">
            <v>-1.9986675549632515E-3</v>
          </cell>
          <cell r="K137">
            <v>-3.5861755969868181E-3</v>
          </cell>
        </row>
        <row r="138">
          <cell r="J138">
            <v>-7.603305785124026E-3</v>
          </cell>
          <cell r="K138">
            <v>-3.4667328919659735E-3</v>
          </cell>
        </row>
        <row r="139">
          <cell r="J139">
            <v>-1.7218973359324319E-2</v>
          </cell>
          <cell r="K139">
            <v>-8.5437406290099771E-3</v>
          </cell>
        </row>
        <row r="140">
          <cell r="J140">
            <v>-3.9625585023400856E-2</v>
          </cell>
          <cell r="K140">
            <v>4.599203635924809E-3</v>
          </cell>
        </row>
        <row r="141">
          <cell r="J141">
            <v>-2.4898848428260845E-3</v>
          </cell>
          <cell r="K141">
            <v>-9.9293773780629868E-3</v>
          </cell>
        </row>
        <row r="142">
          <cell r="J142">
            <v>5.0046918986550448E-3</v>
          </cell>
          <cell r="K142">
            <v>-8.1566555324996681E-4</v>
          </cell>
        </row>
        <row r="143">
          <cell r="J143">
            <v>6.2597809076669897E-4</v>
          </cell>
          <cell r="K143">
            <v>-3.6234972298483381E-3</v>
          </cell>
        </row>
        <row r="144">
          <cell r="J144">
            <v>-4.982871379632603E-3</v>
          </cell>
          <cell r="K144">
            <v>-5.8194301569846063E-3</v>
          </cell>
        </row>
        <row r="145">
          <cell r="J145">
            <v>3.7511722413254844E-3</v>
          </cell>
          <cell r="K145">
            <v>-4.5023571163727016E-3</v>
          </cell>
        </row>
        <row r="146">
          <cell r="J146">
            <v>-3.1162355874103653E-3</v>
          </cell>
          <cell r="K146">
            <v>-1.6373888739816822E-3</v>
          </cell>
        </row>
        <row r="147">
          <cell r="J147">
            <v>3.1172069825435855E-4</v>
          </cell>
          <cell r="K147">
            <v>-5.1305333962067268E-3</v>
          </cell>
        </row>
        <row r="148">
          <cell r="J148">
            <v>2.1868166198062422E-3</v>
          </cell>
          <cell r="K148">
            <v>-7.2847835842837494E-3</v>
          </cell>
        </row>
        <row r="149">
          <cell r="J149">
            <v>-1.5595757953836831E-3</v>
          </cell>
          <cell r="K149">
            <v>-6.8296693902093475E-3</v>
          </cell>
        </row>
        <row r="150">
          <cell r="J150">
            <v>-6.2344139650871711E-4</v>
          </cell>
          <cell r="K150">
            <v>1.7667266481267152E-3</v>
          </cell>
        </row>
        <row r="151">
          <cell r="J151">
            <v>9.3603744149772794E-4</v>
          </cell>
          <cell r="K151">
            <v>1.970754922548501E-3</v>
          </cell>
        </row>
        <row r="152">
          <cell r="J152">
            <v>-6.2015503875969546E-3</v>
          </cell>
          <cell r="K152">
            <v>-2.0917120480304918E-3</v>
          </cell>
        </row>
        <row r="153">
          <cell r="J153">
            <v>5.2992518703240954E-3</v>
          </cell>
          <cell r="K153">
            <v>-1.6310643799745117E-3</v>
          </cell>
        </row>
        <row r="154">
          <cell r="J154">
            <v>-3.4172103137619647E-3</v>
          </cell>
          <cell r="K154">
            <v>-2.6766759401896101E-3</v>
          </cell>
        </row>
        <row r="155">
          <cell r="J155">
            <v>7.5117370892017199E-3</v>
          </cell>
          <cell r="K155">
            <v>9.4932885326826089E-4</v>
          </cell>
        </row>
        <row r="156">
          <cell r="J156">
            <v>3.4547738693468943E-3</v>
          </cell>
          <cell r="K156">
            <v>3.3327624790979726E-3</v>
          </cell>
        </row>
        <row r="157">
          <cell r="J157">
            <v>-4.6889653016567445E-3</v>
          </cell>
          <cell r="K157">
            <v>2.6102759599950787E-3</v>
          </cell>
        </row>
        <row r="158">
          <cell r="J158">
            <v>9.3867334167696548E-4</v>
          </cell>
          <cell r="K158">
            <v>-3.5257704212084962E-3</v>
          </cell>
        </row>
        <row r="159">
          <cell r="J159">
            <v>-3.1279324366584316E-4</v>
          </cell>
          <cell r="K159">
            <v>-1.0869231241934507E-3</v>
          </cell>
        </row>
        <row r="160">
          <cell r="J160">
            <v>-4.6699875466998941E-3</v>
          </cell>
          <cell r="K160">
            <v>-5.6234873682659003E-4</v>
          </cell>
        </row>
        <row r="161">
          <cell r="J161">
            <v>-4.3397396156231727E-3</v>
          </cell>
          <cell r="K161">
            <v>9.3171758775434377E-4</v>
          </cell>
        </row>
        <row r="162">
          <cell r="J162">
            <v>-6.7733990147782475E-3</v>
          </cell>
          <cell r="K162">
            <v>-3.1616541713345159E-3</v>
          </cell>
        </row>
        <row r="163">
          <cell r="J163">
            <v>-1.8438844499076845E-3</v>
          </cell>
          <cell r="K163">
            <v>-7.0039670009813815E-4</v>
          </cell>
        </row>
        <row r="164">
          <cell r="J164">
            <v>-3.0721966205848883E-4</v>
          </cell>
          <cell r="K164">
            <v>1.8289631849266463E-3</v>
          </cell>
        </row>
        <row r="165">
          <cell r="J165">
            <v>1.8467220683286989E-3</v>
          </cell>
          <cell r="K165">
            <v>3.2254341930644248E-3</v>
          </cell>
        </row>
        <row r="166">
          <cell r="J166">
            <v>-5.8139534883722144E-3</v>
          </cell>
          <cell r="K166">
            <v>1.608568759090323E-3</v>
          </cell>
        </row>
        <row r="167">
          <cell r="J167">
            <v>8.9533806730472953E-3</v>
          </cell>
          <cell r="K167">
            <v>3.1906834362753766E-3</v>
          </cell>
        </row>
        <row r="168">
          <cell r="J168">
            <v>-2.7709359605911921E-3</v>
          </cell>
          <cell r="K168">
            <v>-5.6726031714310343E-3</v>
          </cell>
        </row>
        <row r="169">
          <cell r="J169">
            <v>-1.5370427297879408E-3</v>
          </cell>
          <cell r="K169">
            <v>1.4047484345713901E-3</v>
          </cell>
        </row>
        <row r="170">
          <cell r="J170">
            <v>-3.0731407498452157E-4</v>
          </cell>
          <cell r="K170">
            <v>4.9094070013921964E-4</v>
          </cell>
        </row>
        <row r="171">
          <cell r="J171">
            <v>-4.5885591924136326E-3</v>
          </cell>
          <cell r="K171">
            <v>-5.0874696159689536E-3</v>
          </cell>
        </row>
        <row r="172">
          <cell r="J172">
            <v>6.1557402277623297E-3</v>
          </cell>
          <cell r="K172">
            <v>-3.0896435834519842E-3</v>
          </cell>
        </row>
        <row r="173">
          <cell r="J173">
            <v>-1.0054844606947055E-2</v>
          </cell>
          <cell r="K173">
            <v>-1.9915003906770812E-3</v>
          </cell>
        </row>
        <row r="174">
          <cell r="J174">
            <v>-4.6207497820401122E-2</v>
          </cell>
          <cell r="K174">
            <v>-3.9085857905157839E-3</v>
          </cell>
        </row>
        <row r="175">
          <cell r="J175">
            <v>-2.3195129022903771E-3</v>
          </cell>
          <cell r="K175">
            <v>6.2923237089180795E-3</v>
          </cell>
        </row>
        <row r="176">
          <cell r="J176">
            <v>-4.3302540415703916E-3</v>
          </cell>
          <cell r="K176">
            <v>2.0251245604732127E-3</v>
          </cell>
        </row>
        <row r="177">
          <cell r="J177">
            <v>2.0248770610356015E-3</v>
          </cell>
          <cell r="K177">
            <v>4.6150562363831416E-3</v>
          </cell>
        </row>
        <row r="178">
          <cell r="J178">
            <v>5.8190282222869705E-3</v>
          </cell>
          <cell r="K178">
            <v>1.5272203434224529E-3</v>
          </cell>
        </row>
        <row r="179">
          <cell r="J179">
            <v>-2.9086678301348812E-4</v>
          </cell>
          <cell r="K179">
            <v>-2.0679581795818303E-3</v>
          </cell>
        </row>
        <row r="180">
          <cell r="J180">
            <v>-5.7836899942163011E-3</v>
          </cell>
          <cell r="K180">
            <v>-1.5983789789179026E-3</v>
          </cell>
        </row>
        <row r="181">
          <cell r="J181">
            <v>1.5267175572519109E-2</v>
          </cell>
          <cell r="K181">
            <v>2.4524984707949837E-3</v>
          </cell>
        </row>
        <row r="182">
          <cell r="J182">
            <v>5.9066745422327038E-3</v>
          </cell>
          <cell r="K182">
            <v>-5.1908303021441782E-4</v>
          </cell>
        </row>
        <row r="183">
          <cell r="J183">
            <v>5.046007717423695E-3</v>
          </cell>
          <cell r="K183">
            <v>2.2853311032406953E-3</v>
          </cell>
        </row>
        <row r="184">
          <cell r="J184">
            <v>-5.9329575793543032E-4</v>
          </cell>
          <cell r="K184">
            <v>-4.6802322781946959E-4</v>
          </cell>
        </row>
        <row r="185">
          <cell r="J185">
            <v>-1.481042654028486E-3</v>
          </cell>
          <cell r="K185">
            <v>3.4342942399716581E-3</v>
          </cell>
        </row>
        <row r="186">
          <cell r="J186">
            <v>2.9708853238266109E-3</v>
          </cell>
          <cell r="K186">
            <v>1.6260540314525507E-3</v>
          </cell>
        </row>
        <row r="187">
          <cell r="J187">
            <v>-3.5523978685612079E-3</v>
          </cell>
          <cell r="K187">
            <v>-2.5679740808390861E-3</v>
          </cell>
        </row>
        <row r="188">
          <cell r="J188">
            <v>-5.9171597633134176E-4</v>
          </cell>
          <cell r="K188">
            <v>1.7640027388463597E-3</v>
          </cell>
        </row>
        <row r="189">
          <cell r="J189">
            <v>-1.7720023626698334E-3</v>
          </cell>
          <cell r="K189">
            <v>4.4139303018646547E-3</v>
          </cell>
        </row>
        <row r="190">
          <cell r="J190">
            <v>4.7477744807122857E-3</v>
          </cell>
          <cell r="K190">
            <v>2.9149759805968678E-4</v>
          </cell>
        </row>
        <row r="191">
          <cell r="J191">
            <v>5.9382422802856105E-4</v>
          </cell>
          <cell r="K191">
            <v>3.8410893165436999E-3</v>
          </cell>
        </row>
        <row r="192">
          <cell r="J192">
            <v>4.174120453190433E-3</v>
          </cell>
          <cell r="K192">
            <v>2.5914842848482333E-3</v>
          </cell>
        </row>
        <row r="193">
          <cell r="J193">
            <v>6.9048333833681141E-3</v>
          </cell>
          <cell r="K193">
            <v>7.6283469372162571E-5</v>
          </cell>
        </row>
        <row r="194">
          <cell r="J194">
            <v>4.2206813385590181E-3</v>
          </cell>
          <cell r="K194">
            <v>-2.7133945326367481E-3</v>
          </cell>
        </row>
        <row r="195">
          <cell r="J195">
            <v>2.7206771463119672E-3</v>
          </cell>
          <cell r="K195">
            <v>-7.0954335816741931E-4</v>
          </cell>
        </row>
        <row r="196">
          <cell r="J196">
            <v>-8.6904405154329956E-3</v>
          </cell>
          <cell r="K196">
            <v>-7.0588963966142781E-3</v>
          </cell>
        </row>
        <row r="197">
          <cell r="J197">
            <v>-5.9577003276735097E-3</v>
          </cell>
          <cell r="K197">
            <v>-2.0686697931716624E-3</v>
          </cell>
        </row>
        <row r="198">
          <cell r="J198">
            <v>-2.9779630732584828E-4</v>
          </cell>
          <cell r="K198">
            <v>-4.8783113123772592E-3</v>
          </cell>
        </row>
        <row r="199">
          <cell r="J199">
            <v>8.1056739717801918E-3</v>
          </cell>
          <cell r="K199">
            <v>1.3068171976373666E-3</v>
          </cell>
        </row>
        <row r="200">
          <cell r="J200">
            <v>6.0404711567503266E-3</v>
          </cell>
          <cell r="K200">
            <v>1.2059011437653755E-2</v>
          </cell>
        </row>
        <row r="201">
          <cell r="J201">
            <v>5.1608986035216464E-3</v>
          </cell>
          <cell r="K201">
            <v>-1.6723318528659714E-3</v>
          </cell>
        </row>
        <row r="202">
          <cell r="J202">
            <v>-1.0513667768098478E-2</v>
          </cell>
          <cell r="K202">
            <v>-1.6210853700441286E-3</v>
          </cell>
        </row>
        <row r="203">
          <cell r="J203">
            <v>-1.8283692126216611E-2</v>
          </cell>
          <cell r="K203">
            <v>-1.9604493893499164E-4</v>
          </cell>
        </row>
        <row r="204">
          <cell r="J204">
            <v>2.0156438026474266E-2</v>
          </cell>
          <cell r="K204">
            <v>-8.191466628677313E-3</v>
          </cell>
        </row>
        <row r="205">
          <cell r="J205">
            <v>1.7447199265381075E-2</v>
          </cell>
          <cell r="K205">
            <v>1.8187078109932475E-3</v>
          </cell>
        </row>
        <row r="206">
          <cell r="J206">
            <v>1.8399264029438367E-3</v>
          </cell>
          <cell r="K206">
            <v>-1.1135128053971766E-3</v>
          </cell>
        </row>
        <row r="207">
          <cell r="J207">
            <v>2.7675276752767708E-3</v>
          </cell>
          <cell r="K207">
            <v>-1.5503458463811404E-3</v>
          </cell>
        </row>
        <row r="208">
          <cell r="J208">
            <v>3.0845157310301907E-3</v>
          </cell>
          <cell r="K208">
            <v>-1.5001096233946409E-4</v>
          </cell>
        </row>
        <row r="209">
          <cell r="J209">
            <v>-2.768378960320006E-3</v>
          </cell>
          <cell r="K209">
            <v>-3.5529765281248071E-3</v>
          </cell>
        </row>
        <row r="210">
          <cell r="J210">
            <v>6.1900340451872538E-3</v>
          </cell>
          <cell r="K210">
            <v>3.2972678685094792E-4</v>
          </cell>
        </row>
        <row r="211">
          <cell r="J211">
            <v>1.8604651162792418E-3</v>
          </cell>
          <cell r="K211">
            <v>9.1153188427104404E-3</v>
          </cell>
        </row>
        <row r="212">
          <cell r="J212">
            <v>-3.0911901081916993E-3</v>
          </cell>
          <cell r="K212">
            <v>-2.8428924787127219E-4</v>
          </cell>
        </row>
        <row r="213">
          <cell r="J213">
            <v>-5.8389674247080192E-3</v>
          </cell>
          <cell r="K213">
            <v>-9.7250443832026523E-3</v>
          </cell>
        </row>
        <row r="214">
          <cell r="J214">
            <v>3.7014188772361845E-3</v>
          </cell>
          <cell r="K214">
            <v>2.565180743479889E-3</v>
          </cell>
        </row>
        <row r="215">
          <cell r="J215">
            <v>1.3125000000000053E-2</v>
          </cell>
          <cell r="K215">
            <v>-3.1332662147004475E-3</v>
          </cell>
        </row>
        <row r="216">
          <cell r="J216">
            <v>1.7164653528289886E-2</v>
          </cell>
          <cell r="K216">
            <v>2.3337897101713301E-2</v>
          </cell>
        </row>
        <row r="217">
          <cell r="J217">
            <v>3.5087719298245723E-3</v>
          </cell>
          <cell r="K217">
            <v>-3.7213386671869353E-3</v>
          </cell>
        </row>
        <row r="218">
          <cell r="J218">
            <v>-8.85235535883655E-3</v>
          </cell>
          <cell r="K218">
            <v>-8.1926442325371829E-3</v>
          </cell>
        </row>
        <row r="219">
          <cell r="J219">
            <v>-5.0330292544824573E-3</v>
          </cell>
          <cell r="K219">
            <v>-2.9030497505244668E-5</v>
          </cell>
        </row>
        <row r="220">
          <cell r="J220">
            <v>9.4458438287148283E-4</v>
          </cell>
          <cell r="K220">
            <v>-5.7419729757813842E-3</v>
          </cell>
        </row>
        <row r="221">
          <cell r="J221">
            <v>-9.0483619344773336E-3</v>
          </cell>
          <cell r="K221">
            <v>-7.9318566653368006E-3</v>
          </cell>
        </row>
        <row r="222">
          <cell r="J222">
            <v>-1.0191476219888806E-2</v>
          </cell>
          <cell r="K222">
            <v>2.3574209967374138E-3</v>
          </cell>
        </row>
        <row r="223">
          <cell r="J223">
            <v>1.441102756892243E-2</v>
          </cell>
          <cell r="K223">
            <v>4.6348093211379116E-3</v>
          </cell>
        </row>
        <row r="224">
          <cell r="J224">
            <v>-1.5639662183296599E-3</v>
          </cell>
          <cell r="K224">
            <v>1.8006428391226237E-3</v>
          </cell>
        </row>
        <row r="225">
          <cell r="J225">
            <v>-4.3600124571785415E-3</v>
          </cell>
          <cell r="K225">
            <v>-1.0292538967359155E-3</v>
          </cell>
        </row>
        <row r="226">
          <cell r="J226">
            <v>7.2145545796737931E-3</v>
          </cell>
          <cell r="K226">
            <v>1.0656934590414613E-2</v>
          </cell>
        </row>
        <row r="227">
          <cell r="J227">
            <v>1.1421319796954377E-2</v>
          </cell>
          <cell r="K227">
            <v>1.3628938519858469E-3</v>
          </cell>
        </row>
        <row r="228">
          <cell r="J228">
            <v>-9.4280326838466211E-3</v>
          </cell>
          <cell r="K228">
            <v>-1.1822809846120608E-2</v>
          </cell>
        </row>
        <row r="229">
          <cell r="J229">
            <v>-1.4555589965933646E-2</v>
          </cell>
          <cell r="K229">
            <v>-9.090111834303749E-3</v>
          </cell>
        </row>
        <row r="230">
          <cell r="J230">
            <v>7.8027465667915852E-3</v>
          </cell>
          <cell r="K230">
            <v>4.95931454643328E-4</v>
          </cell>
        </row>
        <row r="231">
          <cell r="J231">
            <v>5.0188205771641847E-3</v>
          </cell>
          <cell r="K231">
            <v>-1.0831932408439826E-2</v>
          </cell>
        </row>
        <row r="232">
          <cell r="J232">
            <v>-2.2085889570552131E-2</v>
          </cell>
          <cell r="K232">
            <v>-1.0318691845320527E-2</v>
          </cell>
        </row>
        <row r="233">
          <cell r="J233">
            <v>1.536098310291889E-3</v>
          </cell>
          <cell r="K233">
            <v>7.3946298170435298E-3</v>
          </cell>
        </row>
        <row r="234">
          <cell r="J234">
            <v>-1.0036496350364965E-2</v>
          </cell>
          <cell r="K234">
            <v>3.3312131844323023E-3</v>
          </cell>
        </row>
        <row r="235">
          <cell r="J235">
            <v>9.8280098280096873E-3</v>
          </cell>
          <cell r="K235">
            <v>-6.571768208766593E-3</v>
          </cell>
        </row>
        <row r="236">
          <cell r="J236">
            <v>1.401432575521655E-2</v>
          </cell>
          <cell r="K236">
            <v>3.214623621934809E-3</v>
          </cell>
        </row>
        <row r="237">
          <cell r="J237">
            <v>1.7104846373139138E-2</v>
          </cell>
          <cell r="K237">
            <v>-5.7508023070536041E-3</v>
          </cell>
        </row>
        <row r="238">
          <cell r="J238">
            <v>-1.2654223347042803E-3</v>
          </cell>
          <cell r="K238">
            <v>-3.3438831542101921E-3</v>
          </cell>
        </row>
        <row r="239">
          <cell r="J239">
            <v>4.1296060991105055E-3</v>
          </cell>
          <cell r="K239">
            <v>2.14221799143266E-2</v>
          </cell>
        </row>
        <row r="240">
          <cell r="J240">
            <v>1.9096117122852085E-3</v>
          </cell>
          <cell r="K240">
            <v>1.0212716851944581E-2</v>
          </cell>
        </row>
        <row r="241">
          <cell r="J241">
            <v>-1.039370078740165E-2</v>
          </cell>
          <cell r="K241">
            <v>6.6913979910314669E-3</v>
          </cell>
        </row>
        <row r="242">
          <cell r="J242">
            <v>2.0244215938303389E-2</v>
          </cell>
          <cell r="K242">
            <v>2.9400099255978862E-2</v>
          </cell>
        </row>
        <row r="243">
          <cell r="J243">
            <v>2.1667760998030028E-2</v>
          </cell>
          <cell r="K243">
            <v>2.425217361126708E-2</v>
          </cell>
        </row>
        <row r="244">
          <cell r="J244">
            <v>-3.881350583780363E-2</v>
          </cell>
          <cell r="K244">
            <v>-4.2245727916161657E-2</v>
          </cell>
        </row>
        <row r="245">
          <cell r="J245">
            <v>-1.6754576481538996E-2</v>
          </cell>
          <cell r="K245">
            <v>-1.0675481982827084E-2</v>
          </cell>
        </row>
        <row r="246">
          <cell r="J246">
            <v>-2.540066525551854E-2</v>
          </cell>
          <cell r="K246">
            <v>-1.3732002739532678E-2</v>
          </cell>
        </row>
        <row r="247">
          <cell r="J247">
            <v>4.251442453689469E-3</v>
          </cell>
          <cell r="K247">
            <v>1.3272480190833047E-2</v>
          </cell>
        </row>
        <row r="248">
          <cell r="J248">
            <v>-1.7014925373134315E-2</v>
          </cell>
          <cell r="K248">
            <v>-1.6141179692581553E-2</v>
          </cell>
        </row>
        <row r="249">
          <cell r="J249">
            <v>-7.7014218009479052E-3</v>
          </cell>
          <cell r="K249">
            <v>-1.0953291912847773E-2</v>
          </cell>
        </row>
        <row r="250">
          <cell r="J250">
            <v>6.5593321407275695E-3</v>
          </cell>
          <cell r="K250">
            <v>-9.2714071666579745E-3</v>
          </cell>
        </row>
        <row r="251">
          <cell r="J251">
            <v>-2.9806259314457684E-4</v>
          </cell>
          <cell r="K251">
            <v>-1.4106157207353087E-3</v>
          </cell>
        </row>
        <row r="252">
          <cell r="J252">
            <v>-7.6900325347530885E-3</v>
          </cell>
          <cell r="K252">
            <v>-8.9486283810951139E-3</v>
          </cell>
        </row>
        <row r="253">
          <cell r="J253">
            <v>2.6411657559198609E-2</v>
          </cell>
          <cell r="K253">
            <v>1.8567709018225909E-2</v>
          </cell>
        </row>
        <row r="254">
          <cell r="J254">
            <v>1.1049723756906049E-2</v>
          </cell>
          <cell r="K254">
            <v>-2.2192815076119699E-3</v>
          </cell>
        </row>
        <row r="255">
          <cell r="J255">
            <v>-3.5809411068363328E-2</v>
          </cell>
          <cell r="K255">
            <v>-2.3344280541429008E-2</v>
          </cell>
        </row>
        <row r="256">
          <cell r="J256">
            <v>-9.381413075344569E-3</v>
          </cell>
          <cell r="K256">
            <v>1.5749937201938735E-3</v>
          </cell>
        </row>
        <row r="257">
          <cell r="J257">
            <v>-2.1233859397417398E-2</v>
          </cell>
          <cell r="K257">
            <v>-2.3682981012443038E-2</v>
          </cell>
        </row>
        <row r="258">
          <cell r="J258">
            <v>-4.8543689320388328E-3</v>
          </cell>
          <cell r="K258">
            <v>-6.7934927549115898E-3</v>
          </cell>
        </row>
        <row r="259">
          <cell r="J259">
            <v>2.2896393817974925E-3</v>
          </cell>
          <cell r="K259">
            <v>-2.5943718268598426E-3</v>
          </cell>
        </row>
        <row r="260">
          <cell r="J260">
            <v>-5.69151963574277E-3</v>
          </cell>
          <cell r="K260">
            <v>-1.6975478121715182E-2</v>
          </cell>
        </row>
        <row r="261">
          <cell r="J261">
            <v>5.7240984544935092E-3</v>
          </cell>
          <cell r="K261">
            <v>-7.1738122105379221E-3</v>
          </cell>
        </row>
        <row r="262">
          <cell r="J262">
            <v>1.9253208868144522E-2</v>
          </cell>
          <cell r="K262">
            <v>3.0501407022787141E-3</v>
          </cell>
        </row>
        <row r="263">
          <cell r="J263">
            <v>-1.7472335468839972E-3</v>
          </cell>
          <cell r="K263">
            <v>4.3799158540052119E-3</v>
          </cell>
        </row>
        <row r="264">
          <cell r="J264">
            <v>4.535768645357674E-2</v>
          </cell>
          <cell r="K264">
            <v>7.2232154460549758E-3</v>
          </cell>
        </row>
        <row r="265">
          <cell r="J265">
            <v>-6.9528415961306322E-3</v>
          </cell>
          <cell r="K265">
            <v>2.2071247535906391E-3</v>
          </cell>
        </row>
        <row r="266">
          <cell r="J266">
            <v>-2.4125452352231624E-3</v>
          </cell>
          <cell r="K266">
            <v>-7.8442055559048152E-3</v>
          </cell>
        </row>
        <row r="267">
          <cell r="J267">
            <v>-1.4268727705112783E-2</v>
          </cell>
          <cell r="K267">
            <v>2.1981252931417838E-3</v>
          </cell>
        </row>
        <row r="268">
          <cell r="J268">
            <v>-1.0005885815185467E-2</v>
          </cell>
          <cell r="K268">
            <v>1.9516625955884326E-3</v>
          </cell>
        </row>
        <row r="269">
          <cell r="J269">
            <v>3.2477118393858806E-3</v>
          </cell>
          <cell r="K269">
            <v>1.3018825694461666E-2</v>
          </cell>
        </row>
        <row r="270">
          <cell r="J270">
            <v>8.8652482269502286E-4</v>
          </cell>
          <cell r="K270">
            <v>-1.7300760214011945E-2</v>
          </cell>
        </row>
        <row r="271">
          <cell r="J271">
            <v>-5.5833088451366919E-3</v>
          </cell>
          <cell r="K271">
            <v>-1.8156251796893619E-3</v>
          </cell>
        </row>
        <row r="272">
          <cell r="J272">
            <v>-9.0273733255678001E-3</v>
          </cell>
          <cell r="K272">
            <v>-8.2000926290759502E-3</v>
          </cell>
        </row>
        <row r="273">
          <cell r="J273">
            <v>1.4581510644502416E-3</v>
          </cell>
          <cell r="K273">
            <v>-2.9618985097462636E-3</v>
          </cell>
        </row>
        <row r="274">
          <cell r="J274">
            <v>-3.1976744186047457E-3</v>
          </cell>
          <cell r="K274">
            <v>-1.2232057638839056E-4</v>
          </cell>
        </row>
        <row r="275">
          <cell r="J275">
            <v>-1.4044138721696742E-2</v>
          </cell>
          <cell r="K275">
            <v>8.2877198955653153E-3</v>
          </cell>
        </row>
        <row r="276">
          <cell r="J276">
            <v>5.7913887204366077E-2</v>
          </cell>
          <cell r="K276">
            <v>1.2474981444938082E-2</v>
          </cell>
        </row>
        <row r="277">
          <cell r="J277">
            <v>-4.7371461582899954E-2</v>
          </cell>
          <cell r="K277">
            <v>-2.4807365717414154E-3</v>
          </cell>
        </row>
        <row r="278">
          <cell r="J278">
            <v>3.6526946107784397E-2</v>
          </cell>
          <cell r="K278">
            <v>1.6579394181517326E-2</v>
          </cell>
        </row>
        <row r="279">
          <cell r="J279">
            <v>-2.9915771129828683E-2</v>
          </cell>
          <cell r="K279">
            <v>-1.8966434310349611E-2</v>
          </cell>
        </row>
        <row r="280">
          <cell r="J280">
            <v>-2.9594137542277354E-2</v>
          </cell>
          <cell r="K280">
            <v>-1.0411237834365594E-2</v>
          </cell>
        </row>
        <row r="281">
          <cell r="J281">
            <v>-5.888594164456229E-2</v>
          </cell>
          <cell r="K281">
            <v>-2.1740087807257669E-2</v>
          </cell>
        </row>
        <row r="282">
          <cell r="J282">
            <v>-5.8016877637130371E-3</v>
          </cell>
          <cell r="K282">
            <v>-8.219702760227654E-3</v>
          </cell>
        </row>
        <row r="283">
          <cell r="J283">
            <v>6.6666666666666652E-2</v>
          </cell>
          <cell r="K283">
            <v>3.4539839656928528E-3</v>
          </cell>
        </row>
        <row r="284">
          <cell r="J284">
            <v>0.11862806796727488</v>
          </cell>
          <cell r="K284">
            <v>1.2607999243856582E-3</v>
          </cell>
        </row>
        <row r="285">
          <cell r="J285">
            <v>8.7239137872049177E-2</v>
          </cell>
          <cell r="K285">
            <v>5.4463683462097734E-2</v>
          </cell>
        </row>
        <row r="286">
          <cell r="J286">
            <v>8.7425595238095344E-2</v>
          </cell>
          <cell r="K286">
            <v>3.5450628591225941E-2</v>
          </cell>
        </row>
        <row r="287">
          <cell r="J287">
            <v>5.4945054945054972E-2</v>
          </cell>
          <cell r="K287">
            <v>1.7338027799338018E-2</v>
          </cell>
        </row>
        <row r="288">
          <cell r="J288">
            <v>9.108910891089117E-3</v>
          </cell>
          <cell r="K288">
            <v>1.0125992572630693E-2</v>
          </cell>
        </row>
        <row r="289">
          <cell r="J289">
            <v>6.7783094098883279E-3</v>
          </cell>
          <cell r="K289">
            <v>2.0760864820961178E-3</v>
          </cell>
        </row>
        <row r="290">
          <cell r="J290">
            <v>-1.337529504327295E-2</v>
          </cell>
          <cell r="K290">
            <v>-1.1389731044005535E-2</v>
          </cell>
        </row>
        <row r="291">
          <cell r="J291">
            <v>3.9354584809125903E-4</v>
          </cell>
          <cell r="K291">
            <v>-1.5407349939504766E-2</v>
          </cell>
        </row>
        <row r="292">
          <cell r="J292">
            <v>2.0072260136491327E-2</v>
          </cell>
          <cell r="K292">
            <v>1.1740234692561691E-2</v>
          </cell>
        </row>
        <row r="293">
          <cell r="J293">
            <v>-9.9364069952305734E-3</v>
          </cell>
          <cell r="K293">
            <v>-1.756540897824288E-2</v>
          </cell>
        </row>
        <row r="294">
          <cell r="J294">
            <v>9.2258323305254297E-3</v>
          </cell>
          <cell r="K294">
            <v>-6.6823024763184025E-3</v>
          </cell>
        </row>
        <row r="295">
          <cell r="J295">
            <v>1.9215044971381934E-2</v>
          </cell>
          <cell r="K295">
            <v>-3.336390171687631E-4</v>
          </cell>
        </row>
        <row r="296">
          <cell r="J296">
            <v>4.5174537987680008E-3</v>
          </cell>
          <cell r="K296">
            <v>-3.9605722400385401E-3</v>
          </cell>
        </row>
        <row r="297">
          <cell r="J297">
            <v>-4.903964037596964E-3</v>
          </cell>
          <cell r="K297">
            <v>-1.1074895168314391E-2</v>
          </cell>
        </row>
        <row r="298">
          <cell r="J298">
            <v>-1.631986944104491E-3</v>
          </cell>
          <cell r="K298">
            <v>-4.6830454094536345E-3</v>
          </cell>
        </row>
        <row r="299">
          <cell r="J299">
            <v>-1.4871382636655994E-2</v>
          </cell>
          <cell r="K299">
            <v>5.3947881530307384E-3</v>
          </cell>
        </row>
        <row r="300">
          <cell r="J300">
            <v>1.3029315960912058E-2</v>
          </cell>
          <cell r="K300">
            <v>1.2199957799460037E-2</v>
          </cell>
        </row>
        <row r="301">
          <cell r="J301">
            <v>2.2481265611989931E-2</v>
          </cell>
          <cell r="K301">
            <v>2.3022643026215928E-2</v>
          </cell>
        </row>
        <row r="302">
          <cell r="J302">
            <v>-1.5573770491803307E-2</v>
          </cell>
          <cell r="K302">
            <v>6.301273924710582E-3</v>
          </cell>
        </row>
        <row r="303">
          <cell r="J303">
            <v>1.0770505385252704E-2</v>
          </cell>
          <cell r="K303">
            <v>-2.8419859543901138E-3</v>
          </cell>
        </row>
        <row r="304">
          <cell r="J304">
            <v>2.201524132091448E-2</v>
          </cell>
          <cell r="K304">
            <v>9.9364099933618721E-3</v>
          </cell>
        </row>
        <row r="305">
          <cell r="J305">
            <v>3.2794053344993523E-2</v>
          </cell>
          <cell r="K305">
            <v>1.1614242327121715E-2</v>
          </cell>
        </row>
        <row r="306">
          <cell r="J306">
            <v>2.191060473269113E-3</v>
          </cell>
          <cell r="K306">
            <v>4.1473586210465374E-3</v>
          </cell>
        </row>
        <row r="307">
          <cell r="J307">
            <v>1.4673188083592636E-2</v>
          </cell>
          <cell r="K307">
            <v>-4.5651042212913051E-3</v>
          </cell>
        </row>
        <row r="308">
          <cell r="J308">
            <v>1.2151215121512182E-2</v>
          </cell>
          <cell r="K308">
            <v>1.6032533934722926E-2</v>
          </cell>
        </row>
        <row r="309">
          <cell r="J309">
            <v>-8.4783578759483058E-3</v>
          </cell>
          <cell r="K309">
            <v>8.5134071018657664E-3</v>
          </cell>
        </row>
        <row r="310">
          <cell r="J310">
            <v>4.9327354260089162E-3</v>
          </cell>
          <cell r="K310">
            <v>6.8087031790999841E-3</v>
          </cell>
        </row>
        <row r="311">
          <cell r="J311">
            <v>-2.2371364653244186E-3</v>
          </cell>
          <cell r="K311">
            <v>2.5995952678685708E-3</v>
          </cell>
        </row>
        <row r="312">
          <cell r="J312">
            <v>-8.4294587400177701E-3</v>
          </cell>
          <cell r="K312">
            <v>-7.0252198931037846E-3</v>
          </cell>
        </row>
        <row r="313">
          <cell r="J313">
            <v>-9.666080843585223E-3</v>
          </cell>
          <cell r="K313">
            <v>-2.5094895862769362E-2</v>
          </cell>
        </row>
        <row r="314">
          <cell r="J314">
            <v>6.1892130857648109E-3</v>
          </cell>
          <cell r="K314">
            <v>2.4787677748703274E-3</v>
          </cell>
        </row>
        <row r="315">
          <cell r="J315">
            <v>-5.7142857142857828E-3</v>
          </cell>
          <cell r="K315">
            <v>-4.4135050204572313E-3</v>
          </cell>
        </row>
        <row r="316">
          <cell r="J316">
            <v>7.9751883030572124E-3</v>
          </cell>
          <cell r="K316">
            <v>2.2728878855073908E-3</v>
          </cell>
        </row>
        <row r="317">
          <cell r="J317">
            <v>9.8434004474272641E-3</v>
          </cell>
          <cell r="K317">
            <v>-3.1093153794011785E-3</v>
          </cell>
        </row>
        <row r="318">
          <cell r="J318">
            <v>-1.8445322793148811E-2</v>
          </cell>
          <cell r="K318">
            <v>4.4811830476252368E-3</v>
          </cell>
        </row>
        <row r="319">
          <cell r="J319">
            <v>9.7560975609756184E-3</v>
          </cell>
          <cell r="K319">
            <v>-9.5380080623163055E-3</v>
          </cell>
        </row>
        <row r="320">
          <cell r="J320">
            <v>-1.6572176188399568E-2</v>
          </cell>
          <cell r="K320">
            <v>-5.9579852820440538E-3</v>
          </cell>
        </row>
        <row r="321">
          <cell r="J321">
            <v>1.9564250778123737E-2</v>
          </cell>
          <cell r="K321">
            <v>-3.5388901438127007E-4</v>
          </cell>
        </row>
        <row r="322">
          <cell r="J322">
            <v>-1.775410563692903E-3</v>
          </cell>
          <cell r="K322">
            <v>-1.0928860010053887E-2</v>
          </cell>
        </row>
        <row r="323">
          <cell r="J323">
            <v>4.0106951871659025E-3</v>
          </cell>
          <cell r="K323">
            <v>-4.1808422867629647E-3</v>
          </cell>
        </row>
        <row r="324">
          <cell r="J324">
            <v>-3.4007748600947019E-2</v>
          </cell>
          <cell r="K324">
            <v>-2.2432586245020425E-2</v>
          </cell>
        </row>
        <row r="325">
          <cell r="J325">
            <v>-5.5650684931506378E-3</v>
          </cell>
          <cell r="K325">
            <v>-1.8055505300863528E-3</v>
          </cell>
        </row>
        <row r="326">
          <cell r="J326">
            <v>-1.4345991561181437E-2</v>
          </cell>
          <cell r="K326">
            <v>-1.0423193844192769E-2</v>
          </cell>
        </row>
        <row r="327">
          <cell r="J327">
            <v>-6.7057837384744134E-3</v>
          </cell>
          <cell r="K327">
            <v>-1.431858769384986E-2</v>
          </cell>
        </row>
        <row r="328">
          <cell r="J328">
            <v>5.0547598989048037E-3</v>
          </cell>
          <cell r="K328">
            <v>1.0086468058045917E-3</v>
          </cell>
        </row>
        <row r="329">
          <cell r="J329">
            <v>-5.446166736489233E-3</v>
          </cell>
          <cell r="K329">
            <v>-5.2242399108732851E-3</v>
          </cell>
        </row>
        <row r="330">
          <cell r="J330">
            <v>-3.3402922755741971E-3</v>
          </cell>
          <cell r="K330">
            <v>-6.0259061565547389E-3</v>
          </cell>
        </row>
        <row r="331">
          <cell r="J331">
            <v>-8.3437630371296923E-4</v>
          </cell>
          <cell r="K331">
            <v>-3.0382293059927346E-4</v>
          </cell>
        </row>
        <row r="332">
          <cell r="J332">
            <v>8.8383838383838675E-3</v>
          </cell>
          <cell r="K332">
            <v>1.9832076429264767E-2</v>
          </cell>
        </row>
        <row r="333">
          <cell r="J333">
            <v>7.6335877862594437E-3</v>
          </cell>
          <cell r="K333">
            <v>5.5509297807383451E-3</v>
          </cell>
        </row>
        <row r="334">
          <cell r="J334">
            <v>-2.9598308668075113E-3</v>
          </cell>
          <cell r="K334">
            <v>2.6859663643756804E-3</v>
          </cell>
        </row>
        <row r="335">
          <cell r="J335">
            <v>6.382978723404209E-3</v>
          </cell>
          <cell r="K335">
            <v>9.279729200794451E-3</v>
          </cell>
        </row>
        <row r="336">
          <cell r="J336">
            <v>1.0752688172043001E-2</v>
          </cell>
          <cell r="K336">
            <v>-1.084250318607205E-2</v>
          </cell>
        </row>
        <row r="337">
          <cell r="J337">
            <v>-4.2992261392948983E-4</v>
          </cell>
          <cell r="K337">
            <v>-9.6989319459457324E-3</v>
          </cell>
        </row>
        <row r="338">
          <cell r="J338">
            <v>-2.1450021450021284E-3</v>
          </cell>
          <cell r="K338">
            <v>-7.2706511338586077E-3</v>
          </cell>
        </row>
        <row r="339">
          <cell r="J339">
            <v>-6.817213463996552E-3</v>
          </cell>
          <cell r="K339">
            <v>-2.0785377785671466E-3</v>
          </cell>
        </row>
        <row r="340">
          <cell r="J340">
            <v>-9.2866188265091631E-3</v>
          </cell>
          <cell r="K340">
            <v>-1.3373191504865933E-2</v>
          </cell>
        </row>
        <row r="341">
          <cell r="J341">
            <v>3.3883947479882437E-3</v>
          </cell>
          <cell r="K341">
            <v>-1.8719976171426289E-3</v>
          </cell>
        </row>
        <row r="342">
          <cell r="J342">
            <v>-1.1720385098367592E-2</v>
          </cell>
          <cell r="K342">
            <v>-7.2506779124281717E-4</v>
          </cell>
        </row>
        <row r="343">
          <cell r="J343">
            <v>-4.5833333333332726E-3</v>
          </cell>
          <cell r="K343">
            <v>-1.4549572056363314E-2</v>
          </cell>
        </row>
        <row r="344">
          <cell r="J344">
            <v>-8.3263946711065184E-4</v>
          </cell>
          <cell r="K344">
            <v>1.1726810348992034E-2</v>
          </cell>
        </row>
        <row r="345">
          <cell r="J345">
            <v>2.5041736227044975E-3</v>
          </cell>
          <cell r="K345">
            <v>3.4694810321187486E-3</v>
          </cell>
        </row>
        <row r="346">
          <cell r="J346">
            <v>7.9932688262516205E-3</v>
          </cell>
          <cell r="K346">
            <v>6.5662902551233415E-3</v>
          </cell>
        </row>
        <row r="347">
          <cell r="J347">
            <v>3.3769523005486857E-3</v>
          </cell>
          <cell r="K347">
            <v>-3.9886277246077295E-3</v>
          </cell>
        </row>
        <row r="348">
          <cell r="J348">
            <v>4.6649703138252896E-3</v>
          </cell>
          <cell r="K348">
            <v>-2.9333734833419944E-3</v>
          </cell>
        </row>
        <row r="349">
          <cell r="J349">
            <v>-1.2149141181399203E-2</v>
          </cell>
          <cell r="K349">
            <v>2.7157503106192138E-3</v>
          </cell>
        </row>
        <row r="350">
          <cell r="J350">
            <v>-1.2003311258278138E-2</v>
          </cell>
          <cell r="K350">
            <v>-1.2290916445421018E-2</v>
          </cell>
        </row>
        <row r="351">
          <cell r="J351">
            <v>4.1562759767248547E-3</v>
          </cell>
          <cell r="K351">
            <v>-1.8053877199301072E-2</v>
          </cell>
        </row>
        <row r="352">
          <cell r="J352">
            <v>-4.1545492314076782E-4</v>
          </cell>
          <cell r="K352">
            <v>1.1763143286255717E-2</v>
          </cell>
        </row>
        <row r="353">
          <cell r="J353">
            <v>-7.4226804123711521E-3</v>
          </cell>
          <cell r="K353">
            <v>1.0058306530675409E-2</v>
          </cell>
        </row>
        <row r="354">
          <cell r="J354">
            <v>-4.1067761806981018E-3</v>
          </cell>
          <cell r="K354">
            <v>-1.4265272352430469E-2</v>
          </cell>
        </row>
        <row r="355">
          <cell r="J355">
            <v>8.2203041512540764E-4</v>
          </cell>
          <cell r="K355">
            <v>-1.1695632066809236E-2</v>
          </cell>
        </row>
        <row r="356">
          <cell r="J356">
            <v>8.7064676616916969E-3</v>
          </cell>
          <cell r="K356">
            <v>-1.0160509264141027E-3</v>
          </cell>
        </row>
        <row r="357">
          <cell r="J357">
            <v>-1.5108207431604792E-2</v>
          </cell>
          <cell r="K357">
            <v>-5.4554111285726181E-3</v>
          </cell>
        </row>
        <row r="358">
          <cell r="J358">
            <v>-6.8937550689375238E-3</v>
          </cell>
          <cell r="K358">
            <v>-8.5022588509489072E-3</v>
          </cell>
        </row>
        <row r="359">
          <cell r="J359">
            <v>-2.7218934911242609E-2</v>
          </cell>
          <cell r="K359">
            <v>-8.8945091906110774E-3</v>
          </cell>
        </row>
        <row r="360">
          <cell r="J360">
            <v>-1.2465913517724969E-2</v>
          </cell>
          <cell r="K360">
            <v>-8.6569555670159559E-3</v>
          </cell>
        </row>
        <row r="361">
          <cell r="J361">
            <v>1.62311955661123E-2</v>
          </cell>
          <cell r="K361">
            <v>5.7085631709601348E-3</v>
          </cell>
        </row>
        <row r="362">
          <cell r="J362">
            <v>-1.7884914463452528E-2</v>
          </cell>
          <cell r="K362">
            <v>-7.1430306465324334E-3</v>
          </cell>
        </row>
        <row r="363">
          <cell r="J363">
            <v>-0.10258199581297989</v>
          </cell>
          <cell r="K363">
            <v>-5.7420963940751912E-2</v>
          </cell>
        </row>
        <row r="364">
          <cell r="J364">
            <v>-6.9735006973492553E-4</v>
          </cell>
          <cell r="K364">
            <v>-6.8549841889683494E-3</v>
          </cell>
        </row>
        <row r="365">
          <cell r="J365">
            <v>-1.3927576601669989E-3</v>
          </cell>
          <cell r="K365">
            <v>-6.3930869823425329E-4</v>
          </cell>
        </row>
        <row r="366">
          <cell r="J366">
            <v>2.0935101186321248E-3</v>
          </cell>
          <cell r="K366">
            <v>9.6793930494369906E-3</v>
          </cell>
        </row>
        <row r="367">
          <cell r="J367">
            <v>-1.3937282229964376E-3</v>
          </cell>
          <cell r="K367">
            <v>-3.4176725070960146E-3</v>
          </cell>
        </row>
        <row r="368">
          <cell r="J368">
            <v>6.9735006973492553E-4</v>
          </cell>
          <cell r="K368">
            <v>1.9183011427332808E-3</v>
          </cell>
        </row>
        <row r="369">
          <cell r="J369">
            <v>3.4879665155229667E-4</v>
          </cell>
          <cell r="K369">
            <v>1.1815793540411068E-2</v>
          </cell>
        </row>
        <row r="370">
          <cell r="J370">
            <v>-4.8594238111767663E-3</v>
          </cell>
          <cell r="K370">
            <v>6.16511307890244E-3</v>
          </cell>
        </row>
        <row r="371">
          <cell r="J371">
            <v>-6.5517241379309255E-3</v>
          </cell>
          <cell r="K371">
            <v>-1.1870430091832085E-2</v>
          </cell>
        </row>
        <row r="372">
          <cell r="J372">
            <v>7.6441973592771273E-3</v>
          </cell>
          <cell r="K372">
            <v>7.9585332387621666E-3</v>
          </cell>
        </row>
        <row r="373">
          <cell r="J373">
            <v>-1.0413051023950848E-3</v>
          </cell>
          <cell r="K373">
            <v>3.7914883496066309E-3</v>
          </cell>
        </row>
        <row r="374">
          <cell r="J374">
            <v>-1.739427012278294E-2</v>
          </cell>
          <cell r="K374">
            <v>3.8779771472445823E-3</v>
          </cell>
        </row>
        <row r="375">
          <cell r="J375">
            <v>2.1602787456445949E-2</v>
          </cell>
          <cell r="K375">
            <v>8.3256360669512475E-3</v>
          </cell>
        </row>
        <row r="376">
          <cell r="J376">
            <v>1.3956734124214165E-3</v>
          </cell>
          <cell r="K376">
            <v>1.1897426098863795E-2</v>
          </cell>
        </row>
        <row r="377">
          <cell r="J377">
            <v>-1.0456605088879911E-3</v>
          </cell>
          <cell r="K377">
            <v>-5.6176306202034842E-3</v>
          </cell>
        </row>
        <row r="378">
          <cell r="J378">
            <v>6.9759330310414924E-4</v>
          </cell>
          <cell r="K378">
            <v>2.4904208477907197E-3</v>
          </cell>
        </row>
        <row r="379">
          <cell r="J379">
            <v>-3.4867503486757379E-4</v>
          </cell>
          <cell r="K379">
            <v>9.4048809249149823E-3</v>
          </cell>
        </row>
        <row r="380">
          <cell r="J380">
            <v>-6.968641114981633E-4</v>
          </cell>
          <cell r="K380">
            <v>2.4944144711374072E-3</v>
          </cell>
        </row>
        <row r="381">
          <cell r="J381">
            <v>-1.0442046641142566E-3</v>
          </cell>
          <cell r="K381">
            <v>1.2545598550604442E-2</v>
          </cell>
        </row>
        <row r="382">
          <cell r="J382">
            <v>-5.0875454245127072E-2</v>
          </cell>
          <cell r="K382">
            <v>-1.7603591656747408E-2</v>
          </cell>
        </row>
        <row r="383">
          <cell r="J383">
            <v>1.0010010010010006E-2</v>
          </cell>
          <cell r="K383">
            <v>-8.443898768268121E-3</v>
          </cell>
        </row>
        <row r="384">
          <cell r="J384">
            <v>6.7181726570373357E-3</v>
          </cell>
          <cell r="K384">
            <v>1.9269504818171246E-3</v>
          </cell>
        </row>
        <row r="385">
          <cell r="J385">
            <v>-3.0140656396517862E-3</v>
          </cell>
          <cell r="K385">
            <v>8.1418030701383426E-3</v>
          </cell>
        </row>
        <row r="386">
          <cell r="J386">
            <v>2.686366689053088E-3</v>
          </cell>
          <cell r="K386">
            <v>1.3828705108217099E-2</v>
          </cell>
        </row>
        <row r="387">
          <cell r="J387">
            <v>4.2352117605880313E-2</v>
          </cell>
          <cell r="K387">
            <v>3.0679657754940637E-2</v>
          </cell>
        </row>
        <row r="388">
          <cell r="J388">
            <v>-2.0957038071953704E-3</v>
          </cell>
          <cell r="K388">
            <v>-2.1553437768415895E-2</v>
          </cell>
        </row>
        <row r="389">
          <cell r="J389">
            <v>-2.7864855451062986E-3</v>
          </cell>
          <cell r="K389">
            <v>-2.3292178920497619E-3</v>
          </cell>
        </row>
        <row r="390">
          <cell r="J390">
            <v>3.8461538461538325E-3</v>
          </cell>
          <cell r="K390">
            <v>-1.9987652289782387E-3</v>
          </cell>
        </row>
        <row r="391">
          <cell r="J391">
            <v>-1.0478519035976852E-3</v>
          </cell>
          <cell r="K391">
            <v>-2.3386281564979905E-3</v>
          </cell>
        </row>
        <row r="392">
          <cell r="J392">
            <v>-1.1053540587219302E-2</v>
          </cell>
          <cell r="K392">
            <v>-1.0247889217920858E-2</v>
          </cell>
        </row>
        <row r="393">
          <cell r="J393">
            <v>2.7710426047800052E-3</v>
          </cell>
          <cell r="K393">
            <v>-1.7014783777373643E-2</v>
          </cell>
        </row>
        <row r="394">
          <cell r="J394">
            <v>3.1271716469769562E-3</v>
          </cell>
          <cell r="K394">
            <v>-4.9013330044811454E-5</v>
          </cell>
        </row>
        <row r="395">
          <cell r="J395">
            <v>-4.4967139398132128E-3</v>
          </cell>
          <cell r="K395">
            <v>-4.8273225195852865E-3</v>
          </cell>
        </row>
        <row r="396">
          <cell r="J396">
            <v>2.7748872702046956E-3</v>
          </cell>
          <cell r="K396">
            <v>-1.7999198988526421E-3</v>
          </cell>
        </row>
        <row r="397">
          <cell r="J397">
            <v>-1.7047391749062446E-2</v>
          </cell>
          <cell r="K397">
            <v>1.4137494992971789E-4</v>
          </cell>
        </row>
        <row r="398">
          <cell r="J398">
            <v>7.5575403641359173E-3</v>
          </cell>
          <cell r="K398">
            <v>-9.541550470564264E-4</v>
          </cell>
        </row>
        <row r="399">
          <cell r="J399">
            <v>3.0077848549186159E-2</v>
          </cell>
          <cell r="K399">
            <v>3.9783326610869363E-3</v>
          </cell>
        </row>
        <row r="400">
          <cell r="J400">
            <v>-1.9771071800208095E-2</v>
          </cell>
          <cell r="K400">
            <v>-2.026802856078147E-3</v>
          </cell>
        </row>
        <row r="401">
          <cell r="J401">
            <v>-1.9721183270996256E-2</v>
          </cell>
          <cell r="K401">
            <v>-2.6925139643777518E-3</v>
          </cell>
        </row>
        <row r="402">
          <cell r="J402">
            <v>-1.9993335554815084E-2</v>
          </cell>
          <cell r="K402">
            <v>4.169776677594994E-3</v>
          </cell>
        </row>
        <row r="403">
          <cell r="J403">
            <v>-8.916776750330202E-3</v>
          </cell>
          <cell r="K403">
            <v>1.2408180254439571E-3</v>
          </cell>
        </row>
        <row r="404">
          <cell r="J404">
            <v>-3.3014196104308446E-4</v>
          </cell>
          <cell r="K404">
            <v>3.5219679985063479E-3</v>
          </cell>
        </row>
        <row r="405">
          <cell r="J405">
            <v>-8.8350785340315374E-3</v>
          </cell>
          <cell r="K405">
            <v>3.0550318358122386E-3</v>
          </cell>
        </row>
        <row r="406">
          <cell r="J406">
            <v>6.2561738557789237E-3</v>
          </cell>
          <cell r="K406">
            <v>-4.1990312359247994E-3</v>
          </cell>
        </row>
        <row r="407">
          <cell r="J407">
            <v>-3.291639236340238E-4</v>
          </cell>
          <cell r="K407">
            <v>1.559087023963901E-3</v>
          </cell>
        </row>
        <row r="408">
          <cell r="J408">
            <v>-6.5789473684207955E-4</v>
          </cell>
          <cell r="K408">
            <v>9.7438863054843949E-4</v>
          </cell>
        </row>
        <row r="409">
          <cell r="J409">
            <v>-9.8586920801846389E-4</v>
          </cell>
          <cell r="K409">
            <v>-7.1932148149080888E-3</v>
          </cell>
        </row>
        <row r="410">
          <cell r="J410">
            <v>-8.7947882736155725E-3</v>
          </cell>
          <cell r="K410">
            <v>-7.8019530634253487E-3</v>
          </cell>
        </row>
        <row r="411">
          <cell r="J411">
            <v>6.2274664044574823E-3</v>
          </cell>
          <cell r="K411">
            <v>-2.8572629102062708E-3</v>
          </cell>
        </row>
        <row r="412">
          <cell r="J412">
            <v>1.9704433497538254E-3</v>
          </cell>
          <cell r="K412">
            <v>8.0351274058712008E-3</v>
          </cell>
        </row>
        <row r="413">
          <cell r="J413">
            <v>-6.5638332786344122E-4</v>
          </cell>
          <cell r="K413">
            <v>2.0624423278559068E-3</v>
          </cell>
        </row>
        <row r="414">
          <cell r="J414">
            <v>-3.597122302158362E-3</v>
          </cell>
          <cell r="K414">
            <v>-4.7872415319797357E-3</v>
          </cell>
        </row>
        <row r="415">
          <cell r="J415">
            <v>-5.8517555266580645E-3</v>
          </cell>
          <cell r="K415">
            <v>-6.137020210030153E-3</v>
          </cell>
        </row>
        <row r="416">
          <cell r="J416">
            <v>6.5445026178010401E-3</v>
          </cell>
          <cell r="K416">
            <v>-7.5366881162909349E-3</v>
          </cell>
        </row>
        <row r="417">
          <cell r="J417">
            <v>3.2829940906107247E-3</v>
          </cell>
          <cell r="K417">
            <v>-6.0762710818840215E-4</v>
          </cell>
        </row>
        <row r="418">
          <cell r="J418">
            <v>-4.5751633986926832E-3</v>
          </cell>
          <cell r="K418">
            <v>2.4178338434899249E-3</v>
          </cell>
        </row>
        <row r="419">
          <cell r="J419">
            <v>-3.90625E-3</v>
          </cell>
          <cell r="K419">
            <v>-3.1698969205614658E-3</v>
          </cell>
        </row>
        <row r="420">
          <cell r="J420">
            <v>-1.9783024888321621E-2</v>
          </cell>
          <cell r="K420">
            <v>-1.2651233803112616E-3</v>
          </cell>
        </row>
        <row r="421">
          <cell r="J421">
            <v>2.9566360052562413E-2</v>
          </cell>
          <cell r="K421">
            <v>7.1083913428289236E-3</v>
          </cell>
        </row>
        <row r="422">
          <cell r="J422">
            <v>-7.8226857887876422E-3</v>
          </cell>
          <cell r="K422">
            <v>2.8539584683755503E-3</v>
          </cell>
        </row>
        <row r="423">
          <cell r="J423">
            <v>-9.7688049495281426E-4</v>
          </cell>
          <cell r="K423">
            <v>6.3070461531240518E-3</v>
          </cell>
        </row>
        <row r="424">
          <cell r="J424">
            <v>-1.3008130081300084E-3</v>
          </cell>
          <cell r="K424">
            <v>6.5741588598533518E-4</v>
          </cell>
        </row>
        <row r="425">
          <cell r="J425">
            <v>-5.8195926285160571E-3</v>
          </cell>
          <cell r="K425">
            <v>3.0332860756154822E-3</v>
          </cell>
        </row>
        <row r="426">
          <cell r="J426">
            <v>2.8257978723404298E-2</v>
          </cell>
          <cell r="K426">
            <v>2.1058132693809073E-2</v>
          </cell>
        </row>
        <row r="427">
          <cell r="J427">
            <v>-3.3233632436013849E-4</v>
          </cell>
          <cell r="K427">
            <v>8.1339573730856429E-3</v>
          </cell>
        </row>
        <row r="428">
          <cell r="J428">
            <v>-7.9129574678536985E-3</v>
          </cell>
          <cell r="K428">
            <v>-3.8348472017850632E-3</v>
          </cell>
        </row>
        <row r="429">
          <cell r="J429">
            <v>-8.4995096436742967E-3</v>
          </cell>
          <cell r="K429">
            <v>-7.9980324329158581E-3</v>
          </cell>
        </row>
        <row r="430">
          <cell r="J430">
            <v>6.5811122079630913E-3</v>
          </cell>
          <cell r="K430">
            <v>1.9349860321553392E-2</v>
          </cell>
        </row>
        <row r="431">
          <cell r="J431">
            <v>4.2961004626567156E-3</v>
          </cell>
          <cell r="K431">
            <v>-1.8465255407270953E-2</v>
          </cell>
        </row>
        <row r="432">
          <cell r="J432">
            <v>-4.6052631578946679E-3</v>
          </cell>
          <cell r="K432">
            <v>-8.1887063365404522E-3</v>
          </cell>
        </row>
        <row r="433">
          <cell r="J433">
            <v>-9.4493320299771089E-3</v>
          </cell>
          <cell r="K433">
            <v>-1.4615444678691358E-2</v>
          </cell>
        </row>
        <row r="434">
          <cell r="J434">
            <v>-8.720930232558266E-3</v>
          </cell>
          <cell r="K434">
            <v>-4.265323988909886E-3</v>
          </cell>
        </row>
        <row r="435">
          <cell r="J435">
            <v>-2.2558814050918086E-3</v>
          </cell>
          <cell r="K435">
            <v>-2.0492059212821045E-2</v>
          </cell>
        </row>
        <row r="436">
          <cell r="J436">
            <v>-1.6169942929613046E-2</v>
          </cell>
          <cell r="K436">
            <v>-4.0230643553766932E-3</v>
          </cell>
        </row>
        <row r="437">
          <cell r="J437">
            <v>-1.0664993726474337E-2</v>
          </cell>
          <cell r="K437">
            <v>-1.1044750592968944E-2</v>
          </cell>
        </row>
        <row r="438">
          <cell r="J438">
            <v>-3.1357792411401686E-4</v>
          </cell>
          <cell r="K438">
            <v>-4.8476578362754985E-3</v>
          </cell>
        </row>
        <row r="439">
          <cell r="J439">
            <v>-6.2324711748208417E-3</v>
          </cell>
          <cell r="K439">
            <v>4.2987310721638305E-3</v>
          </cell>
        </row>
        <row r="440">
          <cell r="J440">
            <v>3.4396497811131077E-3</v>
          </cell>
          <cell r="K440">
            <v>3.9514327518830328E-3</v>
          </cell>
        </row>
        <row r="441">
          <cell r="J441">
            <v>-3.1259768677704969E-4</v>
          </cell>
          <cell r="K441">
            <v>-1.8781007443289255E-3</v>
          </cell>
        </row>
        <row r="442">
          <cell r="J442">
            <v>-1.8720748829953449E-3</v>
          </cell>
          <cell r="K442">
            <v>-3.2915820559360487E-3</v>
          </cell>
        </row>
        <row r="443">
          <cell r="J443">
            <v>-1.9577852554297892E-2</v>
          </cell>
          <cell r="K443">
            <v>1.1980423987090205E-5</v>
          </cell>
        </row>
        <row r="444">
          <cell r="J444">
            <v>-6.1143381229000759E-4</v>
          </cell>
          <cell r="K444">
            <v>-8.4839216965437725E-4</v>
          </cell>
        </row>
        <row r="445">
          <cell r="J445">
            <v>9.8795924668109159E-3</v>
          </cell>
          <cell r="K445">
            <v>3.1325236102521803E-3</v>
          </cell>
        </row>
        <row r="446">
          <cell r="J446">
            <v>7.7784691972619946E-3</v>
          </cell>
          <cell r="K446">
            <v>8.4690474856994324E-3</v>
          </cell>
        </row>
        <row r="447">
          <cell r="J447">
            <v>4.0612308653544815E-3</v>
          </cell>
          <cell r="K447">
            <v>1.1692082461723041E-2</v>
          </cell>
        </row>
        <row r="448">
          <cell r="J448">
            <v>9.3808630394009995E-4</v>
          </cell>
          <cell r="K448">
            <v>7.3553231991954071E-3</v>
          </cell>
        </row>
        <row r="449">
          <cell r="J449">
            <v>-1.0213556174558991E-2</v>
          </cell>
          <cell r="K449">
            <v>-1.1058953114249426E-2</v>
          </cell>
        </row>
        <row r="450">
          <cell r="J450">
            <v>1.000312597686781E-2</v>
          </cell>
          <cell r="K450">
            <v>-4.5710155095619598E-3</v>
          </cell>
        </row>
        <row r="451">
          <cell r="J451">
            <v>2.5070510811655566E-3</v>
          </cell>
          <cell r="K451">
            <v>1.6580291965251348E-3</v>
          </cell>
        </row>
        <row r="452">
          <cell r="J452">
            <v>-9.3138776777398347E-3</v>
          </cell>
          <cell r="K452">
            <v>-9.7144561471163016E-3</v>
          </cell>
        </row>
        <row r="453">
          <cell r="J453">
            <v>6.213109661385996E-4</v>
          </cell>
          <cell r="K453">
            <v>-3.5857679982588264E-3</v>
          </cell>
        </row>
        <row r="454">
          <cell r="J454">
            <v>1.2441679626749025E-3</v>
          </cell>
          <cell r="K454">
            <v>3.1951912522227843E-3</v>
          </cell>
        </row>
        <row r="455">
          <cell r="J455">
            <v>3.7464876678114933E-3</v>
          </cell>
          <cell r="K455">
            <v>-3.1895030078890052E-3</v>
          </cell>
        </row>
        <row r="456">
          <cell r="J456">
            <v>-1.4461538461538415E-2</v>
          </cell>
          <cell r="K456">
            <v>-4.7532975815246514E-3</v>
          </cell>
        </row>
        <row r="457">
          <cell r="J457">
            <v>3.0778701138811648E-4</v>
          </cell>
          <cell r="K457">
            <v>-3.6627964952647973E-3</v>
          </cell>
        </row>
        <row r="458">
          <cell r="J458">
            <v>-1.1560693641618491E-2</v>
          </cell>
          <cell r="K458">
            <v>-7.8264477820880751E-3</v>
          </cell>
        </row>
        <row r="459">
          <cell r="J459">
            <v>-6.0808756460928315E-4</v>
          </cell>
          <cell r="K459">
            <v>2.0835090554216507E-3</v>
          </cell>
        </row>
        <row r="460">
          <cell r="J460">
            <v>6.0845756008509611E-4</v>
          </cell>
          <cell r="K460">
            <v>6.0262727724991194E-4</v>
          </cell>
        </row>
        <row r="461">
          <cell r="J461">
            <v>1.8287107589147755E-3</v>
          </cell>
          <cell r="K461">
            <v>-1.7057632329682271E-3</v>
          </cell>
        </row>
        <row r="462">
          <cell r="J462">
            <v>-8.4617709277725606E-3</v>
          </cell>
          <cell r="K462">
            <v>1.0565005859584087E-3</v>
          </cell>
        </row>
        <row r="463">
          <cell r="J463">
            <v>6.6930331609369453E-3</v>
          </cell>
          <cell r="K463">
            <v>2.463825084735749E-3</v>
          </cell>
        </row>
        <row r="464">
          <cell r="J464">
            <v>9.5208845208845094E-3</v>
          </cell>
          <cell r="K464">
            <v>-1.676324288783837E-3</v>
          </cell>
        </row>
        <row r="465">
          <cell r="J465">
            <v>3.0721966205837781E-4</v>
          </cell>
          <cell r="K465">
            <v>3.6590424271154554E-4</v>
          </cell>
        </row>
        <row r="466">
          <cell r="J466">
            <v>2.4638127502309981E-3</v>
          </cell>
          <cell r="K466">
            <v>-3.1395551460056126E-3</v>
          </cell>
        </row>
        <row r="467">
          <cell r="J467">
            <v>-9.2307692307691536E-4</v>
          </cell>
          <cell r="K467">
            <v>1.1938545407268908E-2</v>
          </cell>
        </row>
        <row r="468">
          <cell r="J468">
            <v>-3.373198405397182E-3</v>
          </cell>
          <cell r="K468">
            <v>-9.3609473816214095E-4</v>
          </cell>
        </row>
        <row r="469">
          <cell r="J469">
            <v>6.1368517950310952E-4</v>
          </cell>
          <cell r="K469">
            <v>-9.9828839508216971E-3</v>
          </cell>
        </row>
        <row r="470">
          <cell r="J470">
            <v>-1.837349397590371E-2</v>
          </cell>
          <cell r="K470">
            <v>1.6259033001286838E-5</v>
          </cell>
        </row>
        <row r="471">
          <cell r="J471">
            <v>6.0606060606060996E-3</v>
          </cell>
          <cell r="K471">
            <v>2.2767828762271236E-4</v>
          </cell>
        </row>
        <row r="472">
          <cell r="J472">
            <v>6.7114093959730337E-3</v>
          </cell>
          <cell r="K472">
            <v>-2.6604667936780402E-4</v>
          </cell>
        </row>
        <row r="473">
          <cell r="J473">
            <v>1.7380509000620714E-2</v>
          </cell>
          <cell r="K473">
            <v>1.4635265606300907E-2</v>
          </cell>
        </row>
        <row r="474">
          <cell r="J474">
            <v>5.3042121684867549E-3</v>
          </cell>
          <cell r="K474">
            <v>5.7496055818835323E-3</v>
          </cell>
        </row>
        <row r="475">
          <cell r="J475">
            <v>1.2958280657395793E-2</v>
          </cell>
          <cell r="K475">
            <v>2.4055184514726102E-2</v>
          </cell>
        </row>
        <row r="476">
          <cell r="J476">
            <v>-3.7783375314862644E-3</v>
          </cell>
          <cell r="K476">
            <v>2.7522608963665984E-3</v>
          </cell>
        </row>
        <row r="477">
          <cell r="J477">
            <v>-1.7022593624264948E-2</v>
          </cell>
          <cell r="K477">
            <v>-2.7433371041916788E-2</v>
          </cell>
        </row>
        <row r="478">
          <cell r="J478">
            <v>-1.7335766423357657E-2</v>
          </cell>
          <cell r="K478">
            <v>-8.6447886364858784E-3</v>
          </cell>
        </row>
        <row r="479">
          <cell r="J479">
            <v>-1.8800358102059156E-2</v>
          </cell>
          <cell r="K479">
            <v>-4.9404238615002871E-4</v>
          </cell>
        </row>
        <row r="480">
          <cell r="J480">
            <v>-1.5280634734058163E-2</v>
          </cell>
          <cell r="K480">
            <v>-7.9881192458148842E-3</v>
          </cell>
        </row>
        <row r="481">
          <cell r="J481">
            <v>8.8235294117655627E-4</v>
          </cell>
          <cell r="K481">
            <v>2.1277732274491701E-3</v>
          </cell>
        </row>
        <row r="482">
          <cell r="J482">
            <v>-2.6400704018773036E-3</v>
          </cell>
          <cell r="K482">
            <v>9.4815267504875234E-3</v>
          </cell>
        </row>
        <row r="483">
          <cell r="J483">
            <v>-2.9248318221701819E-3</v>
          </cell>
          <cell r="K483">
            <v>-2.387622378440335E-2</v>
          </cell>
        </row>
        <row r="484">
          <cell r="J484">
            <v>-3.7985368598762004E-2</v>
          </cell>
          <cell r="K484">
            <v>-1.1341592101649312E-2</v>
          </cell>
        </row>
        <row r="485">
          <cell r="J485">
            <v>-3.9237668161435924E-3</v>
          </cell>
          <cell r="K485">
            <v>-1.0505839358636138E-2</v>
          </cell>
        </row>
        <row r="486">
          <cell r="J486">
            <v>-2.5160749231198931E-3</v>
          </cell>
          <cell r="K486">
            <v>-7.430764272703505E-3</v>
          </cell>
        </row>
        <row r="487">
          <cell r="J487">
            <v>-5.5881531153945119E-4</v>
          </cell>
          <cell r="K487">
            <v>9.8340573871236181E-4</v>
          </cell>
        </row>
        <row r="488">
          <cell r="J488">
            <v>8.3892617449654594E-4</v>
          </cell>
          <cell r="K488">
            <v>-3.3934168280048693E-3</v>
          </cell>
        </row>
        <row r="489">
          <cell r="J489">
            <v>-8.3822296730917678E-4</v>
          </cell>
          <cell r="K489">
            <v>-4.0609237296743705E-3</v>
          </cell>
        </row>
        <row r="490">
          <cell r="J490">
            <v>-2.7932960893861658E-4</v>
          </cell>
          <cell r="K490">
            <v>5.0522584159629069E-4</v>
          </cell>
        </row>
        <row r="491">
          <cell r="J491">
            <v>2.7940765576972559E-4</v>
          </cell>
          <cell r="K491">
            <v>6.4394228243647156E-4</v>
          </cell>
        </row>
        <row r="492">
          <cell r="J492">
            <v>-8.3752093802347272E-4</v>
          </cell>
          <cell r="K492">
            <v>1.2159292385738318E-3</v>
          </cell>
        </row>
        <row r="493">
          <cell r="J493">
            <v>6.7453625632376557E-3</v>
          </cell>
          <cell r="K493">
            <v>2.9751269179498774E-3</v>
          </cell>
        </row>
        <row r="494">
          <cell r="J494">
            <v>-5.8675607711650146E-3</v>
          </cell>
          <cell r="K494">
            <v>-1.768047461245148E-3</v>
          </cell>
        </row>
        <row r="495">
          <cell r="J495">
            <v>7.6013513513513153E-3</v>
          </cell>
          <cell r="K495">
            <v>6.775216446360588E-3</v>
          </cell>
        </row>
        <row r="496">
          <cell r="J496">
            <v>1.6920473773265332E-3</v>
          </cell>
          <cell r="K496">
            <v>2.7366525665941666E-3</v>
          </cell>
        </row>
        <row r="497">
          <cell r="J497">
            <v>-3.6527114357964852E-3</v>
          </cell>
          <cell r="K497">
            <v>1.0295555051838878E-2</v>
          </cell>
        </row>
        <row r="498">
          <cell r="J498">
            <v>5.367231638418124E-3</v>
          </cell>
          <cell r="K498">
            <v>-9.3341247648948134E-3</v>
          </cell>
        </row>
        <row r="499">
          <cell r="J499">
            <v>7.3989755264656232E-3</v>
          </cell>
          <cell r="K499">
            <v>-5.1226956763025244E-3</v>
          </cell>
        </row>
        <row r="500">
          <cell r="J500">
            <v>-1.1254924029262758E-2</v>
          </cell>
          <cell r="K500">
            <v>-6.9534898271428336E-4</v>
          </cell>
        </row>
        <row r="501">
          <cell r="J501">
            <v>5.6306306306308507E-4</v>
          </cell>
          <cell r="K501">
            <v>-1.8485418559643918E-5</v>
          </cell>
        </row>
        <row r="502">
          <cell r="J502">
            <v>-1.0584958217270235E-2</v>
          </cell>
          <cell r="K502">
            <v>1.8976386366065245E-3</v>
          </cell>
        </row>
        <row r="503">
          <cell r="J503">
            <v>5.574136008918984E-4</v>
          </cell>
          <cell r="K503">
            <v>-7.599321362929401E-3</v>
          </cell>
        </row>
        <row r="504">
          <cell r="J504">
            <v>4.198152812762368E-3</v>
          </cell>
          <cell r="K504">
            <v>-4.6005384417275863E-3</v>
          </cell>
        </row>
        <row r="505">
          <cell r="J505">
            <v>-4.7353760445681958E-3</v>
          </cell>
          <cell r="K505">
            <v>2.2935553351961513E-3</v>
          </cell>
        </row>
        <row r="506">
          <cell r="J506">
            <v>1.115448968209698E-3</v>
          </cell>
          <cell r="K506">
            <v>4.7805320520997174E-3</v>
          </cell>
        </row>
        <row r="507">
          <cell r="J507">
            <v>-2.5034770514602567E-3</v>
          </cell>
          <cell r="K507">
            <v>6.0947348577533589E-5</v>
          </cell>
        </row>
        <row r="508">
          <cell r="J508">
            <v>2.7824151363398109E-4</v>
          </cell>
          <cell r="K508">
            <v>5.0829179481992615E-3</v>
          </cell>
        </row>
        <row r="509">
          <cell r="J509">
            <v>2.7831895352070646E-4</v>
          </cell>
          <cell r="K509">
            <v>3.377405867279748E-4</v>
          </cell>
        </row>
        <row r="510">
          <cell r="J510">
            <v>6.1607392887146339E-3</v>
          </cell>
          <cell r="K510">
            <v>3.0245595377969003E-3</v>
          </cell>
        </row>
        <row r="511">
          <cell r="J511">
            <v>1.0469722693831507E-2</v>
          </cell>
          <cell r="K511">
            <v>-7.5314044955773207E-3</v>
          </cell>
        </row>
        <row r="512">
          <cell r="J512">
            <v>9.7142857142855643E-3</v>
          </cell>
          <cell r="K512">
            <v>7.863714675836242E-3</v>
          </cell>
        </row>
        <row r="513">
          <cell r="J513">
            <v>4.8808498420900293E-3</v>
          </cell>
          <cell r="K513">
            <v>9.5886195965610987E-4</v>
          </cell>
        </row>
        <row r="514">
          <cell r="J514">
            <v>5.4849884526559922E-3</v>
          </cell>
          <cell r="K514">
            <v>8.3002281408324219E-3</v>
          </cell>
        </row>
        <row r="515">
          <cell r="J515">
            <v>-8.0183276059565545E-3</v>
          </cell>
          <cell r="K515">
            <v>5.3590676905088674E-3</v>
          </cell>
        </row>
        <row r="516">
          <cell r="J516">
            <v>4.025301897642164E-3</v>
          </cell>
          <cell r="K516">
            <v>1.5532598114003093E-3</v>
          </cell>
        </row>
        <row r="517">
          <cell r="J517">
            <v>-5.1487414187643132E-3</v>
          </cell>
          <cell r="K517">
            <v>4.256449242900695E-3</v>
          </cell>
        </row>
        <row r="518">
          <cell r="J518">
            <v>2.861230329043174E-4</v>
          </cell>
          <cell r="K518">
            <v>1.4279265612396674E-2</v>
          </cell>
        </row>
        <row r="519">
          <cell r="J519">
            <v>3.1572904707233285E-3</v>
          </cell>
          <cell r="K519">
            <v>3.7898483763521007E-3</v>
          </cell>
        </row>
        <row r="520">
          <cell r="J520">
            <v>-4.5714285714286707E-3</v>
          </cell>
          <cell r="K520">
            <v>-1.704082828213882E-3</v>
          </cell>
        </row>
        <row r="521">
          <cell r="J521">
            <v>2.5780578630765216E-3</v>
          </cell>
          <cell r="K521">
            <v>1.1008800142745523E-2</v>
          </cell>
        </row>
        <row r="522">
          <cell r="J522">
            <v>-2.5714285714285579E-3</v>
          </cell>
          <cell r="K522">
            <v>5.933751340523985E-3</v>
          </cell>
        </row>
        <row r="523">
          <cell r="J523">
            <v>-8.5640879246362545E-4</v>
          </cell>
          <cell r="K523">
            <v>-1.085248880659917E-2</v>
          </cell>
        </row>
        <row r="524">
          <cell r="J524">
            <v>1.1431837667905675E-3</v>
          </cell>
          <cell r="K524">
            <v>-7.6734710797637939E-3</v>
          </cell>
        </row>
        <row r="525">
          <cell r="J525">
            <v>1.4310246136233218E-3</v>
          </cell>
          <cell r="K525">
            <v>-4.1584964297614047E-4</v>
          </cell>
        </row>
        <row r="526">
          <cell r="J526">
            <v>2.8628685943310472E-4</v>
          </cell>
          <cell r="K526">
            <v>3.0727894842315084E-3</v>
          </cell>
        </row>
        <row r="527">
          <cell r="J527">
            <v>-1.1041902604756459E-2</v>
          </cell>
          <cell r="K527">
            <v>-6.8758209632929779E-3</v>
          </cell>
        </row>
        <row r="528">
          <cell r="J528">
            <v>-5.6306306306306286E-3</v>
          </cell>
          <cell r="K528">
            <v>-1.2373019304996902E-2</v>
          </cell>
        </row>
        <row r="529">
          <cell r="J529">
            <v>1.6920473773265332E-3</v>
          </cell>
          <cell r="K529">
            <v>4.4414870279914087E-3</v>
          </cell>
        </row>
        <row r="530">
          <cell r="J530">
            <v>-1.143016448285461E-2</v>
          </cell>
          <cell r="K530">
            <v>-6.4254390426067287E-3</v>
          </cell>
        </row>
        <row r="531">
          <cell r="J531">
            <v>-2.787068004459492E-4</v>
          </cell>
          <cell r="K531">
            <v>-5.5387372025981207E-3</v>
          </cell>
        </row>
        <row r="532">
          <cell r="J532">
            <v>-1.3915947676036433E-3</v>
          </cell>
          <cell r="K532">
            <v>-9.2186681250839841E-3</v>
          </cell>
        </row>
        <row r="533">
          <cell r="J533">
            <v>-1.3896609227348478E-3</v>
          </cell>
          <cell r="K533">
            <v>4.6906487651985351E-3</v>
          </cell>
        </row>
        <row r="534">
          <cell r="J534">
            <v>-3.0479357162648268E-3</v>
          </cell>
          <cell r="K534">
            <v>-1.3740975657505539E-2</v>
          </cell>
        </row>
        <row r="535">
          <cell r="J535">
            <v>5.5447740504566134E-4</v>
          </cell>
          <cell r="K535">
            <v>1.0096682252566103E-2</v>
          </cell>
        </row>
        <row r="536">
          <cell r="J536">
            <v>-3.5911602209944826E-3</v>
          </cell>
          <cell r="K536">
            <v>1.8519502184295433E-3</v>
          </cell>
        </row>
        <row r="537">
          <cell r="J537">
            <v>9.1998884862001251E-3</v>
          </cell>
          <cell r="K537">
            <v>4.2429572388340553E-3</v>
          </cell>
        </row>
        <row r="538">
          <cell r="J538">
            <v>8.150646430578945E-3</v>
          </cell>
          <cell r="K538">
            <v>1.3027603329925475E-2</v>
          </cell>
        </row>
        <row r="539">
          <cell r="J539">
            <v>2.1533161068044704E-2</v>
          </cell>
          <cell r="K539">
            <v>2.1444821541789505E-2</v>
          </cell>
        </row>
        <row r="540">
          <cell r="J540">
            <v>-3.2231175326479455E-2</v>
          </cell>
          <cell r="K540">
            <v>-1.3576611615610967E-2</v>
          </cell>
        </row>
        <row r="541">
          <cell r="J541">
            <v>-1.1101859561477578E-3</v>
          </cell>
          <cell r="K541">
            <v>3.1916668265945525E-3</v>
          </cell>
        </row>
        <row r="542">
          <cell r="J542">
            <v>-8.3194675540765317E-4</v>
          </cell>
          <cell r="K542">
            <v>-1.1411133553607011E-2</v>
          </cell>
        </row>
        <row r="543">
          <cell r="J543">
            <v>8.3263946711076287E-4</v>
          </cell>
          <cell r="K543">
            <v>-9.5158797960656072E-3</v>
          </cell>
        </row>
        <row r="544">
          <cell r="J544">
            <v>-2.215452783162597E-3</v>
          </cell>
          <cell r="K544">
            <v>-1.3559104520176835E-2</v>
          </cell>
        </row>
        <row r="545">
          <cell r="J545">
            <v>3.334259516532434E-3</v>
          </cell>
          <cell r="K545">
            <v>-1.3229302691857292E-3</v>
          </cell>
        </row>
        <row r="546">
          <cell r="J546">
            <v>2.7793218454696955E-4</v>
          </cell>
          <cell r="K546">
            <v>-8.944813969603449E-3</v>
          </cell>
        </row>
        <row r="547">
          <cell r="J547">
            <v>-2.2185246810870751E-3</v>
          </cell>
          <cell r="K547">
            <v>-8.6578743649368128E-4</v>
          </cell>
        </row>
        <row r="548">
          <cell r="J548">
            <v>2.7739251040226343E-4</v>
          </cell>
          <cell r="K548">
            <v>4.3961211029392988E-3</v>
          </cell>
        </row>
        <row r="549">
          <cell r="J549">
            <v>-3.3176665745092704E-3</v>
          </cell>
          <cell r="K549">
            <v>5.9519001441210584E-4</v>
          </cell>
        </row>
        <row r="550">
          <cell r="J550">
            <v>6.6796548844976211E-3</v>
          </cell>
          <cell r="K550">
            <v>1.6597611995343931E-2</v>
          </cell>
        </row>
        <row r="551">
          <cell r="J551">
            <v>-2.4986118822875047E-3</v>
          </cell>
          <cell r="K551">
            <v>1.6291321732679886E-3</v>
          </cell>
        </row>
        <row r="552">
          <cell r="J552">
            <v>3.0632135895292123E-3</v>
          </cell>
          <cell r="K552">
            <v>-9.4126290752324371E-3</v>
          </cell>
        </row>
        <row r="553">
          <cell r="J553">
            <v>1.1264432554210169E-2</v>
          </cell>
          <cell r="K553">
            <v>1.9678667694043028E-3</v>
          </cell>
        </row>
        <row r="554">
          <cell r="J554">
            <v>8.4554678692216889E-4</v>
          </cell>
          <cell r="K554">
            <v>1.6613085462021449E-2</v>
          </cell>
        </row>
        <row r="555">
          <cell r="J555">
            <v>-3.0907558302892824E-3</v>
          </cell>
          <cell r="K555">
            <v>1.0065238747933636E-2</v>
          </cell>
        </row>
        <row r="556">
          <cell r="J556">
            <v>2.2528865108419893E-3</v>
          </cell>
          <cell r="K556">
            <v>-8.2017307796092842E-3</v>
          </cell>
        </row>
        <row r="557">
          <cell r="J557">
            <v>1.1277135607556943E-3</v>
          </cell>
          <cell r="K557">
            <v>-7.3609576773890906E-3</v>
          </cell>
        </row>
        <row r="558">
          <cell r="J558">
            <v>3.6785512167516465E-3</v>
          </cell>
          <cell r="K558">
            <v>1.2234951661793669E-3</v>
          </cell>
        </row>
        <row r="559">
          <cell r="J559">
            <v>-8.9736399326978411E-3</v>
          </cell>
          <cell r="K559">
            <v>-8.0640174854587077E-3</v>
          </cell>
        </row>
        <row r="560">
          <cell r="J560">
            <v>7.6292738061600751E-3</v>
          </cell>
          <cell r="K560">
            <v>-6.2417566086454546E-3</v>
          </cell>
        </row>
        <row r="561">
          <cell r="J561">
            <v>-1.2831241283124184E-2</v>
          </cell>
          <cell r="K561">
            <v>-4.1565846871993717E-4</v>
          </cell>
        </row>
        <row r="562">
          <cell r="J562">
            <v>9.2905405405405705E-3</v>
          </cell>
          <cell r="K562">
            <v>-8.6954059201258538E-3</v>
          </cell>
        </row>
        <row r="563">
          <cell r="J563">
            <v>4.2408821034776167E-3</v>
          </cell>
          <cell r="K563">
            <v>7.197784331734125E-3</v>
          </cell>
        </row>
        <row r="564">
          <cell r="J564">
            <v>6.2588904694167447E-3</v>
          </cell>
          <cell r="K564">
            <v>8.7070961406165992E-4</v>
          </cell>
        </row>
        <row r="565">
          <cell r="J565">
            <v>-1.6508114157806286E-2</v>
          </cell>
          <cell r="K565">
            <v>1.7499626014300107E-2</v>
          </cell>
        </row>
        <row r="566">
          <cell r="J566">
            <v>-7.222222222222241E-3</v>
          </cell>
          <cell r="K566">
            <v>-1.718743309019799E-2</v>
          </cell>
        </row>
        <row r="567">
          <cell r="J567">
            <v>-1.5047879616963078E-2</v>
          </cell>
          <cell r="K567">
            <v>-9.967171784975859E-3</v>
          </cell>
        </row>
        <row r="568">
          <cell r="J568">
            <v>1.0505944152612745E-2</v>
          </cell>
          <cell r="K568">
            <v>7.922388510400058E-3</v>
          </cell>
        </row>
        <row r="569">
          <cell r="J569">
            <v>-4.9518569463549156E-3</v>
          </cell>
          <cell r="K569">
            <v>-1.0801336288460361E-2</v>
          </cell>
        </row>
        <row r="570">
          <cell r="J570">
            <v>-1.3836136733586635E-2</v>
          </cell>
          <cell r="K570">
            <v>-1.2410839272743446E-2</v>
          </cell>
        </row>
        <row r="571">
          <cell r="J571">
            <v>4.6334150994822298E-3</v>
          </cell>
          <cell r="K571">
            <v>-7.8417729033611883E-3</v>
          </cell>
        </row>
        <row r="572">
          <cell r="J572">
            <v>1.9115237575095811E-3</v>
          </cell>
          <cell r="K572">
            <v>-7.1463652868741789E-4</v>
          </cell>
        </row>
        <row r="573">
          <cell r="J573">
            <v>-5.7018734727125597E-3</v>
          </cell>
          <cell r="K573">
            <v>-8.960921413512235E-3</v>
          </cell>
        </row>
        <row r="574">
          <cell r="J574">
            <v>-5.9379217273953788E-3</v>
          </cell>
          <cell r="K574">
            <v>-4.3005512165835702E-3</v>
          </cell>
        </row>
        <row r="575">
          <cell r="J575">
            <v>-4.8348106365834198E-3</v>
          </cell>
          <cell r="K575">
            <v>-3.0428922949135018E-3</v>
          </cell>
        </row>
        <row r="576">
          <cell r="J576">
            <v>-3.2128514056224411E-3</v>
          </cell>
          <cell r="K576">
            <v>3.4087071153867665E-3</v>
          </cell>
        </row>
        <row r="577">
          <cell r="J577">
            <v>-3.7343291544411628E-3</v>
          </cell>
          <cell r="K577">
            <v>-1.0991641998955304E-3</v>
          </cell>
        </row>
        <row r="578">
          <cell r="J578">
            <v>-1.0817941952506627E-2</v>
          </cell>
          <cell r="K578">
            <v>2.6802557223117862E-3</v>
          </cell>
        </row>
        <row r="579">
          <cell r="J579">
            <v>2.3803226659613319E-3</v>
          </cell>
          <cell r="K579">
            <v>5.2541507791170616E-4</v>
          </cell>
        </row>
        <row r="580">
          <cell r="J580">
            <v>5.2924053982539299E-4</v>
          </cell>
          <cell r="K580">
            <v>-3.8743671866928731E-3</v>
          </cell>
        </row>
        <row r="581">
          <cell r="J581">
            <v>-6.0494476591268498E-3</v>
          </cell>
          <cell r="K581">
            <v>3.6853444453086581E-3</v>
          </cell>
        </row>
        <row r="582">
          <cell r="J582">
            <v>-1.0509721492381052E-3</v>
          </cell>
          <cell r="K582">
            <v>3.5849017849194365E-3</v>
          </cell>
        </row>
        <row r="583">
          <cell r="J583">
            <v>-3.1430068098480257E-3</v>
          </cell>
          <cell r="K583">
            <v>7.687838141545722E-4</v>
          </cell>
        </row>
        <row r="584">
          <cell r="J584">
            <v>-3.1331592689294308E-3</v>
          </cell>
          <cell r="K584">
            <v>6.2785191354866043E-3</v>
          </cell>
        </row>
        <row r="585">
          <cell r="J585">
            <v>5.5132580729850833E-3</v>
          </cell>
          <cell r="K585">
            <v>2.013226219196973E-3</v>
          </cell>
        </row>
        <row r="586">
          <cell r="J586">
            <v>-1.3109596224436526E-3</v>
          </cell>
          <cell r="K586">
            <v>-1.8563980911924238E-3</v>
          </cell>
        </row>
        <row r="587">
          <cell r="J587">
            <v>-4.9569527785026102E-3</v>
          </cell>
          <cell r="K587">
            <v>1.2096373297394436E-3</v>
          </cell>
        </row>
        <row r="588">
          <cell r="J588">
            <v>-1.0424811050299132E-3</v>
          </cell>
          <cell r="K588">
            <v>-2.3048617014094219E-3</v>
          </cell>
        </row>
        <row r="589">
          <cell r="J589">
            <v>8.6750788643532584E-3</v>
          </cell>
          <cell r="K589">
            <v>7.320471507753501E-3</v>
          </cell>
        </row>
        <row r="590">
          <cell r="J590">
            <v>-4.1884816753927634E-3</v>
          </cell>
          <cell r="K590">
            <v>1.9494424205344085E-3</v>
          </cell>
        </row>
        <row r="591">
          <cell r="J591">
            <v>-6.5019505851755532E-3</v>
          </cell>
          <cell r="K591">
            <v>-5.0509731873702446E-3</v>
          </cell>
        </row>
        <row r="592">
          <cell r="J592">
            <v>1.3976793248945185E-2</v>
          </cell>
          <cell r="K592">
            <v>4.4132257817981468E-3</v>
          </cell>
        </row>
        <row r="593">
          <cell r="J593">
            <v>-1.3168290755859458E-3</v>
          </cell>
          <cell r="K593">
            <v>7.849590364820358E-3</v>
          </cell>
        </row>
        <row r="594">
          <cell r="J594">
            <v>-1.6830657690315887E-2</v>
          </cell>
          <cell r="K594">
            <v>-1.0743898975485111E-2</v>
          </cell>
        </row>
        <row r="595">
          <cell r="J595">
            <v>-4.1258380608562017E-3</v>
          </cell>
          <cell r="K595">
            <v>2.2160234043173688E-3</v>
          </cell>
        </row>
        <row r="596">
          <cell r="J596">
            <v>3.363518758085382E-3</v>
          </cell>
          <cell r="K596">
            <v>-7.804384783033913E-3</v>
          </cell>
        </row>
        <row r="597">
          <cell r="J597">
            <v>5.7246942492843456E-3</v>
          </cell>
          <cell r="K597">
            <v>8.6738777597439309E-3</v>
          </cell>
        </row>
        <row r="598">
          <cell r="J598">
            <v>9.9868593955321217E-3</v>
          </cell>
          <cell r="K598">
            <v>7.7651602675863352E-3</v>
          </cell>
        </row>
        <row r="599">
          <cell r="J599">
            <v>2.1476510067114152E-2</v>
          </cell>
          <cell r="K599">
            <v>9.2403494316295465E-3</v>
          </cell>
        </row>
        <row r="600">
          <cell r="J600">
            <v>1.4433551198257177E-2</v>
          </cell>
          <cell r="K600">
            <v>3.2143171100353918E-3</v>
          </cell>
        </row>
        <row r="601">
          <cell r="J601">
            <v>1.3524703284570672E-2</v>
          </cell>
          <cell r="K601">
            <v>1.0280688435120755E-2</v>
          </cell>
        </row>
        <row r="602">
          <cell r="J602">
            <v>5.5233360950013299E-4</v>
          </cell>
          <cell r="K602">
            <v>9.3502670472125349E-3</v>
          </cell>
        </row>
        <row r="603">
          <cell r="J603">
            <v>-1.3789299503584873E-3</v>
          </cell>
          <cell r="K603">
            <v>6.8624767805463005E-3</v>
          </cell>
        </row>
        <row r="604">
          <cell r="J604">
            <v>5.8252427184466438E-3</v>
          </cell>
          <cell r="K604">
            <v>6.688551497743056E-3</v>
          </cell>
        </row>
        <row r="605">
          <cell r="J605">
            <v>-1.2058098109070881E-2</v>
          </cell>
          <cell r="K605">
            <v>-4.0459356737094776E-3</v>
          </cell>
        </row>
        <row r="606">
          <cell r="J606">
            <v>-7.0748299319728369E-3</v>
          </cell>
          <cell r="K606">
            <v>-3.9876431037616511E-3</v>
          </cell>
        </row>
        <row r="607">
          <cell r="J607">
            <v>-4.8740861088546472E-3</v>
          </cell>
          <cell r="K607">
            <v>-8.5988144675053224E-4</v>
          </cell>
        </row>
        <row r="608">
          <cell r="J608">
            <v>9.5680699835976046E-3</v>
          </cell>
          <cell r="K608">
            <v>3.2437583880882137E-3</v>
          </cell>
        </row>
        <row r="609">
          <cell r="J609">
            <v>5.22121461940106E-3</v>
          </cell>
          <cell r="K609">
            <v>2.9493308468147017E-3</v>
          </cell>
        </row>
        <row r="610">
          <cell r="J610">
            <v>1.2520868113522488E-2</v>
          </cell>
          <cell r="K610">
            <v>1.2072875080799017E-2</v>
          </cell>
        </row>
        <row r="611">
          <cell r="J611">
            <v>-8.3402835696422262E-4</v>
          </cell>
          <cell r="K611">
            <v>-1.6583380587846808E-3</v>
          </cell>
        </row>
        <row r="612">
          <cell r="J612">
            <v>1.6708437761068229E-3</v>
          </cell>
          <cell r="K612">
            <v>-2.2572033074216291E-3</v>
          </cell>
        </row>
        <row r="613">
          <cell r="J613">
            <v>-4.7117516629711087E-3</v>
          </cell>
          <cell r="K613">
            <v>5.6660917598667648E-3</v>
          </cell>
        </row>
        <row r="614">
          <cell r="J614">
            <v>-6.0606060606059886E-3</v>
          </cell>
          <cell r="K614">
            <v>7.3932104266209997E-3</v>
          </cell>
        </row>
        <row r="615">
          <cell r="J615">
            <v>-8.1967213114754189E-3</v>
          </cell>
          <cell r="K615">
            <v>1.1486703778020413E-2</v>
          </cell>
        </row>
        <row r="616">
          <cell r="J616">
            <v>1.413133832086455E-2</v>
          </cell>
          <cell r="K616">
            <v>8.2806599746443332E-4</v>
          </cell>
        </row>
        <row r="617">
          <cell r="J617">
            <v>-2.3538961038961137E-2</v>
          </cell>
          <cell r="K617">
            <v>3.2989340622522345E-3</v>
          </cell>
        </row>
        <row r="618">
          <cell r="J618">
            <v>3.5297311973934153E-3</v>
          </cell>
          <cell r="K618">
            <v>9.2107095153362017E-3</v>
          </cell>
        </row>
        <row r="619">
          <cell r="J619">
            <v>-6.4742379282437534E-3</v>
          </cell>
          <cell r="K619">
            <v>8.3791556353716157E-3</v>
          </cell>
        </row>
        <row r="620">
          <cell r="J620">
            <v>-2.2673345636699205E-2</v>
          </cell>
          <cell r="K620">
            <v>8.7638613283529399E-3</v>
          </cell>
        </row>
        <row r="621">
          <cell r="J621">
            <v>1.2546716497597421E-2</v>
          </cell>
          <cell r="K621">
            <v>1.2560014585825119E-3</v>
          </cell>
        </row>
        <row r="622">
          <cell r="J622">
            <v>1.4626218851571116E-2</v>
          </cell>
          <cell r="K622">
            <v>5.8811819420125921E-3</v>
          </cell>
        </row>
        <row r="623">
          <cell r="J623">
            <v>7.3669849931787823E-3</v>
          </cell>
          <cell r="K623">
            <v>-3.8038547602056161E-3</v>
          </cell>
        </row>
        <row r="624">
          <cell r="J624">
            <v>7.6986527357711942E-3</v>
          </cell>
          <cell r="K624">
            <v>-3.1412422694775399E-3</v>
          </cell>
        </row>
        <row r="625">
          <cell r="J625">
            <v>-5.4689636313918211E-3</v>
          </cell>
          <cell r="K625">
            <v>2.9929555475063374E-3</v>
          </cell>
        </row>
        <row r="626">
          <cell r="J626">
            <v>1.0500138159712735E-2</v>
          </cell>
          <cell r="K626">
            <v>9.2208013210388629E-3</v>
          </cell>
        </row>
        <row r="627">
          <cell r="J627">
            <v>1.4862591138530501E-2</v>
          </cell>
          <cell r="K627">
            <v>6.210215066549285E-3</v>
          </cell>
        </row>
        <row r="628">
          <cell r="J628">
            <v>3.9414414414415955E-3</v>
          </cell>
          <cell r="K628">
            <v>5.4229571854182979E-3</v>
          </cell>
        </row>
        <row r="629">
          <cell r="J629">
            <v>-8.3752093802345051E-3</v>
          </cell>
          <cell r="K629">
            <v>1.1682075196177699E-3</v>
          </cell>
        </row>
        <row r="630">
          <cell r="J630">
            <v>7.8784468204839975E-3</v>
          </cell>
          <cell r="K630">
            <v>9.2809891131195865E-3</v>
          </cell>
        </row>
        <row r="631">
          <cell r="J631">
            <v>1.0233086981239259E-2</v>
          </cell>
          <cell r="K631">
            <v>-7.0339108544348328E-4</v>
          </cell>
        </row>
        <row r="632">
          <cell r="J632">
            <v>6.5808297567955254E-3</v>
          </cell>
          <cell r="K632">
            <v>5.7550253269680329E-3</v>
          </cell>
        </row>
        <row r="633">
          <cell r="J633">
            <v>4.5990227076746493E-3</v>
          </cell>
          <cell r="K633">
            <v>-3.1243090935791917E-3</v>
          </cell>
        </row>
        <row r="634">
          <cell r="J634">
            <v>-1.4351320321469574E-3</v>
          </cell>
          <cell r="K634">
            <v>-3.7572709704595253E-3</v>
          </cell>
        </row>
        <row r="635">
          <cell r="J635">
            <v>-2.8620492272467546E-3</v>
          </cell>
          <cell r="K635">
            <v>1.1293427504845077E-2</v>
          </cell>
        </row>
        <row r="636">
          <cell r="J636">
            <v>5.4676258992805149E-3</v>
          </cell>
          <cell r="K636">
            <v>1.7871771405496784E-2</v>
          </cell>
        </row>
        <row r="637">
          <cell r="J637">
            <v>3.465203580710341E-3</v>
          </cell>
          <cell r="K637">
            <v>2.6299895132277928E-3</v>
          </cell>
        </row>
        <row r="638">
          <cell r="J638">
            <v>1.1564035848512511E-3</v>
          </cell>
          <cell r="K638">
            <v>5.6585229102597001E-3</v>
          </cell>
        </row>
        <row r="639">
          <cell r="J639">
            <v>-8.6655112651645716E-4</v>
          </cell>
          <cell r="K639">
            <v>-1.6429147046610582E-2</v>
          </cell>
        </row>
        <row r="640">
          <cell r="J640">
            <v>-2.0178725857595836E-3</v>
          </cell>
          <cell r="K640">
            <v>9.4419335171243013E-3</v>
          </cell>
        </row>
        <row r="641">
          <cell r="J641">
            <v>4.9246813441483628E-3</v>
          </cell>
          <cell r="K641">
            <v>-1.1446624727919463E-2</v>
          </cell>
        </row>
        <row r="642">
          <cell r="J642">
            <v>6.1206645292917194E-3</v>
          </cell>
          <cell r="K642">
            <v>-3.212846160501992E-3</v>
          </cell>
        </row>
        <row r="643">
          <cell r="J643">
            <v>-5.8258083309059572E-4</v>
          </cell>
          <cell r="K643">
            <v>9.2282597950374967E-3</v>
          </cell>
        </row>
        <row r="644">
          <cell r="J644">
            <v>-2.3249055507120753E-3</v>
          </cell>
          <cell r="K644">
            <v>2.7508157449092074E-3</v>
          </cell>
        </row>
        <row r="645">
          <cell r="J645">
            <v>2.622377622377714E-3</v>
          </cell>
          <cell r="K645">
            <v>1.6854684528233577E-4</v>
          </cell>
        </row>
        <row r="646">
          <cell r="J646">
            <v>-2.6155187445511263E-3</v>
          </cell>
          <cell r="K646">
            <v>4.8851686479107759E-3</v>
          </cell>
        </row>
        <row r="647">
          <cell r="J647">
            <v>-9.4991364421415092E-3</v>
          </cell>
          <cell r="K647">
            <v>1.446718360518906E-3</v>
          </cell>
        </row>
        <row r="648">
          <cell r="J648">
            <v>-1.4747589336358558E-2</v>
          </cell>
          <cell r="K648">
            <v>-8.7412472142736064E-3</v>
          </cell>
        </row>
        <row r="649">
          <cell r="J649">
            <v>1.0315186246418362E-2</v>
          </cell>
          <cell r="K649">
            <v>1.9141047555346624E-3</v>
          </cell>
        </row>
        <row r="650">
          <cell r="J650">
            <v>6.0536177572787508E-3</v>
          </cell>
          <cell r="K650">
            <v>5.2962320380531835E-3</v>
          </cell>
        </row>
        <row r="651">
          <cell r="J651">
            <v>5.7686760888375765E-4</v>
          </cell>
          <cell r="K651">
            <v>7.9084454365792034E-3</v>
          </cell>
        </row>
        <row r="652">
          <cell r="J652">
            <v>-1.0276905509563283E-2</v>
          </cell>
          <cell r="K652">
            <v>-1.0334051527833177E-2</v>
          </cell>
        </row>
        <row r="653">
          <cell r="J653">
            <v>-6.2411347517730142E-3</v>
          </cell>
          <cell r="K653">
            <v>-2.4994135546517748E-3</v>
          </cell>
        </row>
        <row r="654">
          <cell r="J654">
            <v>1.6435986159169413E-2</v>
          </cell>
          <cell r="K654">
            <v>5.7185578999834341E-3</v>
          </cell>
        </row>
        <row r="655">
          <cell r="J655">
            <v>1.1547344110856006E-3</v>
          </cell>
          <cell r="K655">
            <v>4.2830947069492087E-3</v>
          </cell>
        </row>
        <row r="656">
          <cell r="J656">
            <v>2.8876696505908406E-4</v>
          </cell>
          <cell r="K656">
            <v>3.9225635872597309E-4</v>
          </cell>
        </row>
        <row r="657">
          <cell r="J657">
            <v>3.7681159420290822E-3</v>
          </cell>
          <cell r="K657">
            <v>-2.9473978521108446E-3</v>
          </cell>
        </row>
        <row r="658">
          <cell r="J658">
            <v>-4.9033746755119401E-3</v>
          </cell>
          <cell r="K658">
            <v>3.8223732460600512E-3</v>
          </cell>
        </row>
        <row r="659">
          <cell r="J659">
            <v>1.641747288185269E-2</v>
          </cell>
          <cell r="K659">
            <v>1.7168016476401871E-2</v>
          </cell>
        </row>
        <row r="660">
          <cell r="J660">
            <v>-5.8292043136112248E-3</v>
          </cell>
          <cell r="K660">
            <v>7.1659498434855085E-3</v>
          </cell>
        </row>
        <row r="661">
          <cell r="J661">
            <v>9.1176470588236747E-3</v>
          </cell>
          <cell r="K661">
            <v>9.5583826774183756E-3</v>
          </cell>
        </row>
        <row r="662">
          <cell r="J662">
            <v>2.6540843409024184E-3</v>
          </cell>
          <cell r="K662">
            <v>-4.3815133509718107E-3</v>
          </cell>
        </row>
        <row r="663">
          <cell r="J663">
            <v>-1.0215995329830752E-2</v>
          </cell>
          <cell r="K663">
            <v>-1.0227936381452474E-2</v>
          </cell>
        </row>
        <row r="664">
          <cell r="J664">
            <v>-4.0697674418603835E-3</v>
          </cell>
          <cell r="K664">
            <v>7.5310118145965887E-3</v>
          </cell>
        </row>
        <row r="665">
          <cell r="J665">
            <v>-5.8105752469495009E-4</v>
          </cell>
          <cell r="K665">
            <v>-1.8578512623115273E-3</v>
          </cell>
        </row>
        <row r="666">
          <cell r="J666">
            <v>2.329644729178737E-3</v>
          </cell>
          <cell r="K666">
            <v>4.6308720214134347E-3</v>
          </cell>
        </row>
        <row r="667">
          <cell r="J667">
            <v>-9.2325447201385691E-3</v>
          </cell>
          <cell r="K667">
            <v>1.089820171846223E-2</v>
          </cell>
        </row>
        <row r="668">
          <cell r="J668">
            <v>1.1554015020220909E-3</v>
          </cell>
          <cell r="K668">
            <v>4.5647024296167071E-3</v>
          </cell>
        </row>
        <row r="669">
          <cell r="J669">
            <v>2.2143489813994721E-2</v>
          </cell>
          <cell r="K669">
            <v>1.3934523503770224E-2</v>
          </cell>
        </row>
        <row r="670">
          <cell r="J670">
            <v>1.6506602641056523E-2</v>
          </cell>
          <cell r="K670">
            <v>7.0781179484160628E-3</v>
          </cell>
        </row>
        <row r="671">
          <cell r="J671">
            <v>-4.4816253361219527E-3</v>
          </cell>
          <cell r="K671">
            <v>3.0739886523656335E-3</v>
          </cell>
        </row>
        <row r="672">
          <cell r="J672">
            <v>-6.8249258160237858E-3</v>
          </cell>
          <cell r="K672">
            <v>9.6378272525599051E-3</v>
          </cell>
        </row>
        <row r="673">
          <cell r="J673">
            <v>-7.3637702503681624E-3</v>
          </cell>
          <cell r="K673">
            <v>4.3764152586656113E-3</v>
          </cell>
        </row>
        <row r="674">
          <cell r="J674">
            <v>-4.3988269794721369E-3</v>
          </cell>
          <cell r="K674">
            <v>-1.0241054484223522E-3</v>
          </cell>
        </row>
        <row r="675">
          <cell r="J675">
            <v>5.8997050147493457E-3</v>
          </cell>
          <cell r="K675">
            <v>6.8253032606335751E-3</v>
          </cell>
        </row>
        <row r="676">
          <cell r="J676">
            <v>-2.3543260741613059E-3</v>
          </cell>
          <cell r="K676">
            <v>3.3453328304042795E-3</v>
          </cell>
        </row>
        <row r="677">
          <cell r="J677">
            <v>2.9515938606847758E-3</v>
          </cell>
          <cell r="K677">
            <v>7.1850368288464139E-3</v>
          </cell>
        </row>
        <row r="678">
          <cell r="J678">
            <v>-4.1152263374485409E-3</v>
          </cell>
          <cell r="K678">
            <v>-1.1571567630234703E-2</v>
          </cell>
        </row>
        <row r="679">
          <cell r="J679">
            <v>2.9481132075470651E-3</v>
          </cell>
          <cell r="K679">
            <v>-2.2461855767604844E-3</v>
          </cell>
        </row>
        <row r="680">
          <cell r="J680">
            <v>6.5281899109792541E-3</v>
          </cell>
          <cell r="K680">
            <v>1.162459084862455E-2</v>
          </cell>
        </row>
        <row r="681">
          <cell r="J681">
            <v>2.9682398337782523E-4</v>
          </cell>
          <cell r="K681">
            <v>2.177673042952355E-3</v>
          </cell>
        </row>
        <row r="682">
          <cell r="J682">
            <v>-7.3659398939304177E-3</v>
          </cell>
          <cell r="K682">
            <v>2.6559543175874722E-4</v>
          </cell>
        </row>
        <row r="683">
          <cell r="J683">
            <v>-1.3085199185809859E-2</v>
          </cell>
          <cell r="K683">
            <v>1.3433870850163787E-2</v>
          </cell>
        </row>
        <row r="684">
          <cell r="J684">
            <v>5.5555555555555358E-3</v>
          </cell>
          <cell r="K684">
            <v>3.4681191877585782E-3</v>
          </cell>
        </row>
        <row r="685">
          <cell r="J685">
            <v>1.1235955056179803E-2</v>
          </cell>
          <cell r="K685">
            <v>3.9998644113758974E-3</v>
          </cell>
        </row>
        <row r="686">
          <cell r="J686">
            <v>9.2509698597431633E-3</v>
          </cell>
          <cell r="K686">
            <v>9.827897689455245E-3</v>
          </cell>
        </row>
        <row r="687">
          <cell r="J687">
            <v>1.2080942313500431E-2</v>
          </cell>
          <cell r="K687">
            <v>1.3536304008850752E-2</v>
          </cell>
        </row>
        <row r="688">
          <cell r="J688">
            <v>1.3157894736842035E-2</v>
          </cell>
          <cell r="K688">
            <v>4.5656176847015395E-3</v>
          </cell>
        </row>
        <row r="689">
          <cell r="J689">
            <v>-2.0383693045563533E-2</v>
          </cell>
          <cell r="K689">
            <v>-1.7142520034178599E-2</v>
          </cell>
        </row>
        <row r="690">
          <cell r="J690">
            <v>-4.7732696897373472E-3</v>
          </cell>
          <cell r="K690">
            <v>-1.5468408361483998E-2</v>
          </cell>
        </row>
        <row r="691">
          <cell r="J691">
            <v>1.1466505733252808E-2</v>
          </cell>
          <cell r="K691">
            <v>1.059573557618565E-2</v>
          </cell>
        </row>
        <row r="692">
          <cell r="J692">
            <v>3.6596809508914641E-2</v>
          </cell>
          <cell r="K692">
            <v>2.0065746270386375E-2</v>
          </cell>
        </row>
        <row r="693">
          <cell r="J693">
            <v>1.8802883108741675E-3</v>
          </cell>
          <cell r="K693">
            <v>1.7390518335697935E-2</v>
          </cell>
        </row>
        <row r="694">
          <cell r="J694">
            <v>-1.9662058371735736E-2</v>
          </cell>
          <cell r="K694">
            <v>-3.4446251136033834E-2</v>
          </cell>
        </row>
        <row r="695">
          <cell r="J695">
            <v>-9.1324200913242004E-3</v>
          </cell>
          <cell r="K695">
            <v>-1.4455795201357979E-3</v>
          </cell>
        </row>
        <row r="696">
          <cell r="J696">
            <v>-2.3774145616641928E-2</v>
          </cell>
          <cell r="K696">
            <v>-1.7673158239533082E-2</v>
          </cell>
        </row>
        <row r="697">
          <cell r="J697">
            <v>-3.5534498075214804E-3</v>
          </cell>
          <cell r="K697">
            <v>8.6180195637115542E-3</v>
          </cell>
        </row>
        <row r="698">
          <cell r="J698">
            <v>-5.5948174322734134E-3</v>
          </cell>
          <cell r="K698">
            <v>-5.459539372472122E-4</v>
          </cell>
        </row>
        <row r="699">
          <cell r="J699">
            <v>-6.4365125804564105E-3</v>
          </cell>
          <cell r="K699">
            <v>-1.5444065367131277E-2</v>
          </cell>
        </row>
        <row r="700">
          <cell r="J700">
            <v>2.9265437518288806E-4</v>
          </cell>
          <cell r="K700">
            <v>2.8454285603429774E-4</v>
          </cell>
        </row>
        <row r="701">
          <cell r="J701">
            <v>6.4801178203239829E-3</v>
          </cell>
          <cell r="K701">
            <v>1.1667791325608246E-2</v>
          </cell>
        </row>
        <row r="702">
          <cell r="J702">
            <v>-1.3368206916594128E-2</v>
          </cell>
          <cell r="K702">
            <v>-1.5625546259308121E-2</v>
          </cell>
        </row>
        <row r="703">
          <cell r="J703">
            <v>-4.0520984081041656E-3</v>
          </cell>
          <cell r="K703">
            <v>-1.4812196359944907E-2</v>
          </cell>
        </row>
        <row r="704">
          <cell r="J704">
            <v>-3.748558246828182E-3</v>
          </cell>
          <cell r="K704">
            <v>-2.9947749581148431E-3</v>
          </cell>
        </row>
        <row r="705">
          <cell r="J705">
            <v>-6.0189165950127466E-3</v>
          </cell>
          <cell r="K705">
            <v>2.504008769466326E-3</v>
          </cell>
        </row>
        <row r="706">
          <cell r="J706">
            <v>6.6358915175994682E-3</v>
          </cell>
          <cell r="K706">
            <v>-8.9246433285149473E-3</v>
          </cell>
        </row>
        <row r="707">
          <cell r="J707">
            <v>2.8935185185186008E-3</v>
          </cell>
          <cell r="K707">
            <v>9.3283917421271845E-4</v>
          </cell>
        </row>
        <row r="708">
          <cell r="J708">
            <v>-1.0875787063537312E-2</v>
          </cell>
          <cell r="K708">
            <v>-4.957631210899649E-3</v>
          </cell>
        </row>
        <row r="709">
          <cell r="J709">
            <v>-8.2316207777463068E-3</v>
          </cell>
          <cell r="K709">
            <v>-2.3196143016711579E-3</v>
          </cell>
        </row>
        <row r="710">
          <cell r="J710">
            <v>2.4723676556137386E-2</v>
          </cell>
          <cell r="K710">
            <v>3.5975925319065016E-3</v>
          </cell>
        </row>
        <row r="711">
          <cell r="J711">
            <v>1.028504260946228E-2</v>
          </cell>
          <cell r="K711">
            <v>1.2420727440180857E-2</v>
          </cell>
        </row>
        <row r="712">
          <cell r="J712">
            <v>-2.3453532688361145E-3</v>
          </cell>
          <cell r="K712">
            <v>5.0491338485114667E-3</v>
          </cell>
        </row>
        <row r="713">
          <cell r="J713">
            <v>1.1740534194306651E-3</v>
          </cell>
          <cell r="K713">
            <v>-3.6654043200575748E-3</v>
          </cell>
        </row>
        <row r="714">
          <cell r="J714">
            <v>1.1880011880011976E-2</v>
          </cell>
          <cell r="K714">
            <v>1.5006946978156632E-2</v>
          </cell>
        </row>
        <row r="715">
          <cell r="J715">
            <v>-4.7295300029560616E-3</v>
          </cell>
          <cell r="K715">
            <v>4.0760140541999945E-3</v>
          </cell>
        </row>
        <row r="716">
          <cell r="J716">
            <v>-1.4757969303423879E-3</v>
          </cell>
          <cell r="K716">
            <v>-2.1416478503210046E-3</v>
          </cell>
        </row>
        <row r="717">
          <cell r="J717">
            <v>-8.1967213114754189E-3</v>
          </cell>
          <cell r="K717">
            <v>5.7096278251052013E-3</v>
          </cell>
        </row>
        <row r="718">
          <cell r="J718">
            <v>2.9359953024075125E-3</v>
          </cell>
          <cell r="K718">
            <v>1.2774295702473459E-2</v>
          </cell>
        </row>
        <row r="719">
          <cell r="J719">
            <v>-8.731082654249156E-3</v>
          </cell>
          <cell r="K719">
            <v>-1.2534330137543348E-2</v>
          </cell>
        </row>
        <row r="720">
          <cell r="J720">
            <v>-3.0747531734837685E-2</v>
          </cell>
          <cell r="K720">
            <v>-1.6576028400395848E-2</v>
          </cell>
        </row>
        <row r="721">
          <cell r="J721">
            <v>-4.6017222820236903E-2</v>
          </cell>
          <cell r="K721">
            <v>-9.3009539764700166E-3</v>
          </cell>
        </row>
        <row r="722">
          <cell r="J722">
            <v>-9.0666666666665563E-3</v>
          </cell>
          <cell r="K722">
            <v>-3.1920131143047259E-3</v>
          </cell>
        </row>
        <row r="723">
          <cell r="J723">
            <v>9.1496232508072595E-3</v>
          </cell>
          <cell r="K723">
            <v>1.788848014920208E-2</v>
          </cell>
        </row>
        <row r="724">
          <cell r="J724">
            <v>-3.2188841201716833E-3</v>
          </cell>
          <cell r="K724">
            <v>-6.8131142878499196E-3</v>
          </cell>
        </row>
        <row r="725">
          <cell r="J725">
            <v>-1.6099234626550496E-2</v>
          </cell>
          <cell r="K725">
            <v>-4.4269793443930672E-3</v>
          </cell>
        </row>
        <row r="726">
          <cell r="J726">
            <v>9.5923261390886694E-3</v>
          </cell>
          <cell r="K726">
            <v>1.9750697457869837E-3</v>
          </cell>
        </row>
        <row r="727">
          <cell r="J727">
            <v>2.0669023660592867E-2</v>
          </cell>
          <cell r="K727">
            <v>2.2708292646634876E-2</v>
          </cell>
        </row>
        <row r="728">
          <cell r="J728">
            <v>-2.981530343007921E-2</v>
          </cell>
          <cell r="K728">
            <v>-2.331246661991937E-2</v>
          </cell>
        </row>
        <row r="729">
          <cell r="J729">
            <v>-1.0960334029227581E-2</v>
          </cell>
          <cell r="K729">
            <v>-2.5300699226406653E-2</v>
          </cell>
        </row>
        <row r="730">
          <cell r="J730">
            <v>1.8065887353878818E-2</v>
          </cell>
          <cell r="K730">
            <v>1.1789976817763392E-2</v>
          </cell>
        </row>
        <row r="731">
          <cell r="J731">
            <v>1.92255618738153E-2</v>
          </cell>
          <cell r="K731">
            <v>3.0855267768734596E-3</v>
          </cell>
        </row>
        <row r="732">
          <cell r="J732">
            <v>-2.7005130974885327E-3</v>
          </cell>
          <cell r="K732">
            <v>-6.2698667809565345E-3</v>
          </cell>
        </row>
        <row r="733">
          <cell r="J733">
            <v>-4.3022317827372536E-3</v>
          </cell>
          <cell r="K733">
            <v>-8.8603965407991758E-3</v>
          </cell>
        </row>
        <row r="734">
          <cell r="J734">
            <v>-1.352785145888602E-2</v>
          </cell>
          <cell r="K734">
            <v>-1.3012831151135162E-2</v>
          </cell>
        </row>
        <row r="735">
          <cell r="J735">
            <v>9.3708165997321569E-3</v>
          </cell>
          <cell r="K735">
            <v>1.681616311503431E-3</v>
          </cell>
        </row>
        <row r="736">
          <cell r="J736">
            <v>1.7433941705257361E-2</v>
          </cell>
          <cell r="K736">
            <v>3.401008187352117E-3</v>
          </cell>
        </row>
        <row r="737">
          <cell r="J737">
            <v>-8.1059173196433854E-3</v>
          </cell>
          <cell r="K737">
            <v>-1.6330104733744188E-2</v>
          </cell>
        </row>
        <row r="738">
          <cell r="J738">
            <v>-6.9761202039172465E-3</v>
          </cell>
          <cell r="K738">
            <v>-4.4054378441210629E-3</v>
          </cell>
        </row>
        <row r="739">
          <cell r="J739">
            <v>-1.339764201500504E-3</v>
          </cell>
          <cell r="K739">
            <v>-3.5365598730676684E-3</v>
          </cell>
        </row>
        <row r="740">
          <cell r="J740">
            <v>-7.1827613727054596E-3</v>
          </cell>
          <cell r="K740">
            <v>1.479178249558899E-3</v>
          </cell>
        </row>
        <row r="741">
          <cell r="J741">
            <v>-1.8794048551292186E-2</v>
          </cell>
          <cell r="K741">
            <v>1.1613523914237867E-3</v>
          </cell>
        </row>
        <row r="742">
          <cell r="J742">
            <v>-2.6034886748242947E-3</v>
          </cell>
          <cell r="K742">
            <v>3.2886799087166185E-3</v>
          </cell>
        </row>
        <row r="743">
          <cell r="J743">
            <v>2.0999468367889573E-2</v>
          </cell>
          <cell r="K743">
            <v>-8.3258837384602158E-3</v>
          </cell>
        </row>
        <row r="744">
          <cell r="J744">
            <v>6.1513773736292521E-3</v>
          </cell>
          <cell r="K744">
            <v>-9.9622628737752184E-3</v>
          </cell>
        </row>
        <row r="745">
          <cell r="J745">
            <v>1.5480717001629563E-2</v>
          </cell>
          <cell r="K745">
            <v>2.414211438474867E-2</v>
          </cell>
        </row>
        <row r="746">
          <cell r="J746">
            <v>-1.577118417535428E-2</v>
          </cell>
          <cell r="K746">
            <v>-1.5529720082852583E-2</v>
          </cell>
        </row>
        <row r="747">
          <cell r="J747">
            <v>1.0807889759524514E-2</v>
          </cell>
          <cell r="K747">
            <v>2.487781420765045E-2</v>
          </cell>
        </row>
        <row r="748">
          <cell r="J748">
            <v>-5.9092130002685872E-3</v>
          </cell>
          <cell r="K748">
            <v>1.5035392009996373E-2</v>
          </cell>
        </row>
        <row r="749">
          <cell r="J749">
            <v>1.6657564172583461E-2</v>
          </cell>
          <cell r="K749">
            <v>2.184369307832279E-3</v>
          </cell>
        </row>
        <row r="750">
          <cell r="J750">
            <v>-1.3469827586206851E-2</v>
          </cell>
          <cell r="K750">
            <v>-3.2676204170425383E-3</v>
          </cell>
        </row>
        <row r="751">
          <cell r="J751">
            <v>-1.381509032943673E-2</v>
          </cell>
          <cell r="K751">
            <v>5.4352282653260531E-3</v>
          </cell>
        </row>
        <row r="752">
          <cell r="J752">
            <v>1.5650296815973963E-2</v>
          </cell>
          <cell r="K752">
            <v>-7.5402666515695937E-3</v>
          </cell>
        </row>
        <row r="753">
          <cell r="J753">
            <v>3.4040178571428603E-2</v>
          </cell>
          <cell r="K753">
            <v>5.9388319881827911E-3</v>
          </cell>
        </row>
        <row r="754">
          <cell r="J754">
            <v>3.2555459521751429E-2</v>
          </cell>
          <cell r="K754">
            <v>4.0149498524636895E-2</v>
          </cell>
        </row>
        <row r="755">
          <cell r="J755">
            <v>-7.4349442379181285E-3</v>
          </cell>
          <cell r="K755">
            <v>8.1761769234358628E-3</v>
          </cell>
        </row>
        <row r="756">
          <cell r="J756">
            <v>-1.1309018942606719E-2</v>
          </cell>
          <cell r="K756">
            <v>2.6646656724069739E-3</v>
          </cell>
        </row>
        <row r="757">
          <cell r="J757">
            <v>1.0571428571428454E-2</v>
          </cell>
          <cell r="K757">
            <v>2.9540545054960177E-3</v>
          </cell>
        </row>
        <row r="758">
          <cell r="J758">
            <v>2.6092055115801704E-2</v>
          </cell>
          <cell r="K758">
            <v>2.1062172789918732E-2</v>
          </cell>
        </row>
        <row r="759">
          <cell r="J759">
            <v>1.1565836298932375E-2</v>
          </cell>
          <cell r="K759">
            <v>1.6572217817423018E-2</v>
          </cell>
        </row>
        <row r="760">
          <cell r="J760">
            <v>-8.8888888888893902E-4</v>
          </cell>
          <cell r="K760">
            <v>6.8275250662943598E-3</v>
          </cell>
        </row>
        <row r="761">
          <cell r="J761">
            <v>-1.1423550087873435E-2</v>
          </cell>
          <cell r="K761">
            <v>-3.2667408248765462E-3</v>
          </cell>
        </row>
        <row r="762">
          <cell r="J762">
            <v>3.8224051749484733E-3</v>
          </cell>
          <cell r="K762">
            <v>8.0026327301963018E-3</v>
          </cell>
        </row>
        <row r="763">
          <cell r="J763">
            <v>-1.7052023121387205E-2</v>
          </cell>
          <cell r="K763">
            <v>-6.5485128317570584E-3</v>
          </cell>
        </row>
        <row r="764">
          <cell r="J764">
            <v>-3.0269058295964157E-2</v>
          </cell>
          <cell r="K764">
            <v>-2.9337934749935624E-3</v>
          </cell>
        </row>
        <row r="765">
          <cell r="J765">
            <v>1.8846373500856828E-2</v>
          </cell>
          <cell r="K765">
            <v>-4.6551208271971012E-3</v>
          </cell>
        </row>
        <row r="766">
          <cell r="J766">
            <v>1.3603473227207008E-2</v>
          </cell>
          <cell r="K766">
            <v>4.016440290806722E-3</v>
          </cell>
        </row>
        <row r="767">
          <cell r="J767">
            <v>1.171303074670571E-2</v>
          </cell>
          <cell r="K767">
            <v>6.2359411619226091E-3</v>
          </cell>
        </row>
        <row r="768">
          <cell r="J768">
            <v>1.9707375335921151E-2</v>
          </cell>
          <cell r="K768">
            <v>4.8876896494591815E-3</v>
          </cell>
        </row>
        <row r="769">
          <cell r="J769">
            <v>2.3944926668659772E-3</v>
          </cell>
          <cell r="K769">
            <v>3.9763951047566692E-3</v>
          </cell>
        </row>
        <row r="770">
          <cell r="J770">
            <v>1.6119221411192264E-2</v>
          </cell>
          <cell r="K770">
            <v>-7.3018844402572558E-4</v>
          </cell>
        </row>
        <row r="771">
          <cell r="J771">
            <v>8.2796688132473761E-3</v>
          </cell>
          <cell r="K771">
            <v>5.7937496765769758E-3</v>
          </cell>
        </row>
        <row r="772">
          <cell r="J772">
            <v>2.0976831559173625E-2</v>
          </cell>
          <cell r="K772">
            <v>9.9601393414447958E-3</v>
          </cell>
        </row>
        <row r="773">
          <cell r="J773">
            <v>4.4025157232703283E-3</v>
          </cell>
          <cell r="K773">
            <v>8.0995205537746084E-3</v>
          </cell>
        </row>
        <row r="774">
          <cell r="J774">
            <v>-6.2499999999999778E-3</v>
          </cell>
          <cell r="K774">
            <v>6.3030822092393635E-3</v>
          </cell>
        </row>
        <row r="775">
          <cell r="J775">
            <v>2.8204324663114733E-3</v>
          </cell>
          <cell r="K775">
            <v>7.6250708878862206E-3</v>
          </cell>
        </row>
        <row r="776">
          <cell r="J776">
            <v>-7.465007776049748E-3</v>
          </cell>
          <cell r="K776">
            <v>-3.0685277212186834E-3</v>
          </cell>
        </row>
        <row r="777">
          <cell r="J777">
            <v>7.2055137844611039E-3</v>
          </cell>
          <cell r="K777">
            <v>2.6144515710326832E-3</v>
          </cell>
        </row>
        <row r="778">
          <cell r="J778">
            <v>-4.9875311720698479E-3</v>
          </cell>
          <cell r="K778">
            <v>1.485025309191812E-3</v>
          </cell>
        </row>
        <row r="779">
          <cell r="J779">
            <v>8.1709616593337309E-3</v>
          </cell>
          <cell r="K779">
            <v>5.9339690763244857E-3</v>
          </cell>
        </row>
        <row r="780">
          <cell r="J780">
            <v>-7.7954474586841016E-3</v>
          </cell>
          <cell r="K780">
            <v>3.2152271830956369E-3</v>
          </cell>
        </row>
        <row r="781">
          <cell r="J781">
            <v>-1.4140793114048589E-2</v>
          </cell>
          <cell r="K781">
            <v>-5.6531457619982683E-3</v>
          </cell>
        </row>
        <row r="782">
          <cell r="J782">
            <v>-4.5899632802937074E-3</v>
          </cell>
          <cell r="K782">
            <v>-7.1455503733637293E-3</v>
          </cell>
        </row>
        <row r="783">
          <cell r="J783">
            <v>-6.0827250608272987E-3</v>
          </cell>
          <cell r="K783">
            <v>-1.4650755455155595E-3</v>
          </cell>
        </row>
        <row r="784">
          <cell r="J784">
            <v>-2.7297543221109777E-3</v>
          </cell>
          <cell r="K784">
            <v>-3.6635413417491769E-3</v>
          </cell>
        </row>
        <row r="785">
          <cell r="J785">
            <v>3.0339805825230215E-4</v>
          </cell>
          <cell r="K785">
            <v>6.9138093488334551E-3</v>
          </cell>
        </row>
        <row r="786">
          <cell r="J786">
            <v>1.2150668286756705E-3</v>
          </cell>
          <cell r="K786">
            <v>7.5599920291402611E-4</v>
          </cell>
        </row>
        <row r="787">
          <cell r="J787">
            <v>-3.0284675953967666E-3</v>
          </cell>
          <cell r="K787">
            <v>-7.604438708835648E-3</v>
          </cell>
        </row>
        <row r="788">
          <cell r="J788">
            <v>-1.3739545997610625E-2</v>
          </cell>
          <cell r="K788">
            <v>4.3696467220484259E-3</v>
          </cell>
        </row>
        <row r="789">
          <cell r="J789">
            <v>6.9172932330827663E-3</v>
          </cell>
          <cell r="K789">
            <v>-3.2553412087420464E-3</v>
          </cell>
        </row>
        <row r="790">
          <cell r="J790">
            <v>-6.8697729988053124E-3</v>
          </cell>
          <cell r="K790">
            <v>-5.7689927294051202E-3</v>
          </cell>
        </row>
        <row r="791">
          <cell r="J791">
            <v>-7.1174377224199059E-3</v>
          </cell>
          <cell r="K791">
            <v>8.9770800117805472E-4</v>
          </cell>
        </row>
        <row r="792">
          <cell r="J792">
            <v>3.27283546563506E-3</v>
          </cell>
          <cell r="K792">
            <v>-3.7372625512938074E-3</v>
          </cell>
        </row>
        <row r="793">
          <cell r="J793">
            <v>2.2512929723151887E-2</v>
          </cell>
          <cell r="K793">
            <v>4.5776079356043553E-3</v>
          </cell>
        </row>
        <row r="794">
          <cell r="J794">
            <v>3.0432136335956095E-4</v>
          </cell>
          <cell r="K794">
            <v>-1.706571212314878E-3</v>
          </cell>
        </row>
        <row r="795">
          <cell r="J795">
            <v>-9.121313469138137E-4</v>
          </cell>
          <cell r="K795">
            <v>1.9579617678993078E-3</v>
          </cell>
        </row>
        <row r="796">
          <cell r="J796">
            <v>-9.1130012150675288E-4</v>
          </cell>
          <cell r="K796">
            <v>4.4315740460882935E-3</v>
          </cell>
        </row>
        <row r="797">
          <cell r="J797">
            <v>-1.5165301789505925E-3</v>
          </cell>
          <cell r="K797">
            <v>1.0437258826685447E-2</v>
          </cell>
        </row>
        <row r="798">
          <cell r="J798">
            <v>-9.0909090909097046E-4</v>
          </cell>
          <cell r="K798">
            <v>1.5665947438472383E-3</v>
          </cell>
        </row>
        <row r="799">
          <cell r="J799">
            <v>-6.6225165562913135E-3</v>
          </cell>
          <cell r="K799">
            <v>-6.0477078694154418E-3</v>
          </cell>
        </row>
        <row r="800">
          <cell r="J800">
            <v>6.0240963855417995E-4</v>
          </cell>
          <cell r="K800">
            <v>-4.9161796480383657E-3</v>
          </cell>
        </row>
        <row r="801">
          <cell r="J801">
            <v>6.0606060606060996E-3</v>
          </cell>
          <cell r="K801">
            <v>-4.4810471242543448E-3</v>
          </cell>
        </row>
        <row r="802">
          <cell r="J802">
            <v>-3.9239360096589015E-3</v>
          </cell>
          <cell r="K802">
            <v>-5.7353793587366919E-4</v>
          </cell>
        </row>
        <row r="803">
          <cell r="J803">
            <v>-1.8077734257305744E-3</v>
          </cell>
          <cell r="K803">
            <v>-8.1346280949690097E-5</v>
          </cell>
        </row>
        <row r="804">
          <cell r="J804">
            <v>-1.1908306043465267E-2</v>
          </cell>
          <cell r="K804">
            <v>3.0802811011496622E-3</v>
          </cell>
        </row>
        <row r="805">
          <cell r="J805">
            <v>2.6865671641791433E-3</v>
          </cell>
          <cell r="K805">
            <v>5.0229106229433551E-3</v>
          </cell>
        </row>
        <row r="806">
          <cell r="J806">
            <v>-1.788331867487547E-2</v>
          </cell>
          <cell r="K806">
            <v>1.1000987215457059E-3</v>
          </cell>
        </row>
        <row r="807">
          <cell r="J807">
            <v>2.0951810835079243E-2</v>
          </cell>
          <cell r="K807">
            <v>6.8691168721133344E-3</v>
          </cell>
        </row>
        <row r="808">
          <cell r="J808">
            <v>2.7010804321729864E-3</v>
          </cell>
          <cell r="K808">
            <v>-1.6529437895806964E-4</v>
          </cell>
        </row>
        <row r="809">
          <cell r="J809">
            <v>7.2551390568318386E-3</v>
          </cell>
          <cell r="K809">
            <v>6.2685822400567748E-3</v>
          </cell>
        </row>
        <row r="810">
          <cell r="J810">
            <v>5.4711246200607189E-3</v>
          </cell>
          <cell r="K810">
            <v>-1.0015725471146597E-2</v>
          </cell>
        </row>
        <row r="811">
          <cell r="J811">
            <v>2.132196162046851E-3</v>
          </cell>
          <cell r="K811">
            <v>-1.1919942566255393E-2</v>
          </cell>
        </row>
        <row r="812">
          <cell r="J812">
            <v>4.282655246252709E-3</v>
          </cell>
          <cell r="K812">
            <v>-3.5444607920622762E-3</v>
          </cell>
        </row>
        <row r="813">
          <cell r="J813">
            <v>9.1855480710334447E-4</v>
          </cell>
          <cell r="K813">
            <v>1.1361653607528943E-3</v>
          </cell>
        </row>
        <row r="814">
          <cell r="J814">
            <v>-6.6909975669099397E-3</v>
          </cell>
          <cell r="K814">
            <v>-3.6004018865217757E-3</v>
          </cell>
        </row>
        <row r="815">
          <cell r="J815">
            <v>-3.938200545289372E-3</v>
          </cell>
          <cell r="K815">
            <v>-1.0268127787370518E-2</v>
          </cell>
        </row>
        <row r="816">
          <cell r="J816">
            <v>-2.7190332326283428E-3</v>
          </cell>
          <cell r="K816">
            <v>5.3650324003906569E-4</v>
          </cell>
        </row>
        <row r="817">
          <cell r="J817">
            <v>3.0303030303029388E-3</v>
          </cell>
          <cell r="K817">
            <v>6.4513659286482561E-3</v>
          </cell>
        </row>
        <row r="818">
          <cell r="J818">
            <v>-5.7246158481469855E-3</v>
          </cell>
          <cell r="K818">
            <v>-3.8295028269679232E-3</v>
          </cell>
        </row>
        <row r="819">
          <cell r="J819">
            <v>3.0220610456330732E-3</v>
          </cell>
          <cell r="K819">
            <v>-4.2469252261362334E-3</v>
          </cell>
        </row>
        <row r="820">
          <cell r="J820">
            <v>9.0744101633388752E-4</v>
          </cell>
          <cell r="K820">
            <v>6.438558133079697E-3</v>
          </cell>
        </row>
        <row r="821">
          <cell r="J821">
            <v>-1.3723150357995095E-2</v>
          </cell>
          <cell r="K821">
            <v>-1.4381061989208188E-3</v>
          </cell>
        </row>
        <row r="822">
          <cell r="J822">
            <v>-4.1592394533571664E-3</v>
          </cell>
          <cell r="K822">
            <v>1.3354437635380023E-3</v>
          </cell>
        </row>
        <row r="823">
          <cell r="J823">
            <v>2.1547799696509884E-2</v>
          </cell>
          <cell r="K823">
            <v>4.0844248606664024E-4</v>
          </cell>
        </row>
        <row r="824">
          <cell r="J824">
            <v>-6.6324992463068222E-3</v>
          </cell>
          <cell r="K824">
            <v>-8.3836779646137005E-3</v>
          </cell>
        </row>
        <row r="825">
          <cell r="J825">
            <v>-1.4850014850014803E-2</v>
          </cell>
          <cell r="K825">
            <v>-1.5081933710234252E-2</v>
          </cell>
        </row>
        <row r="826">
          <cell r="J826">
            <v>-1.2030516431924987E-2</v>
          </cell>
          <cell r="K826">
            <v>-3.0912991096352371E-3</v>
          </cell>
        </row>
        <row r="827">
          <cell r="J827">
            <v>2.9351335485761076E-4</v>
          </cell>
          <cell r="K827">
            <v>-2.3764806588481013E-3</v>
          </cell>
        </row>
        <row r="828">
          <cell r="J828">
            <v>-1.5033246603064487E-2</v>
          </cell>
          <cell r="K828">
            <v>3.1898583287259807E-3</v>
          </cell>
        </row>
        <row r="829">
          <cell r="J829">
            <v>-1.1996572407883543E-2</v>
          </cell>
          <cell r="K829">
            <v>1.6496011500075625E-3</v>
          </cell>
        </row>
        <row r="830">
          <cell r="J830">
            <v>-7.6530612244897211E-3</v>
          </cell>
          <cell r="K830">
            <v>-3.7494724237097099E-4</v>
          </cell>
        </row>
        <row r="831">
          <cell r="J831">
            <v>1.4959723820483273E-2</v>
          </cell>
          <cell r="K831">
            <v>1.6514709785304893E-2</v>
          </cell>
        </row>
        <row r="832">
          <cell r="J832">
            <v>1.2820512820512997E-2</v>
          </cell>
          <cell r="K832">
            <v>7.9671258005342693E-3</v>
          </cell>
        </row>
        <row r="833">
          <cell r="J833">
            <v>2.0517395182872322E-2</v>
          </cell>
          <cell r="K833">
            <v>-1.3337832843206554E-3</v>
          </cell>
        </row>
        <row r="834">
          <cell r="J834">
            <v>3.222836095764281E-2</v>
          </cell>
          <cell r="K834">
            <v>3.8595090317350422E-3</v>
          </cell>
        </row>
        <row r="835">
          <cell r="J835">
            <v>1.14871158025458E-2</v>
          </cell>
          <cell r="K835">
            <v>2.1460788593044011E-3</v>
          </cell>
        </row>
        <row r="836">
          <cell r="J836">
            <v>-2.4775472282438926E-3</v>
          </cell>
          <cell r="K836">
            <v>4.2087576250757763E-3</v>
          </cell>
        </row>
        <row r="837">
          <cell r="J837">
            <v>5.6057303020864424E-3</v>
          </cell>
          <cell r="K837">
            <v>7.418946628151124E-3</v>
          </cell>
        </row>
        <row r="838">
          <cell r="J838">
            <v>3.1240237425804729E-3</v>
          </cell>
          <cell r="K838">
            <v>6.0281106161381715E-3</v>
          </cell>
        </row>
        <row r="839">
          <cell r="J839">
            <v>5.3391959798996247E-3</v>
          </cell>
          <cell r="K839">
            <v>-3.4678242477158561E-3</v>
          </cell>
        </row>
        <row r="840">
          <cell r="J840">
            <v>1.1114639568116758E-2</v>
          </cell>
          <cell r="K840">
            <v>1.2250752590203806E-3</v>
          </cell>
        </row>
        <row r="841">
          <cell r="J841">
            <v>-1.9017432646593058E-3</v>
          </cell>
          <cell r="K841">
            <v>9.4457459964329971E-3</v>
          </cell>
        </row>
        <row r="842">
          <cell r="J842">
            <v>9.6000000000000529E-3</v>
          </cell>
          <cell r="K842">
            <v>9.6202711661650397E-3</v>
          </cell>
        </row>
        <row r="843">
          <cell r="J843">
            <v>4.3405676126878179E-2</v>
          </cell>
          <cell r="K843">
            <v>4.0189567090749279E-3</v>
          </cell>
        </row>
        <row r="844">
          <cell r="J844">
            <v>1.8707482993197244E-2</v>
          </cell>
          <cell r="K844">
            <v>-6.7759211832522093E-3</v>
          </cell>
        </row>
        <row r="845">
          <cell r="J845">
            <v>2.7612722824187363E-2</v>
          </cell>
          <cell r="K845">
            <v>1.7938866013356147E-4</v>
          </cell>
        </row>
        <row r="846">
          <cell r="J846">
            <v>1.4000700035003977E-3</v>
          </cell>
          <cell r="K846">
            <v>9.79251968421746E-4</v>
          </cell>
        </row>
        <row r="847">
          <cell r="J847">
            <v>6.6948555320647252E-3</v>
          </cell>
          <cell r="K847">
            <v>1.4675536535242895E-2</v>
          </cell>
        </row>
        <row r="848">
          <cell r="J848">
            <v>-1.1838440111420545E-2</v>
          </cell>
          <cell r="K848">
            <v>-1.357146439737178E-2</v>
          </cell>
        </row>
        <row r="849">
          <cell r="J849">
            <v>-1.5426808364758293E-2</v>
          </cell>
          <cell r="K849">
            <v>-1.5318511445668981E-2</v>
          </cell>
        </row>
        <row r="850">
          <cell r="J850">
            <v>5.8620689655171088E-3</v>
          </cell>
          <cell r="K850">
            <v>3.3202078531760604E-2</v>
          </cell>
        </row>
        <row r="851">
          <cell r="J851">
            <v>5.8966354491847284E-3</v>
          </cell>
          <cell r="K851">
            <v>1.5097002829473904E-2</v>
          </cell>
        </row>
        <row r="852">
          <cell r="J852">
            <v>3.9668229354489659E-2</v>
          </cell>
          <cell r="K852">
            <v>2.2130794939389631E-2</v>
          </cell>
        </row>
        <row r="853">
          <cell r="J853">
            <v>2.2869789745481262E-2</v>
          </cell>
          <cell r="K853">
            <v>-2.6621783659503961E-3</v>
          </cell>
        </row>
        <row r="854">
          <cell r="J854">
            <v>6.6483084185680719E-2</v>
          </cell>
          <cell r="K854">
            <v>4.1312032771035678E-2</v>
          </cell>
        </row>
        <row r="855">
          <cell r="J855">
            <v>-3.529411764705892E-2</v>
          </cell>
          <cell r="K855">
            <v>2.177531304060798E-2</v>
          </cell>
        </row>
        <row r="856">
          <cell r="J856">
            <v>1.934235976789167E-2</v>
          </cell>
          <cell r="K856">
            <v>1.3617532187110148E-2</v>
          </cell>
        </row>
        <row r="857">
          <cell r="J857">
            <v>1.6116352201257733E-2</v>
          </cell>
          <cell r="K857">
            <v>1.0361526658995146E-2</v>
          </cell>
        </row>
        <row r="858">
          <cell r="J858">
            <v>7.8678206136917339E-4</v>
          </cell>
          <cell r="K858">
            <v>3.5269719526336285E-3</v>
          </cell>
        </row>
        <row r="859">
          <cell r="J859">
            <v>-2.7461749705767202E-3</v>
          </cell>
          <cell r="K859">
            <v>2.6921536746933317E-3</v>
          </cell>
        </row>
        <row r="860">
          <cell r="J860">
            <v>-1.2398295234405388E-2</v>
          </cell>
          <cell r="K860">
            <v>3.9500420191471708E-3</v>
          </cell>
        </row>
        <row r="861">
          <cell r="J861">
            <v>2.9106858054226414E-2</v>
          </cell>
          <cell r="K861">
            <v>1.1796330738336636E-2</v>
          </cell>
        </row>
        <row r="862">
          <cell r="J862">
            <v>1.6619375760032584E-2</v>
          </cell>
          <cell r="K862">
            <v>1.0155048457241023E-3</v>
          </cell>
        </row>
        <row r="863">
          <cell r="J863">
            <v>8.113590263691961E-4</v>
          </cell>
          <cell r="K863">
            <v>-2.2027563824865704E-3</v>
          </cell>
        </row>
        <row r="864">
          <cell r="J864">
            <v>2.4400162667750358E-3</v>
          </cell>
          <cell r="K864">
            <v>3.8426102232103077E-3</v>
          </cell>
        </row>
        <row r="865">
          <cell r="J865">
            <v>7.3740270380990847E-3</v>
          </cell>
          <cell r="K865">
            <v>4.8165228210850231E-3</v>
          </cell>
        </row>
        <row r="866">
          <cell r="J866">
            <v>9.0946672178586763E-3</v>
          </cell>
          <cell r="K866">
            <v>-4.5390761124669554E-3</v>
          </cell>
        </row>
        <row r="867">
          <cell r="J867">
            <v>-8.261049153241995E-4</v>
          </cell>
          <cell r="K867">
            <v>-2.4417330420904992E-3</v>
          </cell>
        </row>
        <row r="868">
          <cell r="J868">
            <v>1.2547051442910906E-2</v>
          </cell>
          <cell r="K868">
            <v>-7.5205651937459983E-4</v>
          </cell>
        </row>
        <row r="869">
          <cell r="J869">
            <v>-3.3347228011672003E-3</v>
          </cell>
          <cell r="K869">
            <v>-1.802171898344862E-3</v>
          </cell>
        </row>
        <row r="870">
          <cell r="J870">
            <v>-1.760851760851756E-2</v>
          </cell>
          <cell r="K870">
            <v>-2.4174151465329308E-3</v>
          </cell>
        </row>
        <row r="871">
          <cell r="J871">
            <v>1.8348623853210899E-2</v>
          </cell>
          <cell r="K871">
            <v>9.3215414766740778E-3</v>
          </cell>
        </row>
        <row r="872">
          <cell r="J872">
            <v>4.1876046901172526E-3</v>
          </cell>
          <cell r="K872">
            <v>2.6657566795581511E-2</v>
          </cell>
        </row>
        <row r="873">
          <cell r="J873">
            <v>-4.1858518208448547E-4</v>
          </cell>
          <cell r="K873">
            <v>-1.3656408793617514E-3</v>
          </cell>
        </row>
        <row r="874">
          <cell r="J874">
            <v>-4.1841004184095532E-4</v>
          </cell>
          <cell r="K874">
            <v>2.056468136126588E-3</v>
          </cell>
        </row>
        <row r="875">
          <cell r="J875">
            <v>4.185851820845965E-4</v>
          </cell>
          <cell r="K875">
            <v>-2.5281324115657977E-3</v>
          </cell>
        </row>
        <row r="876">
          <cell r="J876">
            <v>-4.5833333333332726E-3</v>
          </cell>
          <cell r="K876">
            <v>-1.5568397664236233E-3</v>
          </cell>
        </row>
        <row r="877">
          <cell r="J877">
            <v>-1.4373716632443578E-2</v>
          </cell>
          <cell r="K877">
            <v>-7.4784535028216137E-3</v>
          </cell>
        </row>
        <row r="878">
          <cell r="J878">
            <v>-4.8456428292301679E-2</v>
          </cell>
          <cell r="K878">
            <v>-1.5010688496813196E-2</v>
          </cell>
        </row>
        <row r="879">
          <cell r="J879">
            <v>7.1608040201005085E-2</v>
          </cell>
          <cell r="K879">
            <v>2.5319620117318253E-2</v>
          </cell>
        </row>
        <row r="880">
          <cell r="J880">
            <v>1.4012738853503182E-2</v>
          </cell>
          <cell r="K880">
            <v>-3.720792158914743E-3</v>
          </cell>
        </row>
        <row r="881">
          <cell r="J881">
            <v>7.2892938496583071E-2</v>
          </cell>
          <cell r="K881">
            <v>0.1029453793754076</v>
          </cell>
        </row>
        <row r="882">
          <cell r="J882">
            <v>-4.4821583986074942E-2</v>
          </cell>
          <cell r="K882">
            <v>-4.4691256577116367E-2</v>
          </cell>
        </row>
        <row r="883">
          <cell r="J883">
            <v>-4.7263681592039752E-2</v>
          </cell>
          <cell r="K883">
            <v>-4.9570328344220926E-2</v>
          </cell>
        </row>
        <row r="884">
          <cell r="J884">
            <v>-2.741935483870972E-2</v>
          </cell>
          <cell r="K884">
            <v>-3.8898681827426951E-2</v>
          </cell>
        </row>
        <row r="885">
          <cell r="J885">
            <v>-2.9354207436399271E-2</v>
          </cell>
          <cell r="K885">
            <v>-2.3991605773866276E-2</v>
          </cell>
        </row>
        <row r="886">
          <cell r="J886">
            <v>8.6853533359652069E-3</v>
          </cell>
          <cell r="K886">
            <v>1.8083304461639083E-2</v>
          </cell>
        </row>
        <row r="887">
          <cell r="J887">
            <v>1.2794882047181266E-2</v>
          </cell>
          <cell r="K887">
            <v>3.6993051483888539E-2</v>
          </cell>
        </row>
        <row r="888">
          <cell r="J888">
            <v>-5.8712834023334604E-2</v>
          </cell>
          <cell r="K888">
            <v>-6.5151677714594958E-2</v>
          </cell>
        </row>
        <row r="889">
          <cell r="J889">
            <v>7.2024260803638107E-3</v>
          </cell>
          <cell r="K889">
            <v>-2.2146297850600183E-2</v>
          </cell>
        </row>
        <row r="890">
          <cell r="J890">
            <v>-2.2600963319747924E-2</v>
          </cell>
          <cell r="K890">
            <v>-5.7011715295196552E-3</v>
          </cell>
        </row>
        <row r="891">
          <cell r="J891">
            <v>5.2141527001861032E-3</v>
          </cell>
          <cell r="K891">
            <v>-1.2639748145461205E-2</v>
          </cell>
        </row>
        <row r="892">
          <cell r="J892">
            <v>-1.0685335298452392E-2</v>
          </cell>
          <cell r="K892">
            <v>7.0487799928293793E-3</v>
          </cell>
        </row>
        <row r="893">
          <cell r="J893">
            <v>3.3271719038816538E-3</v>
          </cell>
          <cell r="K893">
            <v>5.6463737355185728E-3</v>
          </cell>
        </row>
        <row r="894">
          <cell r="J894">
            <v>-1.4212827988338117E-2</v>
          </cell>
          <cell r="K894">
            <v>-1.5693425769270353E-2</v>
          </cell>
        </row>
        <row r="895">
          <cell r="J895">
            <v>-4.7552933009371912E-2</v>
          </cell>
          <cell r="K895">
            <v>-1.5143621499589921E-2</v>
          </cell>
        </row>
        <row r="896">
          <cell r="J896">
            <v>-1.4705882352941013E-2</v>
          </cell>
          <cell r="K896">
            <v>-1.5597714008729335E-2</v>
          </cell>
        </row>
        <row r="897">
          <cell r="J897">
            <v>-2.0107238605898137E-2</v>
          </cell>
          <cell r="K897">
            <v>-6.3858745315413801E-3</v>
          </cell>
        </row>
        <row r="898">
          <cell r="J898">
            <v>-6.6332916145181664E-2</v>
          </cell>
          <cell r="K898">
            <v>-1.0215178478321429E-2</v>
          </cell>
        </row>
        <row r="899">
          <cell r="J899">
            <v>8.1190798376183926E-2</v>
          </cell>
          <cell r="K899">
            <v>-7.2362110565079574E-3</v>
          </cell>
        </row>
        <row r="900">
          <cell r="J900">
            <v>3.7557037557037765E-2</v>
          </cell>
          <cell r="K900">
            <v>-5.2248844052121823E-3</v>
          </cell>
        </row>
        <row r="901">
          <cell r="J901">
            <v>7.7126654064272104E-2</v>
          </cell>
          <cell r="K901">
            <v>3.7127668551177884E-3</v>
          </cell>
        </row>
        <row r="902">
          <cell r="J902">
            <v>9.5419847328244156E-3</v>
          </cell>
          <cell r="K902">
            <v>1.3201947551302329E-3</v>
          </cell>
        </row>
        <row r="903">
          <cell r="J903">
            <v>1.2364760432766575E-2</v>
          </cell>
          <cell r="K903">
            <v>3.7142275024591331E-2</v>
          </cell>
        </row>
        <row r="904">
          <cell r="J904">
            <v>1.5479876160993111E-3</v>
          </cell>
          <cell r="K904">
            <v>1.8697428824570483E-2</v>
          </cell>
        </row>
        <row r="905">
          <cell r="J905">
            <v>-9.5822154082023658E-3</v>
          </cell>
          <cell r="K905">
            <v>2.0843070908931338E-3</v>
          </cell>
        </row>
        <row r="906">
          <cell r="J906">
            <v>1.8345042935206779E-2</v>
          </cell>
          <cell r="K906">
            <v>1.9603059144369883E-2</v>
          </cell>
        </row>
        <row r="907">
          <cell r="J907">
            <v>-8.8974854932302172E-3</v>
          </cell>
          <cell r="K907">
            <v>-7.3141555112499201E-4</v>
          </cell>
        </row>
        <row r="908">
          <cell r="J908">
            <v>-8.4388185654008518E-3</v>
          </cell>
          <cell r="K908">
            <v>-1.4419622004239852E-2</v>
          </cell>
        </row>
        <row r="909">
          <cell r="J909">
            <v>-7.9908675799087447E-3</v>
          </cell>
          <cell r="K909">
            <v>-2.8952795523401464E-3</v>
          </cell>
        </row>
        <row r="910">
          <cell r="J910">
            <v>-2.0134228187919434E-2</v>
          </cell>
          <cell r="K910">
            <v>-3.0160289324461242E-3</v>
          </cell>
        </row>
        <row r="911">
          <cell r="J911">
            <v>-1.6501650165016479E-2</v>
          </cell>
          <cell r="K911">
            <v>-6.0951391986012737E-3</v>
          </cell>
        </row>
        <row r="912">
          <cell r="J912">
            <v>5.8618012422360088E-2</v>
          </cell>
          <cell r="K912">
            <v>5.6588069646168471E-3</v>
          </cell>
        </row>
        <row r="913">
          <cell r="J913">
            <v>-7.7579519006976128E-4</v>
          </cell>
          <cell r="K913">
            <v>2.6534516125424901E-3</v>
          </cell>
        </row>
        <row r="914">
          <cell r="J914">
            <v>-1.2638835695136019E-2</v>
          </cell>
          <cell r="K914">
            <v>-2.7087391421731777E-3</v>
          </cell>
        </row>
        <row r="915">
          <cell r="J915">
            <v>-1.989489489489471E-2</v>
          </cell>
          <cell r="K915">
            <v>-6.4246237338637657E-3</v>
          </cell>
        </row>
        <row r="916">
          <cell r="J916">
            <v>-1.8422991893883522E-2</v>
          </cell>
          <cell r="K916">
            <v>3.9528066930631933E-3</v>
          </cell>
        </row>
        <row r="917">
          <cell r="J917">
            <v>1.4958863126402377E-2</v>
          </cell>
          <cell r="K917">
            <v>-7.7712998542466272E-3</v>
          </cell>
        </row>
        <row r="918">
          <cell r="J918">
            <v>-1.6911764705882404E-2</v>
          </cell>
          <cell r="K918">
            <v>3.1702146042547064E-3</v>
          </cell>
        </row>
        <row r="919">
          <cell r="J919">
            <v>1.0025993316004511E-2</v>
          </cell>
          <cell r="K919">
            <v>1.6575493942963204E-2</v>
          </cell>
        </row>
        <row r="920">
          <cell r="J920">
            <v>-1.2829912023460399E-2</v>
          </cell>
          <cell r="K920">
            <v>7.3024659150200399E-3</v>
          </cell>
        </row>
        <row r="921">
          <cell r="J921">
            <v>-2.0818377602297211E-2</v>
          </cell>
          <cell r="K921">
            <v>-6.4663867345534642E-3</v>
          </cell>
        </row>
        <row r="922">
          <cell r="J922">
            <v>5.8108621344473921E-2</v>
          </cell>
          <cell r="K922">
            <v>1.248955970479626E-2</v>
          </cell>
        </row>
        <row r="923">
          <cell r="J923">
            <v>8.7118084227910897E-2</v>
          </cell>
          <cell r="K923">
            <v>5.5963873131846809E-2</v>
          </cell>
        </row>
        <row r="924">
          <cell r="J924">
            <v>4.6672428694900514E-2</v>
          </cell>
          <cell r="K924">
            <v>2.0062927093063232E-2</v>
          </cell>
        </row>
        <row r="925">
          <cell r="J925">
            <v>-1.1955593509820561E-2</v>
          </cell>
          <cell r="K925">
            <v>7.9207577367987891E-3</v>
          </cell>
        </row>
        <row r="926">
          <cell r="J926">
            <v>-2.9021558872305175E-2</v>
          </cell>
          <cell r="K926">
            <v>-2.1159312037405176E-2</v>
          </cell>
        </row>
        <row r="927">
          <cell r="J927">
            <v>-4.6640316205533661E-2</v>
          </cell>
          <cell r="K927">
            <v>-2.111840168643353E-2</v>
          </cell>
        </row>
        <row r="928">
          <cell r="J928">
            <v>8.7719298245614308E-3</v>
          </cell>
          <cell r="K928">
            <v>3.5855615036961552E-3</v>
          </cell>
        </row>
        <row r="929">
          <cell r="J929">
            <v>-3.4270311898344175E-2</v>
          </cell>
          <cell r="K929">
            <v>-7.3243527041215728E-3</v>
          </cell>
        </row>
        <row r="930">
          <cell r="J930">
            <v>-4.5220588235294179E-2</v>
          </cell>
          <cell r="K930">
            <v>-1.239539125946254E-2</v>
          </cell>
        </row>
        <row r="931">
          <cell r="J931">
            <v>-1.0909090909090868E-2</v>
          </cell>
          <cell r="K931">
            <v>-1.1662184466579628E-2</v>
          </cell>
        </row>
        <row r="932">
          <cell r="J932">
            <v>-2.6203966005665658E-2</v>
          </cell>
          <cell r="K932">
            <v>-1.5497234178912578E-2</v>
          </cell>
        </row>
        <row r="933">
          <cell r="J933">
            <v>-1.7674089784376346E-3</v>
          </cell>
          <cell r="K933">
            <v>-1.3264443442790097E-2</v>
          </cell>
        </row>
        <row r="934">
          <cell r="J934">
            <v>5.3304904051172386E-3</v>
          </cell>
          <cell r="K934">
            <v>1.3473184993566534E-3</v>
          </cell>
        </row>
        <row r="935">
          <cell r="J935">
            <v>-1.5395381385584495E-2</v>
          </cell>
          <cell r="K935">
            <v>4.3640644663662798E-3</v>
          </cell>
        </row>
        <row r="936">
          <cell r="J936">
            <v>-3.8340885325895968E-3</v>
          </cell>
          <cell r="K936">
            <v>3.4194571866308365E-3</v>
          </cell>
        </row>
        <row r="937">
          <cell r="J937">
            <v>-1.0445682451253324E-3</v>
          </cell>
          <cell r="K937">
            <v>6.4135997467356098E-3</v>
          </cell>
        </row>
        <row r="938">
          <cell r="J938">
            <v>-5.5401662049862077E-3</v>
          </cell>
          <cell r="K938">
            <v>-8.579022583080631E-4</v>
          </cell>
        </row>
        <row r="939">
          <cell r="J939">
            <v>1.6185784658691249E-2</v>
          </cell>
          <cell r="K939">
            <v>-8.2397679955765746E-3</v>
          </cell>
        </row>
        <row r="940">
          <cell r="J940">
            <v>-3.1026252983293645E-2</v>
          </cell>
          <cell r="K940">
            <v>-5.8068178503555279E-3</v>
          </cell>
        </row>
        <row r="941">
          <cell r="J941">
            <v>1.1379310344827642E-2</v>
          </cell>
          <cell r="K941">
            <v>8.8004617526229456E-3</v>
          </cell>
        </row>
        <row r="942">
          <cell r="J942">
            <v>-3.7787701820680697E-3</v>
          </cell>
          <cell r="K942">
            <v>-4.2309415315555654E-4</v>
          </cell>
        </row>
        <row r="943">
          <cell r="J943">
            <v>-2.9666666666666619E-2</v>
          </cell>
          <cell r="K943">
            <v>-1.7488090448128157E-2</v>
          </cell>
        </row>
        <row r="944">
          <cell r="J944">
            <v>1.044122600202102E-2</v>
          </cell>
          <cell r="K944">
            <v>-3.5331070963396938E-3</v>
          </cell>
        </row>
        <row r="945">
          <cell r="J945">
            <v>-7.0234113712375201E-3</v>
          </cell>
          <cell r="K945">
            <v>4.5430470327234573E-4</v>
          </cell>
        </row>
        <row r="946">
          <cell r="J946">
            <v>-3.3433634236046395E-4</v>
          </cell>
          <cell r="K946">
            <v>1.2114676731167506E-3</v>
          </cell>
        </row>
        <row r="947">
          <cell r="J947">
            <v>-1.156642432253796E-2</v>
          </cell>
          <cell r="K947">
            <v>-5.9156327543423703E-3</v>
          </cell>
        </row>
        <row r="948">
          <cell r="J948">
            <v>-1.078783916312509E-2</v>
          </cell>
          <cell r="K948">
            <v>-1.3544386422976507E-2</v>
          </cell>
        </row>
        <row r="949">
          <cell r="J949">
            <v>-4.8796356538711727E-3</v>
          </cell>
          <cell r="K949">
            <v>-1.6126028347387078E-2</v>
          </cell>
        </row>
        <row r="950">
          <cell r="J950">
            <v>1.3029315960910726E-3</v>
          </cell>
          <cell r="K950">
            <v>-6.7297755890944888E-3</v>
          </cell>
        </row>
        <row r="951">
          <cell r="J951">
            <v>-9.7624471200785656E-4</v>
          </cell>
          <cell r="K951">
            <v>1.1985481175553758E-3</v>
          </cell>
        </row>
        <row r="952">
          <cell r="J952">
            <v>-1.2532133676092516E-2</v>
          </cell>
          <cell r="K952">
            <v>-7.8655173943255052E-3</v>
          </cell>
        </row>
        <row r="953">
          <cell r="J953">
            <v>-6.4226075786766312E-4</v>
          </cell>
          <cell r="K953">
            <v>-5.0895076710354425E-3</v>
          </cell>
        </row>
        <row r="954">
          <cell r="J954">
            <v>-2.1370207416719134E-2</v>
          </cell>
          <cell r="K954">
            <v>5.7868340015598818E-3</v>
          </cell>
        </row>
        <row r="955">
          <cell r="J955">
            <v>-5.3141606752109549E-3</v>
          </cell>
          <cell r="K955">
            <v>2.3042741113754595E-4</v>
          </cell>
        </row>
        <row r="956">
          <cell r="J956">
            <v>4.4741998693664131E-2</v>
          </cell>
          <cell r="K956">
            <v>1.7025601931262013E-3</v>
          </cell>
        </row>
        <row r="957">
          <cell r="J957">
            <v>-5.1981806367772387E-3</v>
          </cell>
          <cell r="K957">
            <v>6.1104222327330593E-3</v>
          </cell>
        </row>
        <row r="958">
          <cell r="J958">
            <v>-1.3461538461538414E-2</v>
          </cell>
          <cell r="K958">
            <v>1.1091156509015487E-3</v>
          </cell>
        </row>
        <row r="959">
          <cell r="J959">
            <v>-5.3110773899848307E-2</v>
          </cell>
          <cell r="K959">
            <v>-3.8753595968266108E-3</v>
          </cell>
        </row>
        <row r="960">
          <cell r="J960">
            <v>1.9808108944599168E-2</v>
          </cell>
          <cell r="K960">
            <v>3.1394330264944426E-3</v>
          </cell>
        </row>
        <row r="961">
          <cell r="J961">
            <v>3.0959752321990663E-4</v>
          </cell>
          <cell r="K961">
            <v>-6.4459159278072997E-3</v>
          </cell>
        </row>
        <row r="962">
          <cell r="J962">
            <v>4.0257648953301084E-2</v>
          </cell>
          <cell r="K962">
            <v>7.6238720375432223E-5</v>
          </cell>
        </row>
        <row r="963">
          <cell r="J963">
            <v>1.2899064817799566E-3</v>
          </cell>
          <cell r="K963">
            <v>9.7935510949898053E-4</v>
          </cell>
        </row>
        <row r="964">
          <cell r="J964">
            <v>1.2736773350751296E-2</v>
          </cell>
          <cell r="K964">
            <v>1.4924549291350786E-3</v>
          </cell>
        </row>
        <row r="965">
          <cell r="J965">
            <v>-1.2576588197355854E-2</v>
          </cell>
          <cell r="K965">
            <v>-5.6594971259212867E-3</v>
          </cell>
        </row>
        <row r="966">
          <cell r="J966">
            <v>-1.5867978419549345E-2</v>
          </cell>
          <cell r="K966">
            <v>-8.7902108729950301E-3</v>
          </cell>
        </row>
        <row r="967">
          <cell r="J967">
            <v>3.822873526601045E-3</v>
          </cell>
          <cell r="K967">
            <v>-4.7893221122374818E-4</v>
          </cell>
        </row>
        <row r="968">
          <cell r="J968">
            <v>1.9150973507819913E-3</v>
          </cell>
          <cell r="K968">
            <v>2.0033906758509801E-3</v>
          </cell>
        </row>
        <row r="969">
          <cell r="J969">
            <v>1.2783636944710963E-3</v>
          </cell>
          <cell r="K969">
            <v>3.6216872183045812E-3</v>
          </cell>
        </row>
        <row r="970">
          <cell r="J970">
            <v>-6.3877355477492959E-4</v>
          </cell>
          <cell r="K970">
            <v>1.084040223653715E-2</v>
          </cell>
        </row>
        <row r="971">
          <cell r="J971">
            <v>-4.4515103338631512E-3</v>
          </cell>
          <cell r="K971">
            <v>5.4164279790354097E-3</v>
          </cell>
        </row>
        <row r="972">
          <cell r="J972">
            <v>-6.3191153238546516E-3</v>
          </cell>
          <cell r="K972">
            <v>-7.1560754486341693E-3</v>
          </cell>
        </row>
        <row r="973">
          <cell r="J973">
            <v>-3.1496062992125706E-3</v>
          </cell>
          <cell r="K973">
            <v>6.2311815328108811E-3</v>
          </cell>
        </row>
        <row r="974">
          <cell r="J974">
            <v>-6.5707133917397575E-3</v>
          </cell>
          <cell r="K974">
            <v>-6.4058763238894478E-5</v>
          </cell>
        </row>
        <row r="975">
          <cell r="J975">
            <v>-7.7615647314498437E-3</v>
          </cell>
          <cell r="K975">
            <v>2.667671503873148E-3</v>
          </cell>
        </row>
        <row r="976">
          <cell r="J976">
            <v>-2.1685254027261625E-3</v>
          </cell>
          <cell r="K976">
            <v>-6.0605802665124608E-3</v>
          </cell>
        </row>
        <row r="977">
          <cell r="J977">
            <v>-4.9321824907520018E-3</v>
          </cell>
          <cell r="K977">
            <v>-1.1240068677619175E-2</v>
          </cell>
        </row>
        <row r="978">
          <cell r="J978">
            <v>-9.7680097680099554E-3</v>
          </cell>
          <cell r="K978">
            <v>-4.0569991617769308E-3</v>
          </cell>
        </row>
        <row r="979">
          <cell r="J979">
            <v>1.518438177874204E-2</v>
          </cell>
          <cell r="K979">
            <v>9.6009410530146777E-3</v>
          </cell>
        </row>
        <row r="980">
          <cell r="J980">
            <v>3.4203980099500875E-3</v>
          </cell>
          <cell r="K980">
            <v>3.8099849639388061E-3</v>
          </cell>
        </row>
        <row r="981">
          <cell r="J981">
            <v>1.9657577679137672E-2</v>
          </cell>
          <cell r="K981">
            <v>-1.10765275905087E-2</v>
          </cell>
        </row>
        <row r="982">
          <cell r="J982">
            <v>-1.0354565422027062E-2</v>
          </cell>
          <cell r="K982">
            <v>-4.3223778724365003E-3</v>
          </cell>
        </row>
        <row r="983">
          <cell r="J983">
            <v>2.8319697923222531E-3</v>
          </cell>
          <cell r="K983">
            <v>2.3265611539744491E-3</v>
          </cell>
        </row>
        <row r="984">
          <cell r="J984">
            <v>-3.1392868028040311E-2</v>
          </cell>
          <cell r="K984">
            <v>-2.2230959381966953E-3</v>
          </cell>
        </row>
        <row r="985">
          <cell r="J985">
            <v>-1.2044564890093312E-2</v>
          </cell>
          <cell r="K985">
            <v>-8.3000804705454234E-3</v>
          </cell>
        </row>
        <row r="986">
          <cell r="J986">
            <v>4.9289099526066416E-2</v>
          </cell>
          <cell r="K986">
            <v>2.3420287394137596E-2</v>
          </cell>
        </row>
        <row r="987">
          <cell r="J987">
            <v>-2.7350952673632412E-2</v>
          </cell>
          <cell r="K987">
            <v>-1.0619777524375817E-2</v>
          </cell>
        </row>
        <row r="988">
          <cell r="J988">
            <v>-2.2822822822822886E-2</v>
          </cell>
          <cell r="K988">
            <v>-1.0049457300201015E-2</v>
          </cell>
        </row>
        <row r="989">
          <cell r="J989">
            <v>-8.9285714285713969E-3</v>
          </cell>
          <cell r="K989">
            <v>-1.0702863900457604E-2</v>
          </cell>
        </row>
        <row r="990">
          <cell r="J990">
            <v>-1.4373716632443467E-2</v>
          </cell>
          <cell r="K990">
            <v>-6.5504637017271827E-3</v>
          </cell>
        </row>
        <row r="991">
          <cell r="J991">
            <v>-1.2170385395537608E-2</v>
          </cell>
          <cell r="K991">
            <v>-8.8115808190657452E-3</v>
          </cell>
        </row>
        <row r="992">
          <cell r="J992">
            <v>1.1604293588629577E-3</v>
          </cell>
          <cell r="K992">
            <v>2.9373811120314564E-4</v>
          </cell>
        </row>
        <row r="993">
          <cell r="J993">
            <v>-1.2037833190025715E-2</v>
          </cell>
          <cell r="K993">
            <v>-2.6306272086056293E-3</v>
          </cell>
        </row>
        <row r="994">
          <cell r="J994">
            <v>-9.9318955732122793E-3</v>
          </cell>
          <cell r="K994">
            <v>3.5572587279175671E-4</v>
          </cell>
        </row>
        <row r="995">
          <cell r="J995">
            <v>-1.2608573830204528E-2</v>
          </cell>
          <cell r="K995">
            <v>-5.6474125404712971E-3</v>
          </cell>
        </row>
        <row r="996">
          <cell r="J996">
            <v>-6.9560378408458634E-3</v>
          </cell>
          <cell r="K996">
            <v>1.4632300551880029E-3</v>
          </cell>
        </row>
        <row r="997">
          <cell r="J997">
            <v>1.2109264995775693E-2</v>
          </cell>
          <cell r="K997">
            <v>3.3786171701608581E-3</v>
          </cell>
        </row>
        <row r="998">
          <cell r="J998">
            <v>-9.2075892857141906E-3</v>
          </cell>
          <cell r="K998">
            <v>-1.4096379710895057E-3</v>
          </cell>
        </row>
        <row r="999">
          <cell r="J999">
            <v>-1.2127894156560237E-2</v>
          </cell>
          <cell r="K999">
            <v>-8.3016181255660682E-3</v>
          </cell>
        </row>
        <row r="1000">
          <cell r="J1000">
            <v>6.3800277392511706E-3</v>
          </cell>
          <cell r="K1000">
            <v>1.6108645467550975E-2</v>
          </cell>
        </row>
        <row r="1001">
          <cell r="J1001">
            <v>7.5156576200417602E-2</v>
          </cell>
          <cell r="K1001">
            <v>1.3381438968035342E-2</v>
          </cell>
        </row>
        <row r="1002">
          <cell r="J1002">
            <v>8.7224383916991055E-2</v>
          </cell>
          <cell r="K1002">
            <v>-6.5527689182306448E-3</v>
          </cell>
        </row>
        <row r="1003">
          <cell r="J1003">
            <v>-1.343570057581589E-2</v>
          </cell>
          <cell r="K1003">
            <v>-8.3120645650822667E-3</v>
          </cell>
        </row>
        <row r="1004">
          <cell r="J1004">
            <v>1.4276443867618616E-2</v>
          </cell>
          <cell r="K1004">
            <v>-6.1999342706154925E-3</v>
          </cell>
        </row>
        <row r="1005">
          <cell r="J1005">
            <v>6.8605031035608999E-3</v>
          </cell>
          <cell r="K1005">
            <v>3.5409116937090701E-3</v>
          </cell>
        </row>
        <row r="1006">
          <cell r="J1006">
            <v>6.5767839526471583E-3</v>
          </cell>
          <cell r="K1006">
            <v>1.6903498051232813E-3</v>
          </cell>
        </row>
        <row r="1007">
          <cell r="J1007">
            <v>-3.2776138970829205E-3</v>
          </cell>
          <cell r="K1007">
            <v>1.4595077810009016E-4</v>
          </cell>
        </row>
        <row r="1008">
          <cell r="J1008">
            <v>-9.4155844155843216E-3</v>
          </cell>
          <cell r="K1008">
            <v>-1.5130885453267684E-2</v>
          </cell>
        </row>
        <row r="1009">
          <cell r="J1009">
            <v>2.941176470588247E-2</v>
          </cell>
          <cell r="K1009">
            <v>-4.9326650495947755E-3</v>
          </cell>
        </row>
        <row r="1010">
          <cell r="J1010">
            <v>1.2521150592216479E-2</v>
          </cell>
          <cell r="K1010">
            <v>4.1452141527744679E-3</v>
          </cell>
        </row>
        <row r="1011">
          <cell r="J1011">
            <v>2.1078092605390619E-2</v>
          </cell>
          <cell r="K1011">
            <v>5.3425638289978927E-3</v>
          </cell>
        </row>
        <row r="1012">
          <cell r="J1012">
            <v>-1.798439090600612E-2</v>
          </cell>
          <cell r="K1012">
            <v>-4.1301764512038375E-3</v>
          </cell>
        </row>
        <row r="1013">
          <cell r="J1013">
            <v>-3.0910884577441733E-2</v>
          </cell>
          <cell r="K1013">
            <v>-5.2607216009439295E-3</v>
          </cell>
        </row>
        <row r="1014">
          <cell r="J1014">
            <v>-1.9032258064516028E-2</v>
          </cell>
          <cell r="K1014">
            <v>-7.3264335355417431E-3</v>
          </cell>
        </row>
        <row r="1015">
          <cell r="J1015">
            <v>-6.4102564102563875E-3</v>
          </cell>
          <cell r="K1015">
            <v>-4.9236916108851281E-3</v>
          </cell>
        </row>
        <row r="1016">
          <cell r="J1016">
            <v>-1.5151515151515138E-2</v>
          </cell>
          <cell r="K1016">
            <v>-8.6031295780729655E-3</v>
          </cell>
        </row>
        <row r="1017">
          <cell r="J1017">
            <v>-1.0309278350515538E-2</v>
          </cell>
          <cell r="K1017">
            <v>-7.4748489003031438E-3</v>
          </cell>
        </row>
        <row r="1018">
          <cell r="J1018">
            <v>2.1052631578947434E-2</v>
          </cell>
          <cell r="K1018">
            <v>2.5049557083565155E-3</v>
          </cell>
        </row>
        <row r="1019">
          <cell r="J1019">
            <v>-1.0416666666666741E-2</v>
          </cell>
          <cell r="K1019">
            <v>-1.1095541108635198E-2</v>
          </cell>
        </row>
        <row r="1020">
          <cell r="J1020">
            <v>-9.0710040663121161E-3</v>
          </cell>
          <cell r="K1020">
            <v>-2.5072324011572444E-3</v>
          </cell>
        </row>
        <row r="1021">
          <cell r="J1021">
            <v>-1.1135168574079923E-2</v>
          </cell>
          <cell r="K1021">
            <v>2.5730317934071767E-3</v>
          </cell>
        </row>
        <row r="1022">
          <cell r="J1022">
            <v>-1.0104102878138455E-2</v>
          </cell>
          <cell r="K1022">
            <v>-7.8048929792307042E-4</v>
          </cell>
        </row>
        <row r="1023">
          <cell r="J1023">
            <v>8.3359061438716964E-3</v>
          </cell>
          <cell r="K1023">
            <v>4.4000107130681698E-5</v>
          </cell>
        </row>
        <row r="1024">
          <cell r="J1024">
            <v>2.1766561514195537E-2</v>
          </cell>
          <cell r="K1024">
            <v>2.0569228970217512E-3</v>
          </cell>
        </row>
        <row r="1025">
          <cell r="J1025">
            <v>-2.2033364809568301E-3</v>
          </cell>
          <cell r="K1025">
            <v>2.90497594887551E-3</v>
          </cell>
        </row>
        <row r="1026">
          <cell r="J1026">
            <v>-3.4504391468005435E-3</v>
          </cell>
          <cell r="K1026">
            <v>2.741363355953208E-3</v>
          </cell>
        </row>
        <row r="1027">
          <cell r="J1027">
            <v>-1.0552451893233949E-2</v>
          </cell>
          <cell r="K1027">
            <v>-1.7350099955848464E-5</v>
          </cell>
        </row>
        <row r="1028">
          <cell r="J1028">
            <v>2.4891101431239182E-3</v>
          </cell>
          <cell r="K1028">
            <v>5.2166801992881151E-3</v>
          </cell>
        </row>
        <row r="1029">
          <cell r="J1029">
            <v>-4.6573716997923564E-2</v>
          </cell>
          <cell r="K1029">
            <v>-1.8105394285581333E-3</v>
          </cell>
        </row>
        <row r="1030">
          <cell r="J1030">
            <v>1.4139590854392425E-2</v>
          </cell>
          <cell r="K1030">
            <v>6.0208726178729854E-3</v>
          </cell>
        </row>
        <row r="1031">
          <cell r="J1031">
            <v>2.0571077678845473E-2</v>
          </cell>
          <cell r="K1031">
            <v>2.6868187831461388E-3</v>
          </cell>
        </row>
        <row r="1032">
          <cell r="J1032">
            <v>-4.8884815154293104E-3</v>
          </cell>
          <cell r="K1032">
            <v>-6.921488003658216E-3</v>
          </cell>
        </row>
        <row r="1033">
          <cell r="J1033">
            <v>7.6970443349753115E-3</v>
          </cell>
          <cell r="K1033">
            <v>5.2221202860185389E-3</v>
          </cell>
        </row>
        <row r="1034">
          <cell r="J1034">
            <v>3.0797659377901354E-4</v>
          </cell>
          <cell r="K1034">
            <v>1.3246968294944317E-4</v>
          </cell>
        </row>
        <row r="1035">
          <cell r="J1035">
            <v>1.3420724094881376E-2</v>
          </cell>
          <cell r="K1035">
            <v>1.102361894557724E-2</v>
          </cell>
        </row>
        <row r="1036">
          <cell r="J1036">
            <v>-8.6633663366336711E-3</v>
          </cell>
          <cell r="K1036">
            <v>-9.2560681404174616E-5</v>
          </cell>
        </row>
        <row r="1037">
          <cell r="J1037">
            <v>2.1705426356588564E-3</v>
          </cell>
          <cell r="K1037">
            <v>2.2412432245230152E-2</v>
          </cell>
        </row>
        <row r="1038">
          <cell r="J1038">
            <v>-8.6074392868121796E-3</v>
          </cell>
          <cell r="K1038">
            <v>-1.3369780719703517E-2</v>
          </cell>
        </row>
        <row r="1039">
          <cell r="J1039">
            <v>-1.5137753557372124E-2</v>
          </cell>
          <cell r="K1039">
            <v>-1.889609389770186E-2</v>
          </cell>
        </row>
        <row r="1040">
          <cell r="J1040">
            <v>1.3190184049079789E-2</v>
          </cell>
          <cell r="K1040">
            <v>-4.7534350386613244E-4</v>
          </cell>
        </row>
        <row r="1041">
          <cell r="J1041">
            <v>-6.0975609756097615E-3</v>
          </cell>
          <cell r="K1041">
            <v>1.6957950527278776E-3</v>
          </cell>
        </row>
        <row r="1042">
          <cell r="J1042">
            <v>1.1097410604192337E-2</v>
          </cell>
          <cell r="K1042">
            <v>6.4735597507994402E-3</v>
          </cell>
        </row>
        <row r="1043">
          <cell r="J1043">
            <v>-5.8891789962286056E-2</v>
          </cell>
          <cell r="K1043">
            <v>-1.69920204498899E-2</v>
          </cell>
        </row>
        <row r="1044">
          <cell r="J1044">
            <v>3.9505428226779049E-2</v>
          </cell>
          <cell r="K1044">
            <v>-8.1975374834843961E-3</v>
          </cell>
        </row>
        <row r="1045">
          <cell r="J1045">
            <v>-7.4827895839568725E-3</v>
          </cell>
          <cell r="K1045">
            <v>-1.5925423897312774E-3</v>
          </cell>
        </row>
        <row r="1046">
          <cell r="J1046">
            <v>-1.9659624413145504E-2</v>
          </cell>
          <cell r="K1046">
            <v>-9.357883652396537E-3</v>
          </cell>
        </row>
        <row r="1047">
          <cell r="J1047">
            <v>-1.2746234067207318E-2</v>
          </cell>
          <cell r="K1047">
            <v>-7.2518947619771845E-3</v>
          </cell>
        </row>
        <row r="1048">
          <cell r="J1048">
            <v>-1.8481660506113218E-2</v>
          </cell>
          <cell r="K1048">
            <v>-2.7132538795593408E-3</v>
          </cell>
        </row>
        <row r="1049">
          <cell r="J1049">
            <v>-2.2512506948304645E-2</v>
          </cell>
          <cell r="K1049">
            <v>-8.8667277481560003E-3</v>
          </cell>
        </row>
        <row r="1050">
          <cell r="J1050">
            <v>2.7800945232137053E-4</v>
          </cell>
          <cell r="K1050">
            <v>1.5971080802872351E-3</v>
          </cell>
        </row>
        <row r="1051">
          <cell r="J1051">
            <v>-1.6652789342215257E-3</v>
          </cell>
          <cell r="K1051">
            <v>-2.3602950461659722E-3</v>
          </cell>
        </row>
        <row r="1052">
          <cell r="J1052">
            <v>-1.206471072114057E-2</v>
          </cell>
          <cell r="K1052">
            <v>-6.7691944474160826E-3</v>
          </cell>
        </row>
        <row r="1053">
          <cell r="J1053">
            <v>-1.0955902492468805E-3</v>
          </cell>
          <cell r="K1053">
            <v>-1.5506331445072075E-3</v>
          </cell>
        </row>
        <row r="1054">
          <cell r="J1054">
            <v>5.5081244836132637E-3</v>
          </cell>
          <cell r="K1054">
            <v>3.5743988763006218E-3</v>
          </cell>
        </row>
        <row r="1055">
          <cell r="J1055">
            <v>1.1702424073558149E-2</v>
          </cell>
          <cell r="K1055">
            <v>5.5268948291753439E-3</v>
          </cell>
        </row>
        <row r="1056">
          <cell r="J1056">
            <v>2.7940765576977E-3</v>
          </cell>
          <cell r="K1056">
            <v>-1.0971120520821831E-3</v>
          </cell>
        </row>
        <row r="1057">
          <cell r="J1057">
            <v>-6.3853414769572403E-3</v>
          </cell>
          <cell r="K1057">
            <v>5.5350313620805558E-4</v>
          </cell>
        </row>
        <row r="1058">
          <cell r="J1058">
            <v>2.5048705816865802E-3</v>
          </cell>
          <cell r="K1058">
            <v>-2.1739855660701801E-3</v>
          </cell>
        </row>
        <row r="1059">
          <cell r="J1059">
            <v>-3.0521642619311118E-3</v>
          </cell>
          <cell r="K1059">
            <v>-2.9160660827142193E-3</v>
          </cell>
        </row>
        <row r="1060">
          <cell r="J1060">
            <v>-6.3413289219741431E-3</v>
          </cell>
          <cell r="K1060">
            <v>2.0684304187044145E-3</v>
          </cell>
        </row>
        <row r="1061">
          <cell r="J1061">
            <v>1.5113350125944613E-2</v>
          </cell>
          <cell r="K1061">
            <v>4.6397496693200146E-3</v>
          </cell>
        </row>
        <row r="1062">
          <cell r="J1062">
            <v>-1.6764459346184646E-3</v>
          </cell>
          <cell r="K1062">
            <v>-1.0226797745464311E-2</v>
          </cell>
        </row>
        <row r="1063">
          <cell r="J1063">
            <v>-9.6845600442723168E-3</v>
          </cell>
          <cell r="K1063">
            <v>-7.9407412819904044E-3</v>
          </cell>
        </row>
        <row r="1064">
          <cell r="J1064">
            <v>2.7677830058103758E-4</v>
          </cell>
          <cell r="K1064">
            <v>8.5380546764590726E-4</v>
          </cell>
        </row>
        <row r="1065">
          <cell r="J1065">
            <v>-7.4175824175823912E-3</v>
          </cell>
          <cell r="K1065">
            <v>-1.1596097867412336E-3</v>
          </cell>
        </row>
        <row r="1066">
          <cell r="J1066">
            <v>2.3046655424395768E-2</v>
          </cell>
          <cell r="K1066">
            <v>8.172560889168734E-3</v>
          </cell>
        </row>
        <row r="1067">
          <cell r="J1067">
            <v>-1.6835016835016203E-3</v>
          </cell>
          <cell r="K1067">
            <v>5.2989472437330321E-3</v>
          </cell>
        </row>
        <row r="1068">
          <cell r="J1068">
            <v>3.6609405801182326E-3</v>
          </cell>
          <cell r="K1068">
            <v>4.6897023656777836E-3</v>
          </cell>
        </row>
        <row r="1069">
          <cell r="J1069">
            <v>1.5151515151515138E-2</v>
          </cell>
          <cell r="K1069">
            <v>4.3984244115355953E-3</v>
          </cell>
        </row>
        <row r="1070">
          <cell r="J1070">
            <v>2.859593937660776E-4</v>
          </cell>
          <cell r="K1070">
            <v>4.7722171762285548E-3</v>
          </cell>
        </row>
        <row r="1071">
          <cell r="J1071">
            <v>2.5212547639988259E-2</v>
          </cell>
          <cell r="K1071">
            <v>1.4317964648598913E-2</v>
          </cell>
        </row>
        <row r="1072">
          <cell r="J1072">
            <v>8.5748078060319255E-3</v>
          </cell>
          <cell r="K1072">
            <v>4.1878278878915154E-5</v>
          </cell>
        </row>
        <row r="1073">
          <cell r="J1073">
            <v>8.8783663805869217E-4</v>
          </cell>
          <cell r="K1073">
            <v>5.1994156847134931E-4</v>
          </cell>
        </row>
        <row r="1074">
          <cell r="J1074">
            <v>-1.4294049008168108E-2</v>
          </cell>
          <cell r="K1074">
            <v>-6.665473229550134E-5</v>
          </cell>
        </row>
        <row r="1075">
          <cell r="J1075">
            <v>-1.7472335468839972E-3</v>
          </cell>
          <cell r="K1075">
            <v>2.6924633939551246E-3</v>
          </cell>
        </row>
        <row r="1076">
          <cell r="J1076">
            <v>-1.3218390804597746E-2</v>
          </cell>
          <cell r="K1076">
            <v>-7.4486272161087275E-3</v>
          </cell>
        </row>
        <row r="1077">
          <cell r="J1077">
            <v>-8.8293933352321385E-3</v>
          </cell>
          <cell r="K1077">
            <v>-1.1162546619937319E-2</v>
          </cell>
        </row>
        <row r="1078">
          <cell r="J1078">
            <v>1.6796988126267065E-2</v>
          </cell>
          <cell r="K1078">
            <v>2.0058193997835927E-2</v>
          </cell>
        </row>
        <row r="1079">
          <cell r="J1079">
            <v>-3.175519630484902E-3</v>
          </cell>
          <cell r="K1079">
            <v>6.6877981843831424E-3</v>
          </cell>
        </row>
        <row r="1080">
          <cell r="J1080">
            <v>-5.7703404500875077E-4</v>
          </cell>
          <cell r="K1080">
            <v>-4.1932497877502639E-3</v>
          </cell>
        </row>
        <row r="1081">
          <cell r="J1081">
            <v>-4.3091065785694216E-3</v>
          </cell>
          <cell r="K1081">
            <v>-5.6995095106158189E-3</v>
          </cell>
        </row>
        <row r="1082">
          <cell r="J1082">
            <v>-1.2202043132803486E-2</v>
          </cell>
          <cell r="K1082">
            <v>-4.9488805290941462E-3</v>
          </cell>
        </row>
        <row r="1083">
          <cell r="J1083">
            <v>-4.8009036995200205E-3</v>
          </cell>
          <cell r="K1083">
            <v>-3.6202834435528075E-4</v>
          </cell>
        </row>
        <row r="1084">
          <cell r="J1084">
            <v>-1.4100394811055184E-3</v>
          </cell>
          <cell r="K1084">
            <v>6.5435344189901379E-4</v>
          </cell>
        </row>
        <row r="1085">
          <cell r="J1085">
            <v>5.6433408577882815E-4</v>
          </cell>
          <cell r="K1085">
            <v>-3.328928788145058E-3</v>
          </cell>
        </row>
        <row r="1086">
          <cell r="J1086">
            <v>-1.3912075681691727E-2</v>
          </cell>
          <cell r="K1086">
            <v>-9.7508835509764191E-3</v>
          </cell>
        </row>
        <row r="1087">
          <cell r="J1087">
            <v>-8.5517241379311493E-3</v>
          </cell>
          <cell r="K1087">
            <v>-9.7907282804129414E-3</v>
          </cell>
        </row>
        <row r="1088">
          <cell r="J1088">
            <v>1.2004466778336109E-2</v>
          </cell>
          <cell r="K1088">
            <v>2.0456802383316708E-2</v>
          </cell>
        </row>
        <row r="1089">
          <cell r="J1089">
            <v>-1.3939224979091502E-3</v>
          </cell>
          <cell r="K1089">
            <v>1.6125777218255255E-2</v>
          </cell>
        </row>
        <row r="1090">
          <cell r="J1090">
            <v>-3.6111111111111205E-3</v>
          </cell>
          <cell r="K1090">
            <v>5.2922831980153351E-3</v>
          </cell>
        </row>
        <row r="1091">
          <cell r="J1091">
            <v>-1.4238773274917849E-2</v>
          </cell>
          <cell r="K1091">
            <v>-1.1975510624853136E-2</v>
          </cell>
        </row>
        <row r="1092">
          <cell r="J1092">
            <v>2.7457440966502933E-3</v>
          </cell>
          <cell r="K1092">
            <v>-5.3131592789447124E-3</v>
          </cell>
        </row>
        <row r="1093">
          <cell r="J1093">
            <v>-1.0057080728458789E-2</v>
          </cell>
          <cell r="K1093">
            <v>4.9252341442191927E-3</v>
          </cell>
        </row>
        <row r="1094">
          <cell r="J1094">
            <v>-4.0606388738494426E-3</v>
          </cell>
          <cell r="K1094">
            <v>-3.8948078732525815E-3</v>
          </cell>
        </row>
        <row r="1095">
          <cell r="J1095">
            <v>-1.2299465240641738E-2</v>
          </cell>
          <cell r="K1095">
            <v>-1.1811267663837E-2</v>
          </cell>
        </row>
        <row r="1096">
          <cell r="J1096">
            <v>1.5200868621064068E-2</v>
          </cell>
          <cell r="K1096">
            <v>4.3597467588463168E-4</v>
          </cell>
        </row>
        <row r="1097">
          <cell r="J1097">
            <v>-1.2067578439259874E-2</v>
          </cell>
          <cell r="K1097">
            <v>1.1788394515734657E-2</v>
          </cell>
        </row>
        <row r="1098">
          <cell r="J1098">
            <v>3.2284100080710587E-3</v>
          </cell>
          <cell r="K1098">
            <v>2.0004153243244893E-3</v>
          </cell>
        </row>
        <row r="1099">
          <cell r="J1099">
            <v>-1.6146109052408764E-2</v>
          </cell>
          <cell r="K1099">
            <v>-1.1406034877304183E-2</v>
          </cell>
        </row>
        <row r="1100">
          <cell r="J1100">
            <v>2.7468044601577368E-2</v>
          </cell>
          <cell r="K1100">
            <v>-3.1766355824489612E-3</v>
          </cell>
        </row>
        <row r="1101">
          <cell r="J1101">
            <v>2.8243847874720229E-2</v>
          </cell>
          <cell r="K1101">
            <v>1.2313744868481136E-2</v>
          </cell>
        </row>
        <row r="1102">
          <cell r="J1102">
            <v>-1.2154696132596676E-2</v>
          </cell>
          <cell r="K1102">
            <v>-1.0745005875440583E-2</v>
          </cell>
        </row>
        <row r="1103">
          <cell r="J1103">
            <v>-2.3995686168778563E-2</v>
          </cell>
          <cell r="K1103">
            <v>-9.9548976868077954E-3</v>
          </cell>
        </row>
        <row r="1104">
          <cell r="J1104">
            <v>-1.2250332889480742E-2</v>
          </cell>
          <cell r="K1104">
            <v>-1.1347303681156773E-2</v>
          </cell>
        </row>
        <row r="1105">
          <cell r="J1105">
            <v>-3.1967001804588779E-2</v>
          </cell>
          <cell r="K1105">
            <v>-4.7656463201773969E-3</v>
          </cell>
        </row>
        <row r="1106">
          <cell r="J1106">
            <v>-2.8793189784677042E-2</v>
          </cell>
          <cell r="K1106">
            <v>1.4159447854900087E-3</v>
          </cell>
        </row>
        <row r="1107">
          <cell r="J1107">
            <v>-2.4902343750000111E-2</v>
          </cell>
          <cell r="K1107">
            <v>-1.2672554448704076E-2</v>
          </cell>
        </row>
        <row r="1108">
          <cell r="J1108">
            <v>-1.7745803357314127E-2</v>
          </cell>
          <cell r="K1108">
            <v>3.4689664696860856E-3</v>
          </cell>
        </row>
        <row r="1109">
          <cell r="J1109">
            <v>1.9061583577712593E-2</v>
          </cell>
          <cell r="K1109">
            <v>2.03572534095664E-3</v>
          </cell>
        </row>
        <row r="1110">
          <cell r="J1110">
            <v>4.4182621502208974E-3</v>
          </cell>
          <cell r="K1110">
            <v>-2.4684451338573554E-3</v>
          </cell>
        </row>
        <row r="1111">
          <cell r="J1111">
            <v>-2.6927784577723823E-3</v>
          </cell>
          <cell r="K1111">
            <v>5.4702606824563738E-4</v>
          </cell>
        </row>
        <row r="1112">
          <cell r="J1112">
            <v>-2.4420024420024333E-3</v>
          </cell>
          <cell r="K1112">
            <v>-4.9890869374167313E-3</v>
          </cell>
        </row>
        <row r="1113">
          <cell r="J1113">
            <v>2.0179372197309364E-2</v>
          </cell>
          <cell r="K1113">
            <v>3.2655608510052669E-3</v>
          </cell>
        </row>
        <row r="1114">
          <cell r="J1114">
            <v>1.031965768940335E-2</v>
          </cell>
          <cell r="K1114">
            <v>-1.0427008249328962E-2</v>
          </cell>
        </row>
        <row r="1115">
          <cell r="J1115">
            <v>6.0774879716385399E-3</v>
          </cell>
          <cell r="K1115">
            <v>-5.4280383176653624E-3</v>
          </cell>
        </row>
        <row r="1116">
          <cell r="J1116">
            <v>8.1695174878733123E-3</v>
          </cell>
          <cell r="K1116">
            <v>-5.4587847544700363E-3</v>
          </cell>
        </row>
        <row r="1117">
          <cell r="J1117">
            <v>8.4963954685890464E-3</v>
          </cell>
          <cell r="K1117">
            <v>4.7083801673535319E-3</v>
          </cell>
        </row>
        <row r="1118">
          <cell r="J1118">
            <v>3.3583053474552926E-3</v>
          </cell>
          <cell r="K1118">
            <v>-9.0013631999661392E-3</v>
          </cell>
        </row>
        <row r="1119">
          <cell r="J1119">
            <v>4.150453955901412E-3</v>
          </cell>
          <cell r="K1119">
            <v>4.5991569391556908E-4</v>
          </cell>
        </row>
        <row r="1120">
          <cell r="J1120">
            <v>-1.8834308984474357E-2</v>
          </cell>
          <cell r="K1120">
            <v>-5.1421662915337452E-3</v>
          </cell>
        </row>
        <row r="1121">
          <cell r="J1121">
            <v>2.0784619381657654E-2</v>
          </cell>
          <cell r="K1121">
            <v>-1.474304230321688E-3</v>
          </cell>
        </row>
        <row r="1122">
          <cell r="J1122">
            <v>-1.0381520892811524E-3</v>
          </cell>
          <cell r="K1122">
            <v>-3.3694917391412504E-3</v>
          </cell>
        </row>
        <row r="1123">
          <cell r="J1123">
            <v>-1.2960082944530882E-3</v>
          </cell>
          <cell r="K1123">
            <v>3.7989258936970138E-3</v>
          </cell>
        </row>
        <row r="1124">
          <cell r="J1124">
            <v>-1.0769230769230753E-2</v>
          </cell>
          <cell r="K1124">
            <v>3.6402772941657169E-4</v>
          </cell>
        </row>
        <row r="1125">
          <cell r="J1125">
            <v>-5.1020408163264808E-3</v>
          </cell>
          <cell r="K1125">
            <v>-1.9340727352001874E-4</v>
          </cell>
        </row>
        <row r="1126">
          <cell r="J1126">
            <v>-3.558718861209953E-3</v>
          </cell>
          <cell r="K1126">
            <v>8.922270656288589E-4</v>
          </cell>
        </row>
        <row r="1127">
          <cell r="J1127">
            <v>8.7179487179487314E-3</v>
          </cell>
          <cell r="K1127">
            <v>-7.1045784867213024E-3</v>
          </cell>
        </row>
        <row r="1128">
          <cell r="J1128">
            <v>-8.8945362134689177E-3</v>
          </cell>
          <cell r="K1128">
            <v>1.9695998823492378E-3</v>
          </cell>
        </row>
        <row r="1129">
          <cell r="J1129">
            <v>-1.2794781736076288E-2</v>
          </cell>
          <cell r="K1129">
            <v>-4.6735811969387253E-3</v>
          </cell>
        </row>
        <row r="1130">
          <cell r="J1130">
            <v>3.0196275792653271E-3</v>
          </cell>
          <cell r="K1130">
            <v>-2.9796083595822198E-3</v>
          </cell>
        </row>
        <row r="1131">
          <cell r="J1131">
            <v>3.0601659751037236E-2</v>
          </cell>
          <cell r="K1131">
            <v>7.2660199815548498E-3</v>
          </cell>
        </row>
        <row r="1132">
          <cell r="J1132">
            <v>-2.5926886180960285E-4</v>
          </cell>
          <cell r="K1132">
            <v>-5.4926790385374513E-3</v>
          </cell>
        </row>
        <row r="1133">
          <cell r="J1133">
            <v>1.6337285902503274E-2</v>
          </cell>
          <cell r="K1133">
            <v>1.7277088941267671E-3</v>
          </cell>
        </row>
        <row r="1134">
          <cell r="J1134">
            <v>6.364359586316537E-3</v>
          </cell>
          <cell r="K1134">
            <v>1.9914333428827646E-3</v>
          </cell>
        </row>
        <row r="1135">
          <cell r="J1135">
            <v>-3.2828930494998576E-2</v>
          </cell>
          <cell r="K1135">
            <v>-4.4815131062954094E-3</v>
          </cell>
        </row>
        <row r="1136">
          <cell r="J1136">
            <v>-7.6355306693814962E-3</v>
          </cell>
          <cell r="K1136">
            <v>3.4444906415975751E-4</v>
          </cell>
        </row>
        <row r="1137">
          <cell r="J1137">
            <v>1.1065362840967374E-2</v>
          </cell>
          <cell r="K1137">
            <v>2.8541770252707988E-3</v>
          </cell>
        </row>
        <row r="1138">
          <cell r="J1138">
            <v>-2.263581488933597E-2</v>
          </cell>
          <cell r="K1138">
            <v>-3.4182608377186785E-4</v>
          </cell>
        </row>
        <row r="1139">
          <cell r="J1139">
            <v>-2.0930805220389037E-2</v>
          </cell>
          <cell r="K1139">
            <v>-5.1737329819404598E-3</v>
          </cell>
        </row>
        <row r="1140">
          <cell r="J1140">
            <v>1.4796547472257782E-3</v>
          </cell>
          <cell r="K1140">
            <v>-8.2915800630429803E-3</v>
          </cell>
        </row>
        <row r="1141">
          <cell r="J1141">
            <v>1.4818473697209011E-3</v>
          </cell>
          <cell r="K1141">
            <v>4.4797787763566355E-3</v>
          </cell>
        </row>
        <row r="1142">
          <cell r="J1142">
            <v>3.4696406443617267E-3</v>
          </cell>
          <cell r="K1142">
            <v>-2.4550708246554587E-3</v>
          </cell>
        </row>
        <row r="1143">
          <cell r="J1143">
            <v>3.7313432835821558E-3</v>
          </cell>
          <cell r="K1143">
            <v>-4.7751657066575914E-3</v>
          </cell>
        </row>
        <row r="1144">
          <cell r="J1144">
            <v>2.0304568527918843E-2</v>
          </cell>
          <cell r="K1144">
            <v>4.6092878701953222E-3</v>
          </cell>
        </row>
        <row r="1145">
          <cell r="J1145">
            <v>-1.0547463586137562E-2</v>
          </cell>
          <cell r="K1145">
            <v>-3.3808565867435858E-3</v>
          </cell>
        </row>
        <row r="1146">
          <cell r="J1146">
            <v>-3.7699371677138771E-2</v>
          </cell>
          <cell r="K1146">
            <v>-1.0723796801895169E-2</v>
          </cell>
        </row>
        <row r="1147">
          <cell r="J1147">
            <v>-3.8517091959556771E-3</v>
          </cell>
          <cell r="K1147">
            <v>-6.8224821209446063E-3</v>
          </cell>
        </row>
        <row r="1148">
          <cell r="J1148">
            <v>1.4407814407814357E-2</v>
          </cell>
          <cell r="K1148">
            <v>3.4399124693862415E-3</v>
          </cell>
        </row>
        <row r="1149">
          <cell r="J1149">
            <v>4.0396341463414531E-2</v>
          </cell>
          <cell r="K1149">
            <v>-5.9315256463139399E-3</v>
          </cell>
        </row>
        <row r="1150">
          <cell r="J1150">
            <v>-4.80404551201008E-3</v>
          </cell>
          <cell r="K1150">
            <v>-1.7747869331312671E-3</v>
          </cell>
        </row>
        <row r="1151">
          <cell r="J1151">
            <v>1.0217113665389466E-2</v>
          </cell>
          <cell r="K1151">
            <v>4.1804213837752791E-3</v>
          </cell>
        </row>
        <row r="1152">
          <cell r="J1152">
            <v>6.6855232707636603E-3</v>
          </cell>
          <cell r="K1152">
            <v>1.0191869009421151E-2</v>
          </cell>
        </row>
        <row r="1153">
          <cell r="J1153">
            <v>1.1180447217888689E-2</v>
          </cell>
          <cell r="K1153">
            <v>1.0513201235642367E-3</v>
          </cell>
        </row>
        <row r="1154">
          <cell r="J1154">
            <v>-1.5576323987538387E-3</v>
          </cell>
          <cell r="K1154">
            <v>-4.7509286987007515E-3</v>
          </cell>
        </row>
        <row r="1155">
          <cell r="J1155">
            <v>2.6926153025859767E-2</v>
          </cell>
          <cell r="K1155">
            <v>1.0591238282262605E-2</v>
          </cell>
        </row>
        <row r="1156">
          <cell r="J1156">
            <v>-1.9602718243596495E-2</v>
          </cell>
          <cell r="K1156">
            <v>-2.3820614164274945E-3</v>
          </cell>
        </row>
        <row r="1157">
          <cell r="J1157">
            <v>-1.1624903125807329E-2</v>
          </cell>
          <cell r="K1157">
            <v>-4.0574628151186509E-3</v>
          </cell>
        </row>
        <row r="1158">
          <cell r="J1158">
            <v>-5.6511687644489328E-3</v>
          </cell>
          <cell r="K1158">
            <v>4.6331278924924835E-3</v>
          </cell>
        </row>
        <row r="1159">
          <cell r="J1159">
            <v>-1.5388561169529247E-3</v>
          </cell>
          <cell r="K1159">
            <v>-4.0920035288838363E-3</v>
          </cell>
        </row>
        <row r="1160">
          <cell r="J1160">
            <v>2.5713551041399718E-3</v>
          </cell>
          <cell r="K1160">
            <v>1.0851603332585835E-2</v>
          </cell>
        </row>
        <row r="1161">
          <cell r="J1161">
            <v>1.620067938332892E-2</v>
          </cell>
          <cell r="K1161">
            <v>-2.224678758111498E-4</v>
          </cell>
        </row>
        <row r="1162">
          <cell r="J1162">
            <v>7.9009744535158966E-3</v>
          </cell>
          <cell r="K1162">
            <v>4.8208471313186951E-3</v>
          </cell>
        </row>
        <row r="1163">
          <cell r="J1163">
            <v>2.0424617038430348E-2</v>
          </cell>
          <cell r="K1163">
            <v>2.0439667702884856E-2</v>
          </cell>
        </row>
        <row r="1164">
          <cell r="J1164">
            <v>-2.412868632707732E-3</v>
          </cell>
          <cell r="K1164">
            <v>-5.5952171619482183E-3</v>
          </cell>
        </row>
        <row r="1165">
          <cell r="J1165">
            <v>2.0799124247400158E-2</v>
          </cell>
          <cell r="K1165">
            <v>1.7266884537435967E-2</v>
          </cell>
        </row>
        <row r="1166">
          <cell r="J1166">
            <v>-5.47045951860059E-4</v>
          </cell>
          <cell r="K1166">
            <v>1.7109287301029896E-2</v>
          </cell>
        </row>
        <row r="1167">
          <cell r="J1167">
            <v>-7.3309801792017515E-3</v>
          </cell>
          <cell r="K1167">
            <v>5.7051370019669534E-3</v>
          </cell>
        </row>
        <row r="1168">
          <cell r="J1168">
            <v>2.7225701061801555E-3</v>
          </cell>
          <cell r="K1168">
            <v>1.4781901501028649E-2</v>
          </cell>
        </row>
        <row r="1169">
          <cell r="J1169">
            <v>1.7451523545706449E-2</v>
          </cell>
          <cell r="K1169">
            <v>6.8159979660433745E-3</v>
          </cell>
        </row>
        <row r="1170">
          <cell r="J1170">
            <v>1.6648168701443034E-3</v>
          </cell>
          <cell r="K1170">
            <v>9.2621068698832687E-3</v>
          </cell>
        </row>
        <row r="1171">
          <cell r="J1171">
            <v>2.2246941045604984E-3</v>
          </cell>
          <cell r="K1171">
            <v>3.4685342224292093E-3</v>
          </cell>
        </row>
        <row r="1172">
          <cell r="J1172">
            <v>7.8475336322869627E-3</v>
          </cell>
          <cell r="K1172">
            <v>3.1261217288249821E-3</v>
          </cell>
        </row>
        <row r="1173">
          <cell r="J1173">
            <v>8.4151472650773051E-4</v>
          </cell>
          <cell r="K1173">
            <v>4.3394830006713292E-3</v>
          </cell>
        </row>
        <row r="1174">
          <cell r="J1174">
            <v>-8.6206896551724865E-3</v>
          </cell>
          <cell r="K1174">
            <v>1.7139286799310316E-3</v>
          </cell>
        </row>
        <row r="1175">
          <cell r="J1175">
            <v>1.9504040122597655E-3</v>
          </cell>
          <cell r="K1175">
            <v>2.9858125990558371E-3</v>
          </cell>
        </row>
        <row r="1176">
          <cell r="J1176">
            <v>7.2972214426043625E-3</v>
          </cell>
          <cell r="K1176">
            <v>-6.2845052666058443E-3</v>
          </cell>
        </row>
        <row r="1177">
          <cell r="J1177">
            <v>3.9447731755424265E-3</v>
          </cell>
          <cell r="K1177">
            <v>-2.8162648314419281E-3</v>
          </cell>
        </row>
        <row r="1178">
          <cell r="J1178">
            <v>-1.6877637130802148E-3</v>
          </cell>
          <cell r="K1178">
            <v>-1.8802978149119465E-3</v>
          </cell>
        </row>
        <row r="1179">
          <cell r="J1179">
            <v>-1.1676396997497895E-2</v>
          </cell>
          <cell r="K1179">
            <v>-3.763437814524484E-3</v>
          </cell>
        </row>
        <row r="1180">
          <cell r="J1180">
            <v>-6.3535911602210504E-3</v>
          </cell>
          <cell r="K1180">
            <v>-1.98446351640158E-3</v>
          </cell>
        </row>
        <row r="1181">
          <cell r="J1181">
            <v>-2.4800220446403731E-3</v>
          </cell>
          <cell r="K1181">
            <v>-4.9842484248424634E-3</v>
          </cell>
        </row>
        <row r="1182">
          <cell r="J1182">
            <v>5.8203991130818533E-3</v>
          </cell>
          <cell r="K1182">
            <v>-5.2806228560875468E-3</v>
          </cell>
        </row>
        <row r="1183">
          <cell r="J1183">
            <v>-4.4150110375275053E-3</v>
          </cell>
          <cell r="K1183">
            <v>2.9352230507611043E-3</v>
          </cell>
        </row>
        <row r="1184">
          <cell r="J1184">
            <v>4.991680532445697E-3</v>
          </cell>
          <cell r="K1184">
            <v>9.2267608160028214E-3</v>
          </cell>
        </row>
        <row r="1185">
          <cell r="J1185">
            <v>5.5493895671498983E-4</v>
          </cell>
          <cell r="K1185">
            <v>1.0943607345637041E-3</v>
          </cell>
        </row>
        <row r="1186">
          <cell r="J1186">
            <v>-6.3413289219741431E-3</v>
          </cell>
          <cell r="K1186">
            <v>1.8007100591717062E-3</v>
          </cell>
        </row>
        <row r="1187">
          <cell r="J1187">
            <v>-1.2792596624931929E-2</v>
          </cell>
          <cell r="K1187">
            <v>-1.0346679983052054E-3</v>
          </cell>
        </row>
        <row r="1188">
          <cell r="J1188">
            <v>3.8251366120218844E-3</v>
          </cell>
          <cell r="K1188">
            <v>-3.4414034875407395E-4</v>
          </cell>
        </row>
      </sheetData>
      <sheetData sheetId="2">
        <row r="14">
          <cell r="M14">
            <v>0.14200259368030532</v>
          </cell>
        </row>
      </sheetData>
      <sheetData sheetId="3"/>
      <sheetData sheetId="4">
        <row r="47">
          <cell r="F47">
            <v>4.9993077292278129E-2</v>
          </cell>
        </row>
      </sheetData>
      <sheetData sheetId="5"/>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headers="0" connectionId="10" xr16:uid="{00000000-0016-0000-0200-000000000000}" autoFormatId="16" applyNumberFormats="0" applyBorderFormats="0" applyFontFormats="0" applyPatternFormats="0" applyAlignmentFormats="0" applyWidthHeightFormats="0">
  <queryTableRefresh headersInLastRefresh="0" nextId="19" unboundColumnsRight="13">
    <queryTableFields count="15">
      <queryTableField id="1" name="Column1" tableColumnId="1"/>
      <queryTableField id="3" name="Column3" tableColumnId="3"/>
      <queryTableField id="6" dataBound="0" tableColumnId="6"/>
      <queryTableField id="7" dataBound="0" tableColumnId="7"/>
      <queryTableField id="8" dataBound="0" tableColumnId="8"/>
      <queryTableField id="9" dataBound="0" tableColumnId="9"/>
      <queryTableField id="10" dataBound="0" tableColumnId="10"/>
      <queryTableField id="11" dataBound="0" tableColumnId="2"/>
      <queryTableField id="12" dataBound="0" tableColumnId="4"/>
      <queryTableField id="13" dataBound="0" tableColumnId="5"/>
      <queryTableField id="14" dataBound="0" tableColumnId="11"/>
      <queryTableField id="15" dataBound="0" tableColumnId="12"/>
      <queryTableField id="16" dataBound="0" tableColumnId="13"/>
      <queryTableField id="17" dataBound="0" tableColumnId="14"/>
      <queryTableField id="18" dataBound="0" tableColumnId="15"/>
    </queryTableFields>
    <queryTableDeletedFields count="3">
      <deletedField name="Column5"/>
      <deletedField name="Column4"/>
      <deletedField name="Column2"/>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Table132__Page_108" displayName="Table132__Page_108" ref="A2:O41" tableType="queryTable" headerRowCount="0" totalsRowShown="0">
  <tableColumns count="15">
    <tableColumn id="1" xr3:uid="{00000000-0010-0000-0000-000001000000}" uniqueName="1" name="Column1" queryTableFieldId="1" dataDxfId="14"/>
    <tableColumn id="3" xr3:uid="{00000000-0010-0000-0000-000003000000}" uniqueName="3" name="Column3" queryTableFieldId="3" dataDxfId="13"/>
    <tableColumn id="6" xr3:uid="{00000000-0010-0000-0000-000006000000}" uniqueName="6" name="Column2" queryTableFieldId="6" dataDxfId="12"/>
    <tableColumn id="7" xr3:uid="{00000000-0010-0000-0000-000007000000}" uniqueName="7" name="Column4" queryTableFieldId="7" dataDxfId="11"/>
    <tableColumn id="8" xr3:uid="{00000000-0010-0000-0000-000008000000}" uniqueName="8" name="Column5" queryTableFieldId="8" dataDxfId="10"/>
    <tableColumn id="9" xr3:uid="{00000000-0010-0000-0000-000009000000}" uniqueName="9" name="Column6" queryTableFieldId="9" dataDxfId="9"/>
    <tableColumn id="10" xr3:uid="{00000000-0010-0000-0000-00000A000000}" uniqueName="10" name="Column7" queryTableFieldId="10" dataDxfId="8"/>
    <tableColumn id="2" xr3:uid="{00000000-0010-0000-0000-000002000000}" uniqueName="2" name="Column8" queryTableFieldId="11" dataDxfId="7"/>
    <tableColumn id="4" xr3:uid="{00000000-0010-0000-0000-000004000000}" uniqueName="4" name="Column9" queryTableFieldId="12" dataDxfId="6"/>
    <tableColumn id="5" xr3:uid="{00000000-0010-0000-0000-000005000000}" uniqueName="5" name="Column10" queryTableFieldId="13" dataDxfId="5"/>
    <tableColumn id="11" xr3:uid="{00000000-0010-0000-0000-00000B000000}" uniqueName="11" name="Column11" queryTableFieldId="14" dataDxfId="4"/>
    <tableColumn id="12" xr3:uid="{00000000-0010-0000-0000-00000C000000}" uniqueName="12" name="Column12" queryTableFieldId="15" dataDxfId="3"/>
    <tableColumn id="13" xr3:uid="{00000000-0010-0000-0000-00000D000000}" uniqueName="13" name="Column13" queryTableFieldId="16" dataDxfId="2"/>
    <tableColumn id="14" xr3:uid="{00000000-0010-0000-0000-00000E000000}" uniqueName="14" name="Column14" queryTableFieldId="17" dataDxfId="1"/>
    <tableColumn id="15" xr3:uid="{00000000-0010-0000-0000-00000F000000}" uniqueName="15" name="Column15" queryTableFieldId="18" dataDxfId="0"/>
  </tableColumns>
  <tableStyleInfo name="TableStyleMedium7"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amarstock.com/stock/GP"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tradingeconomics.com/bangladesh/gdp-growth"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7D85C-CFF1-4554-B71A-369D38FD0AD0}">
  <dimension ref="A1:E1639"/>
  <sheetViews>
    <sheetView workbookViewId="0">
      <selection activeCell="I16" sqref="I16"/>
    </sheetView>
  </sheetViews>
  <sheetFormatPr defaultRowHeight="14.5" x14ac:dyDescent="0.35"/>
  <cols>
    <col min="1" max="1" width="10.7265625" style="473" bestFit="1" customWidth="1"/>
    <col min="2" max="2" width="8.7265625" style="26"/>
    <col min="3" max="3" width="8.7265625" style="299"/>
    <col min="4" max="4" width="10.453125" style="299" bestFit="1" customWidth="1"/>
    <col min="5" max="16384" width="8.7265625" style="299"/>
  </cols>
  <sheetData>
    <row r="1" spans="1:5" ht="15" thickBot="1" x14ac:dyDescent="0.4">
      <c r="A1" s="467" t="s">
        <v>414</v>
      </c>
      <c r="B1" s="468"/>
      <c r="D1" s="467" t="s">
        <v>415</v>
      </c>
      <c r="E1" s="468"/>
    </row>
    <row r="2" spans="1:5" s="267" customFormat="1" ht="15.5" x14ac:dyDescent="0.35">
      <c r="A2" s="469" t="s">
        <v>416</v>
      </c>
      <c r="B2" s="469" t="s">
        <v>417</v>
      </c>
      <c r="D2" s="469" t="s">
        <v>416</v>
      </c>
      <c r="E2" s="470" t="s">
        <v>417</v>
      </c>
    </row>
    <row r="3" spans="1:5" x14ac:dyDescent="0.35">
      <c r="A3" s="471">
        <v>45988</v>
      </c>
      <c r="B3" s="107">
        <v>278.39999999999998</v>
      </c>
      <c r="D3" s="471">
        <v>45988</v>
      </c>
      <c r="E3" s="472">
        <v>5028.1400000000003</v>
      </c>
    </row>
    <row r="4" spans="1:5" x14ac:dyDescent="0.35">
      <c r="A4" s="471">
        <v>45987</v>
      </c>
      <c r="B4" s="107">
        <v>277.89999999999998</v>
      </c>
      <c r="D4" s="471">
        <v>45987</v>
      </c>
      <c r="E4" s="472">
        <v>5009.8</v>
      </c>
    </row>
    <row r="5" spans="1:5" x14ac:dyDescent="0.35">
      <c r="A5" s="471">
        <v>45986</v>
      </c>
      <c r="B5" s="107">
        <v>277.5</v>
      </c>
      <c r="D5" s="471">
        <v>45986</v>
      </c>
      <c r="E5" s="472">
        <v>5018.28</v>
      </c>
    </row>
    <row r="6" spans="1:5" x14ac:dyDescent="0.35">
      <c r="A6" s="471">
        <v>45985</v>
      </c>
      <c r="B6" s="107">
        <v>275.2</v>
      </c>
      <c r="D6" s="471">
        <v>45985</v>
      </c>
      <c r="E6" s="472">
        <v>5024.8599999999997</v>
      </c>
    </row>
    <row r="7" spans="1:5" x14ac:dyDescent="0.35">
      <c r="A7" s="471">
        <v>45984</v>
      </c>
      <c r="B7" s="107">
        <v>274</v>
      </c>
      <c r="D7" s="471">
        <v>45984</v>
      </c>
      <c r="E7" s="472">
        <v>4915.75</v>
      </c>
    </row>
    <row r="8" spans="1:5" x14ac:dyDescent="0.35">
      <c r="A8" s="471">
        <v>45981</v>
      </c>
      <c r="B8" s="107">
        <v>273.3</v>
      </c>
      <c r="D8" s="471">
        <v>45981</v>
      </c>
      <c r="E8" s="472">
        <v>4869.01</v>
      </c>
    </row>
    <row r="9" spans="1:5" x14ac:dyDescent="0.35">
      <c r="A9" s="471">
        <v>45980</v>
      </c>
      <c r="B9" s="107">
        <v>273.89999999999998</v>
      </c>
      <c r="D9" s="471">
        <v>45980</v>
      </c>
      <c r="E9" s="472">
        <v>4901.38</v>
      </c>
    </row>
    <row r="10" spans="1:5" x14ac:dyDescent="0.35">
      <c r="A10" s="471">
        <v>45979</v>
      </c>
      <c r="B10" s="107">
        <v>272.39999999999998</v>
      </c>
      <c r="D10" s="471">
        <v>45979</v>
      </c>
      <c r="E10" s="472">
        <v>4846.88</v>
      </c>
    </row>
    <row r="11" spans="1:5" x14ac:dyDescent="0.35">
      <c r="A11" s="471">
        <v>45978</v>
      </c>
      <c r="B11" s="107">
        <v>271.89999999999998</v>
      </c>
      <c r="D11" s="471">
        <v>45978</v>
      </c>
      <c r="E11" s="472">
        <v>4774.96</v>
      </c>
    </row>
    <row r="12" spans="1:5" x14ac:dyDescent="0.35">
      <c r="A12" s="471">
        <v>45977</v>
      </c>
      <c r="B12" s="107">
        <v>271.39999999999998</v>
      </c>
      <c r="D12" s="471">
        <v>45977</v>
      </c>
      <c r="E12" s="472">
        <v>4732.16</v>
      </c>
    </row>
    <row r="13" spans="1:5" x14ac:dyDescent="0.35">
      <c r="A13" s="471">
        <v>45974</v>
      </c>
      <c r="B13" s="107">
        <v>277.2</v>
      </c>
      <c r="D13" s="471">
        <v>45974</v>
      </c>
      <c r="E13" s="472">
        <v>4702.6899999999996</v>
      </c>
    </row>
    <row r="14" spans="1:5" x14ac:dyDescent="0.35">
      <c r="A14" s="471">
        <v>45973</v>
      </c>
      <c r="B14" s="107">
        <v>278.5</v>
      </c>
      <c r="D14" s="471">
        <v>45973</v>
      </c>
      <c r="E14" s="472">
        <v>4825.33</v>
      </c>
    </row>
    <row r="15" spans="1:5" x14ac:dyDescent="0.35">
      <c r="A15" s="471">
        <v>45972</v>
      </c>
      <c r="B15" s="107">
        <v>277.7</v>
      </c>
      <c r="D15" s="471">
        <v>45972</v>
      </c>
      <c r="E15" s="472">
        <v>4872.7700000000004</v>
      </c>
    </row>
    <row r="16" spans="1:5" x14ac:dyDescent="0.35">
      <c r="A16" s="471">
        <v>45971</v>
      </c>
      <c r="B16" s="107">
        <v>277.3</v>
      </c>
      <c r="D16" s="471">
        <v>45971</v>
      </c>
      <c r="E16" s="472">
        <v>4860.75</v>
      </c>
    </row>
    <row r="17" spans="1:5" x14ac:dyDescent="0.35">
      <c r="A17" s="471">
        <v>45970</v>
      </c>
      <c r="B17" s="107">
        <v>281.10000000000002</v>
      </c>
      <c r="D17" s="471">
        <v>45970</v>
      </c>
      <c r="E17" s="472">
        <v>4899.93</v>
      </c>
    </row>
    <row r="18" spans="1:5" x14ac:dyDescent="0.35">
      <c r="A18" s="471">
        <v>45967</v>
      </c>
      <c r="B18" s="107">
        <v>282.8</v>
      </c>
      <c r="D18" s="471">
        <v>45967</v>
      </c>
      <c r="E18" s="472">
        <v>4967.9399999999996</v>
      </c>
    </row>
    <row r="19" spans="1:5" x14ac:dyDescent="0.35">
      <c r="A19" s="471">
        <v>45966</v>
      </c>
      <c r="B19" s="107">
        <v>284.3</v>
      </c>
      <c r="D19" s="471">
        <v>45966</v>
      </c>
      <c r="E19" s="472">
        <v>4986.8900000000003</v>
      </c>
    </row>
    <row r="20" spans="1:5" x14ac:dyDescent="0.35">
      <c r="A20" s="471">
        <v>45965</v>
      </c>
      <c r="B20" s="107">
        <v>283.3</v>
      </c>
      <c r="D20" s="471">
        <v>45965</v>
      </c>
      <c r="E20" s="472">
        <v>5019.07</v>
      </c>
    </row>
    <row r="21" spans="1:5" x14ac:dyDescent="0.35">
      <c r="A21" s="471">
        <v>45964</v>
      </c>
      <c r="B21" s="107">
        <v>281.10000000000002</v>
      </c>
      <c r="D21" s="471">
        <v>45964</v>
      </c>
      <c r="E21" s="472">
        <v>5061.01</v>
      </c>
    </row>
    <row r="22" spans="1:5" x14ac:dyDescent="0.35">
      <c r="A22" s="471">
        <v>45963</v>
      </c>
      <c r="B22" s="107">
        <v>281.60000000000002</v>
      </c>
      <c r="D22" s="471">
        <v>45963</v>
      </c>
      <c r="E22" s="472">
        <v>5115.88</v>
      </c>
    </row>
    <row r="23" spans="1:5" x14ac:dyDescent="0.35">
      <c r="A23" s="471">
        <v>45960</v>
      </c>
      <c r="B23" s="107">
        <v>283.39999999999998</v>
      </c>
      <c r="D23" s="471">
        <v>45960</v>
      </c>
      <c r="E23" s="472">
        <v>5122.22</v>
      </c>
    </row>
    <row r="24" spans="1:5" x14ac:dyDescent="0.35">
      <c r="A24" s="471">
        <v>45959</v>
      </c>
      <c r="B24" s="107">
        <v>278.7</v>
      </c>
      <c r="D24" s="471">
        <v>45959</v>
      </c>
      <c r="E24" s="472">
        <v>5092.3999999999996</v>
      </c>
    </row>
    <row r="25" spans="1:5" x14ac:dyDescent="0.35">
      <c r="A25" s="471">
        <v>45958</v>
      </c>
      <c r="B25" s="107">
        <v>281</v>
      </c>
      <c r="D25" s="471">
        <v>45958</v>
      </c>
      <c r="E25" s="472">
        <v>5084.13</v>
      </c>
    </row>
    <row r="26" spans="1:5" x14ac:dyDescent="0.35">
      <c r="A26" s="471">
        <v>45957</v>
      </c>
      <c r="B26" s="107">
        <v>282.5</v>
      </c>
      <c r="D26" s="471">
        <v>45957</v>
      </c>
      <c r="E26" s="472">
        <v>5086.8599999999997</v>
      </c>
    </row>
    <row r="27" spans="1:5" x14ac:dyDescent="0.35">
      <c r="A27" s="471">
        <v>45956</v>
      </c>
      <c r="B27" s="107">
        <v>286.10000000000002</v>
      </c>
      <c r="D27" s="471">
        <v>45956</v>
      </c>
      <c r="E27" s="472">
        <v>5126.9799999999996</v>
      </c>
    </row>
    <row r="28" spans="1:5" x14ac:dyDescent="0.35">
      <c r="A28" s="471">
        <v>45953</v>
      </c>
      <c r="B28" s="107">
        <v>287.8</v>
      </c>
      <c r="D28" s="471">
        <v>45953</v>
      </c>
      <c r="E28" s="472">
        <v>5149.8900000000003</v>
      </c>
    </row>
    <row r="29" spans="1:5" x14ac:dyDescent="0.35">
      <c r="A29" s="471">
        <v>45952</v>
      </c>
      <c r="B29" s="107">
        <v>286.39999999999998</v>
      </c>
      <c r="D29" s="471">
        <v>45952</v>
      </c>
      <c r="E29" s="472">
        <v>5094.7</v>
      </c>
    </row>
    <row r="30" spans="1:5" x14ac:dyDescent="0.35">
      <c r="A30" s="471">
        <v>45951</v>
      </c>
      <c r="B30" s="107">
        <v>285.89999999999998</v>
      </c>
      <c r="D30" s="471">
        <v>45951</v>
      </c>
      <c r="E30" s="472">
        <v>5089.33</v>
      </c>
    </row>
    <row r="31" spans="1:5" x14ac:dyDescent="0.35">
      <c r="A31" s="471">
        <v>45950</v>
      </c>
      <c r="B31" s="107">
        <v>287.3</v>
      </c>
      <c r="D31" s="471">
        <v>45950</v>
      </c>
      <c r="E31" s="472">
        <v>5111.6000000000004</v>
      </c>
    </row>
    <row r="32" spans="1:5" x14ac:dyDescent="0.35">
      <c r="A32" s="471">
        <v>45949</v>
      </c>
      <c r="B32" s="107">
        <v>287.10000000000002</v>
      </c>
      <c r="D32" s="471">
        <v>45949</v>
      </c>
      <c r="E32" s="472">
        <v>5044.34</v>
      </c>
    </row>
    <row r="33" spans="1:5" x14ac:dyDescent="0.35">
      <c r="A33" s="471">
        <v>45946</v>
      </c>
      <c r="B33" s="107">
        <v>287.89999999999998</v>
      </c>
      <c r="D33" s="471">
        <v>45946</v>
      </c>
      <c r="E33" s="472">
        <v>5119.42</v>
      </c>
    </row>
    <row r="34" spans="1:5" x14ac:dyDescent="0.35">
      <c r="A34" s="471">
        <v>45945</v>
      </c>
      <c r="B34" s="107">
        <v>290.8</v>
      </c>
      <c r="D34" s="471">
        <v>45945</v>
      </c>
      <c r="E34" s="472">
        <v>5116.51</v>
      </c>
    </row>
    <row r="35" spans="1:5" x14ac:dyDescent="0.35">
      <c r="A35" s="471">
        <v>45944</v>
      </c>
      <c r="B35" s="107">
        <v>292.39999999999998</v>
      </c>
      <c r="D35" s="471">
        <v>45944</v>
      </c>
      <c r="E35" s="472">
        <v>5197.2700000000004</v>
      </c>
    </row>
    <row r="36" spans="1:5" x14ac:dyDescent="0.35">
      <c r="A36" s="471">
        <v>45943</v>
      </c>
      <c r="B36" s="107">
        <v>294</v>
      </c>
      <c r="D36" s="471">
        <v>45943</v>
      </c>
      <c r="E36" s="472">
        <v>5227.75</v>
      </c>
    </row>
    <row r="37" spans="1:5" x14ac:dyDescent="0.35">
      <c r="A37" s="471">
        <v>45942</v>
      </c>
      <c r="B37" s="107">
        <v>293.5</v>
      </c>
      <c r="D37" s="471">
        <v>45942</v>
      </c>
      <c r="E37" s="472">
        <v>5202.46</v>
      </c>
    </row>
    <row r="38" spans="1:5" x14ac:dyDescent="0.35">
      <c r="A38" s="471">
        <v>45939</v>
      </c>
      <c r="B38" s="107">
        <v>294.3</v>
      </c>
      <c r="D38" s="471">
        <v>45939</v>
      </c>
      <c r="E38" s="472">
        <v>5283.72</v>
      </c>
    </row>
    <row r="39" spans="1:5" x14ac:dyDescent="0.35">
      <c r="A39" s="471">
        <v>45938</v>
      </c>
      <c r="B39" s="107">
        <v>294.2</v>
      </c>
      <c r="D39" s="471">
        <v>45938</v>
      </c>
      <c r="E39" s="472">
        <v>5337.86</v>
      </c>
    </row>
    <row r="40" spans="1:5" x14ac:dyDescent="0.35">
      <c r="A40" s="471">
        <v>45937</v>
      </c>
      <c r="B40" s="107">
        <v>294.7</v>
      </c>
      <c r="D40" s="471">
        <v>45937</v>
      </c>
      <c r="E40" s="472">
        <v>5377</v>
      </c>
    </row>
    <row r="41" spans="1:5" x14ac:dyDescent="0.35">
      <c r="A41" s="471">
        <v>45936</v>
      </c>
      <c r="B41" s="107">
        <v>298.10000000000002</v>
      </c>
      <c r="D41" s="471">
        <v>45936</v>
      </c>
      <c r="E41" s="472">
        <v>5423.64</v>
      </c>
    </row>
    <row r="42" spans="1:5" x14ac:dyDescent="0.35">
      <c r="A42" s="471">
        <v>45935</v>
      </c>
      <c r="B42" s="107">
        <v>298.7</v>
      </c>
      <c r="D42" s="471">
        <v>45935</v>
      </c>
      <c r="E42" s="472">
        <v>5447.63</v>
      </c>
    </row>
    <row r="43" spans="1:5" x14ac:dyDescent="0.35">
      <c r="A43" s="471">
        <v>45930</v>
      </c>
      <c r="B43" s="107">
        <v>299</v>
      </c>
      <c r="D43" s="471">
        <v>45930</v>
      </c>
      <c r="E43" s="472">
        <v>5415.79</v>
      </c>
    </row>
    <row r="44" spans="1:5" x14ac:dyDescent="0.35">
      <c r="A44" s="471">
        <v>45929</v>
      </c>
      <c r="B44" s="107">
        <v>298</v>
      </c>
      <c r="D44" s="471">
        <v>45929</v>
      </c>
      <c r="E44" s="472">
        <v>5389.78</v>
      </c>
    </row>
    <row r="45" spans="1:5" x14ac:dyDescent="0.35">
      <c r="A45" s="471">
        <v>45928</v>
      </c>
      <c r="B45" s="107">
        <v>299.10000000000002</v>
      </c>
      <c r="D45" s="471">
        <v>45928</v>
      </c>
      <c r="E45" s="472">
        <v>5380.08</v>
      </c>
    </row>
    <row r="46" spans="1:5" x14ac:dyDescent="0.35">
      <c r="A46" s="471">
        <v>45925</v>
      </c>
      <c r="B46" s="107">
        <v>298.39999999999998</v>
      </c>
      <c r="D46" s="471">
        <v>45925</v>
      </c>
      <c r="E46" s="472">
        <v>5415.13</v>
      </c>
    </row>
    <row r="47" spans="1:5" x14ac:dyDescent="0.35">
      <c r="A47" s="471">
        <v>45924</v>
      </c>
      <c r="B47" s="107">
        <v>299</v>
      </c>
      <c r="D47" s="471">
        <v>45924</v>
      </c>
      <c r="E47" s="472">
        <v>5392.65</v>
      </c>
    </row>
    <row r="48" spans="1:5" x14ac:dyDescent="0.35">
      <c r="A48" s="471">
        <v>45923</v>
      </c>
      <c r="B48" s="107">
        <v>298.5</v>
      </c>
      <c r="D48" s="471">
        <v>45923</v>
      </c>
      <c r="E48" s="472">
        <v>5347.47</v>
      </c>
    </row>
    <row r="49" spans="1:5" x14ac:dyDescent="0.35">
      <c r="A49" s="471">
        <v>45922</v>
      </c>
      <c r="B49" s="107">
        <v>300.10000000000002</v>
      </c>
      <c r="D49" s="471">
        <v>45922</v>
      </c>
      <c r="E49" s="472">
        <v>5337.14</v>
      </c>
    </row>
    <row r="50" spans="1:5" x14ac:dyDescent="0.35">
      <c r="A50" s="471">
        <v>45921</v>
      </c>
      <c r="B50" s="107">
        <v>300.3</v>
      </c>
      <c r="D50" s="471">
        <v>45921</v>
      </c>
      <c r="E50" s="472">
        <v>5381.85</v>
      </c>
    </row>
    <row r="51" spans="1:5" x14ac:dyDescent="0.35">
      <c r="A51" s="471">
        <v>45918</v>
      </c>
      <c r="B51" s="107">
        <v>301.10000000000002</v>
      </c>
      <c r="D51" s="471">
        <v>45918</v>
      </c>
      <c r="E51" s="472">
        <v>5449.93</v>
      </c>
    </row>
    <row r="52" spans="1:5" x14ac:dyDescent="0.35">
      <c r="A52" s="471">
        <v>45917</v>
      </c>
      <c r="B52" s="107">
        <v>301.8</v>
      </c>
      <c r="D52" s="471">
        <v>45917</v>
      </c>
      <c r="E52" s="472">
        <v>5492.34</v>
      </c>
    </row>
    <row r="53" spans="1:5" x14ac:dyDescent="0.35">
      <c r="A53" s="471">
        <v>45916</v>
      </c>
      <c r="B53" s="107">
        <v>301.8</v>
      </c>
      <c r="D53" s="471">
        <v>45916</v>
      </c>
      <c r="E53" s="472">
        <v>5509.61</v>
      </c>
    </row>
    <row r="54" spans="1:5" x14ac:dyDescent="0.35">
      <c r="A54" s="471">
        <v>45915</v>
      </c>
      <c r="B54" s="107">
        <v>301</v>
      </c>
      <c r="D54" s="471">
        <v>45915</v>
      </c>
      <c r="E54" s="472">
        <v>5474.72</v>
      </c>
    </row>
    <row r="55" spans="1:5" x14ac:dyDescent="0.35">
      <c r="A55" s="471">
        <v>45914</v>
      </c>
      <c r="B55" s="107">
        <v>299.89999999999998</v>
      </c>
      <c r="D55" s="471">
        <v>45914</v>
      </c>
      <c r="E55" s="472">
        <v>5468.35</v>
      </c>
    </row>
    <row r="56" spans="1:5" x14ac:dyDescent="0.35">
      <c r="A56" s="471">
        <v>45911</v>
      </c>
      <c r="B56" s="107">
        <v>301.8</v>
      </c>
      <c r="D56" s="471">
        <v>45911</v>
      </c>
      <c r="E56" s="472">
        <v>5523.78</v>
      </c>
    </row>
    <row r="57" spans="1:5" x14ac:dyDescent="0.35">
      <c r="A57" s="471">
        <v>45910</v>
      </c>
      <c r="B57" s="107">
        <v>300.3</v>
      </c>
      <c r="D57" s="471">
        <v>45910</v>
      </c>
      <c r="E57" s="472">
        <v>5473.15</v>
      </c>
    </row>
    <row r="58" spans="1:5" x14ac:dyDescent="0.35">
      <c r="A58" s="471">
        <v>45909</v>
      </c>
      <c r="B58" s="107">
        <v>300.8</v>
      </c>
      <c r="D58" s="471">
        <v>45909</v>
      </c>
      <c r="E58" s="472">
        <v>5538.25</v>
      </c>
    </row>
    <row r="59" spans="1:5" x14ac:dyDescent="0.35">
      <c r="A59" s="471">
        <v>45908</v>
      </c>
      <c r="B59" s="107">
        <v>305.39999999999998</v>
      </c>
      <c r="D59" s="471">
        <v>45908</v>
      </c>
      <c r="E59" s="472">
        <v>5627.59</v>
      </c>
    </row>
    <row r="60" spans="1:5" x14ac:dyDescent="0.35">
      <c r="A60" s="471">
        <v>45907</v>
      </c>
      <c r="B60" s="107">
        <v>306.3</v>
      </c>
      <c r="D60" s="471">
        <v>45907</v>
      </c>
      <c r="E60" s="472">
        <v>5636.15</v>
      </c>
    </row>
    <row r="61" spans="1:5" x14ac:dyDescent="0.35">
      <c r="A61" s="471">
        <v>45904</v>
      </c>
      <c r="B61" s="107">
        <v>304.39999999999998</v>
      </c>
      <c r="D61" s="471">
        <v>45904</v>
      </c>
      <c r="E61" s="472">
        <v>5614.28</v>
      </c>
    </row>
    <row r="62" spans="1:5" x14ac:dyDescent="0.35">
      <c r="A62" s="471">
        <v>45903</v>
      </c>
      <c r="B62" s="107">
        <v>309.7</v>
      </c>
      <c r="D62" s="471">
        <v>45903</v>
      </c>
      <c r="E62" s="472">
        <v>5631.62</v>
      </c>
    </row>
    <row r="63" spans="1:5" x14ac:dyDescent="0.35">
      <c r="A63" s="471">
        <v>45902</v>
      </c>
      <c r="B63" s="107">
        <v>310.3</v>
      </c>
      <c r="D63" s="471">
        <v>45902</v>
      </c>
      <c r="E63" s="472">
        <v>5620.92</v>
      </c>
    </row>
    <row r="64" spans="1:5" x14ac:dyDescent="0.35">
      <c r="A64" s="471">
        <v>45901</v>
      </c>
      <c r="B64" s="107">
        <v>307</v>
      </c>
      <c r="D64" s="471">
        <v>45901</v>
      </c>
      <c r="E64" s="472">
        <v>5583.79</v>
      </c>
    </row>
    <row r="65" spans="1:5" x14ac:dyDescent="0.35">
      <c r="A65" s="471">
        <v>45900</v>
      </c>
      <c r="B65" s="107">
        <v>310.39999999999998</v>
      </c>
      <c r="D65" s="471">
        <v>45900</v>
      </c>
      <c r="E65" s="472">
        <v>5594.39</v>
      </c>
    </row>
    <row r="66" spans="1:5" x14ac:dyDescent="0.35">
      <c r="A66" s="471">
        <v>45897</v>
      </c>
      <c r="B66" s="107">
        <v>305.39999999999998</v>
      </c>
      <c r="D66" s="471">
        <v>45897</v>
      </c>
      <c r="E66" s="472">
        <v>5517.95</v>
      </c>
    </row>
    <row r="67" spans="1:5" x14ac:dyDescent="0.35">
      <c r="A67" s="471">
        <v>45896</v>
      </c>
      <c r="B67" s="107">
        <v>299.60000000000002</v>
      </c>
      <c r="D67" s="471">
        <v>45895</v>
      </c>
      <c r="E67" s="472">
        <v>5448.83</v>
      </c>
    </row>
    <row r="68" spans="1:5" x14ac:dyDescent="0.35">
      <c r="A68" s="471">
        <v>45895</v>
      </c>
      <c r="B68" s="107">
        <v>298.60000000000002</v>
      </c>
      <c r="D68" s="471">
        <v>45894</v>
      </c>
      <c r="E68" s="472">
        <v>5455.4</v>
      </c>
    </row>
    <row r="69" spans="1:5" x14ac:dyDescent="0.35">
      <c r="A69" s="471">
        <v>45894</v>
      </c>
      <c r="B69" s="107">
        <v>298.7</v>
      </c>
      <c r="D69" s="471">
        <v>45893</v>
      </c>
      <c r="E69" s="472">
        <v>5389.17</v>
      </c>
    </row>
    <row r="70" spans="1:5" x14ac:dyDescent="0.35">
      <c r="A70" s="471">
        <v>45893</v>
      </c>
      <c r="B70" s="107">
        <v>296.60000000000002</v>
      </c>
      <c r="D70" s="471">
        <v>45890</v>
      </c>
      <c r="E70" s="472">
        <v>5374.96</v>
      </c>
    </row>
    <row r="71" spans="1:5" x14ac:dyDescent="0.35">
      <c r="A71" s="471">
        <v>45890</v>
      </c>
      <c r="B71" s="107">
        <v>299.2</v>
      </c>
      <c r="D71" s="471">
        <v>45889</v>
      </c>
      <c r="E71" s="472">
        <v>5379.41</v>
      </c>
    </row>
    <row r="72" spans="1:5" x14ac:dyDescent="0.35">
      <c r="A72" s="471">
        <v>45889</v>
      </c>
      <c r="B72" s="107">
        <v>301.8</v>
      </c>
      <c r="D72" s="471">
        <v>45888</v>
      </c>
      <c r="E72" s="472">
        <v>5410.9</v>
      </c>
    </row>
    <row r="73" spans="1:5" x14ac:dyDescent="0.35">
      <c r="A73" s="471">
        <v>45888</v>
      </c>
      <c r="B73" s="107">
        <v>302.10000000000002</v>
      </c>
      <c r="D73" s="471">
        <v>45887</v>
      </c>
      <c r="E73" s="472">
        <v>5419.91</v>
      </c>
    </row>
    <row r="74" spans="1:5" x14ac:dyDescent="0.35">
      <c r="A74" s="471">
        <v>45887</v>
      </c>
      <c r="B74" s="107">
        <v>305</v>
      </c>
      <c r="D74" s="471">
        <v>45886</v>
      </c>
      <c r="E74" s="472">
        <v>5401.49</v>
      </c>
    </row>
    <row r="75" spans="1:5" x14ac:dyDescent="0.35">
      <c r="A75" s="471">
        <v>45886</v>
      </c>
      <c r="B75" s="107">
        <v>303.8</v>
      </c>
      <c r="D75" s="471">
        <v>45883</v>
      </c>
      <c r="E75" s="472">
        <v>5350.25</v>
      </c>
    </row>
    <row r="76" spans="1:5" x14ac:dyDescent="0.35">
      <c r="A76" s="471">
        <v>45883</v>
      </c>
      <c r="B76" s="107">
        <v>304.8</v>
      </c>
      <c r="D76" s="471">
        <v>45882</v>
      </c>
      <c r="E76" s="472">
        <v>5314.33</v>
      </c>
    </row>
    <row r="77" spans="1:5" x14ac:dyDescent="0.35">
      <c r="A77" s="471">
        <v>45881</v>
      </c>
      <c r="B77" s="107">
        <v>315.3</v>
      </c>
      <c r="D77" s="471">
        <v>45881</v>
      </c>
      <c r="E77" s="472">
        <v>5315.45</v>
      </c>
    </row>
    <row r="78" spans="1:5" x14ac:dyDescent="0.35">
      <c r="A78" s="471">
        <v>45880</v>
      </c>
      <c r="B78" s="107">
        <v>316.5</v>
      </c>
      <c r="D78" s="471">
        <v>45880</v>
      </c>
      <c r="E78" s="472">
        <v>5344.05</v>
      </c>
    </row>
    <row r="79" spans="1:5" x14ac:dyDescent="0.35">
      <c r="A79" s="471">
        <v>45879</v>
      </c>
      <c r="B79" s="107">
        <v>316.2</v>
      </c>
      <c r="D79" s="471">
        <v>45879</v>
      </c>
      <c r="E79" s="472">
        <v>5351.03</v>
      </c>
    </row>
    <row r="80" spans="1:5" x14ac:dyDescent="0.35">
      <c r="A80" s="471">
        <v>45876</v>
      </c>
      <c r="B80" s="107">
        <v>315.7</v>
      </c>
      <c r="D80" s="471">
        <v>45876</v>
      </c>
      <c r="E80" s="472">
        <v>5408.07</v>
      </c>
    </row>
    <row r="81" spans="1:5" x14ac:dyDescent="0.35">
      <c r="A81" s="471">
        <v>45875</v>
      </c>
      <c r="B81" s="107">
        <v>317</v>
      </c>
      <c r="D81" s="471">
        <v>45875</v>
      </c>
      <c r="E81" s="472">
        <v>5471.16</v>
      </c>
    </row>
    <row r="82" spans="1:5" x14ac:dyDescent="0.35">
      <c r="A82" s="471">
        <v>45873</v>
      </c>
      <c r="B82" s="107">
        <v>317.2</v>
      </c>
      <c r="D82" s="471">
        <v>45873</v>
      </c>
      <c r="E82" s="472">
        <v>5485.91</v>
      </c>
    </row>
    <row r="83" spans="1:5" x14ac:dyDescent="0.35">
      <c r="A83" s="471">
        <v>45872</v>
      </c>
      <c r="B83" s="107">
        <v>318.5</v>
      </c>
      <c r="D83" s="471">
        <v>45872</v>
      </c>
      <c r="E83" s="472">
        <v>5536.14</v>
      </c>
    </row>
    <row r="84" spans="1:5" x14ac:dyDescent="0.35">
      <c r="A84" s="471">
        <v>45869</v>
      </c>
      <c r="B84" s="107">
        <v>313</v>
      </c>
      <c r="D84" s="471">
        <v>45869</v>
      </c>
      <c r="E84" s="472">
        <v>5443.42</v>
      </c>
    </row>
    <row r="85" spans="1:5" x14ac:dyDescent="0.35">
      <c r="A85" s="471">
        <v>45868</v>
      </c>
      <c r="B85" s="107">
        <v>312.7</v>
      </c>
      <c r="D85" s="471">
        <v>45868</v>
      </c>
      <c r="E85" s="472">
        <v>5352.2</v>
      </c>
    </row>
    <row r="86" spans="1:5" x14ac:dyDescent="0.35">
      <c r="A86" s="471">
        <v>45867</v>
      </c>
      <c r="B86" s="107">
        <v>312.2</v>
      </c>
      <c r="D86" s="471">
        <v>45867</v>
      </c>
      <c r="E86" s="472">
        <v>5298.47</v>
      </c>
    </row>
    <row r="87" spans="1:5" x14ac:dyDescent="0.35">
      <c r="A87" s="471">
        <v>45866</v>
      </c>
      <c r="B87" s="107">
        <v>319.3</v>
      </c>
      <c r="D87" s="471">
        <v>45866</v>
      </c>
      <c r="E87" s="472">
        <v>5332.07</v>
      </c>
    </row>
    <row r="88" spans="1:5" x14ac:dyDescent="0.35">
      <c r="A88" s="471">
        <v>45865</v>
      </c>
      <c r="B88" s="107">
        <v>320.8</v>
      </c>
      <c r="D88" s="471">
        <v>45865</v>
      </c>
      <c r="E88" s="472">
        <v>5354.83</v>
      </c>
    </row>
    <row r="89" spans="1:5" x14ac:dyDescent="0.35">
      <c r="A89" s="471">
        <v>45862</v>
      </c>
      <c r="B89" s="107">
        <v>321.10000000000002</v>
      </c>
      <c r="D89" s="471">
        <v>45862</v>
      </c>
      <c r="E89" s="472">
        <v>5392.04</v>
      </c>
    </row>
    <row r="90" spans="1:5" x14ac:dyDescent="0.35">
      <c r="A90" s="471">
        <v>45861</v>
      </c>
      <c r="B90" s="107">
        <v>323.3</v>
      </c>
      <c r="D90" s="471">
        <v>45861</v>
      </c>
      <c r="E90" s="472">
        <v>5363.95</v>
      </c>
    </row>
    <row r="91" spans="1:5" x14ac:dyDescent="0.35">
      <c r="A91" s="471">
        <v>45860</v>
      </c>
      <c r="B91" s="107">
        <v>313.39999999999998</v>
      </c>
      <c r="D91" s="471">
        <v>45860</v>
      </c>
      <c r="E91" s="472">
        <v>5270.57</v>
      </c>
    </row>
    <row r="92" spans="1:5" x14ac:dyDescent="0.35">
      <c r="A92" s="471">
        <v>45859</v>
      </c>
      <c r="B92" s="107">
        <v>310.10000000000002</v>
      </c>
      <c r="D92" s="471">
        <v>45859</v>
      </c>
      <c r="E92" s="472">
        <v>5219.62</v>
      </c>
    </row>
    <row r="93" spans="1:5" x14ac:dyDescent="0.35">
      <c r="A93" s="471">
        <v>45858</v>
      </c>
      <c r="B93" s="107">
        <v>303</v>
      </c>
      <c r="D93" s="471">
        <v>45858</v>
      </c>
      <c r="E93" s="472">
        <v>5194.03</v>
      </c>
    </row>
    <row r="94" spans="1:5" x14ac:dyDescent="0.35">
      <c r="A94" s="471">
        <v>45855</v>
      </c>
      <c r="B94" s="107">
        <v>300.2</v>
      </c>
      <c r="D94" s="471">
        <v>45855</v>
      </c>
      <c r="E94" s="472">
        <v>5132.4799999999996</v>
      </c>
    </row>
    <row r="95" spans="1:5" x14ac:dyDescent="0.35">
      <c r="A95" s="471">
        <v>45854</v>
      </c>
      <c r="B95" s="107">
        <v>296.8</v>
      </c>
      <c r="D95" s="471">
        <v>45854</v>
      </c>
      <c r="E95" s="472">
        <v>5116.8999999999996</v>
      </c>
    </row>
    <row r="96" spans="1:5" x14ac:dyDescent="0.35">
      <c r="A96" s="471">
        <v>45853</v>
      </c>
      <c r="B96" s="107">
        <v>297.60000000000002</v>
      </c>
      <c r="D96" s="471">
        <v>45853</v>
      </c>
      <c r="E96" s="472">
        <v>5062.2</v>
      </c>
    </row>
    <row r="97" spans="1:5" x14ac:dyDescent="0.35">
      <c r="A97" s="471">
        <v>45852</v>
      </c>
      <c r="B97" s="107">
        <v>298</v>
      </c>
      <c r="D97" s="471">
        <v>45852</v>
      </c>
      <c r="E97" s="472">
        <v>5061.83</v>
      </c>
    </row>
    <row r="98" spans="1:5" x14ac:dyDescent="0.35">
      <c r="A98" s="471">
        <v>45851</v>
      </c>
      <c r="B98" s="107">
        <v>299.7</v>
      </c>
      <c r="D98" s="471">
        <v>45851</v>
      </c>
      <c r="E98" s="472">
        <v>5066.4399999999996</v>
      </c>
    </row>
    <row r="99" spans="1:5" x14ac:dyDescent="0.35">
      <c r="A99" s="471">
        <v>45848</v>
      </c>
      <c r="B99" s="107">
        <v>299.3</v>
      </c>
      <c r="D99" s="471">
        <v>45848</v>
      </c>
      <c r="E99" s="472">
        <v>5068.04</v>
      </c>
    </row>
    <row r="100" spans="1:5" x14ac:dyDescent="0.35">
      <c r="A100" s="471">
        <v>45847</v>
      </c>
      <c r="B100" s="107">
        <v>299.60000000000002</v>
      </c>
      <c r="D100" s="471">
        <v>45847</v>
      </c>
      <c r="E100" s="472">
        <v>5035.47</v>
      </c>
    </row>
    <row r="101" spans="1:5" x14ac:dyDescent="0.35">
      <c r="A101" s="471">
        <v>45846</v>
      </c>
      <c r="B101" s="107">
        <v>298.7</v>
      </c>
      <c r="D101" s="471">
        <v>45846</v>
      </c>
      <c r="E101" s="472">
        <v>4981.6400000000003</v>
      </c>
    </row>
    <row r="102" spans="1:5" x14ac:dyDescent="0.35">
      <c r="A102" s="471">
        <v>45845</v>
      </c>
      <c r="B102" s="107">
        <v>299.7</v>
      </c>
      <c r="D102" s="471">
        <v>45845</v>
      </c>
      <c r="E102" s="472">
        <v>4976.16</v>
      </c>
    </row>
    <row r="103" spans="1:5" x14ac:dyDescent="0.35">
      <c r="A103" s="471">
        <v>45841</v>
      </c>
      <c r="B103" s="107">
        <v>299</v>
      </c>
      <c r="D103" s="471">
        <v>45841</v>
      </c>
      <c r="E103" s="472">
        <v>4894.07</v>
      </c>
    </row>
    <row r="104" spans="1:5" x14ac:dyDescent="0.35">
      <c r="A104" s="471">
        <v>45840</v>
      </c>
      <c r="B104" s="107">
        <v>299.89999999999998</v>
      </c>
      <c r="D104" s="471">
        <v>45840</v>
      </c>
      <c r="E104" s="472">
        <v>4865.33</v>
      </c>
    </row>
    <row r="105" spans="1:5" x14ac:dyDescent="0.35">
      <c r="A105" s="471">
        <v>45838</v>
      </c>
      <c r="B105" s="107">
        <v>303.10000000000002</v>
      </c>
      <c r="D105" s="471">
        <v>45838</v>
      </c>
      <c r="E105" s="472">
        <v>4838.3900000000003</v>
      </c>
    </row>
    <row r="106" spans="1:5" x14ac:dyDescent="0.35">
      <c r="A106" s="471">
        <v>45837</v>
      </c>
      <c r="B106" s="107">
        <v>303.5</v>
      </c>
      <c r="D106" s="471">
        <v>45837</v>
      </c>
      <c r="E106" s="472">
        <v>4839.78</v>
      </c>
    </row>
    <row r="107" spans="1:5" x14ac:dyDescent="0.35">
      <c r="A107" s="471">
        <v>45834</v>
      </c>
      <c r="B107" s="107">
        <v>302.7</v>
      </c>
      <c r="D107" s="471">
        <v>45834</v>
      </c>
      <c r="E107" s="472">
        <v>4832.83</v>
      </c>
    </row>
    <row r="108" spans="1:5" x14ac:dyDescent="0.35">
      <c r="A108" s="471">
        <v>45833</v>
      </c>
      <c r="B108" s="107">
        <v>295.8</v>
      </c>
      <c r="D108" s="471">
        <v>45833</v>
      </c>
      <c r="E108" s="472">
        <v>4767.6400000000003</v>
      </c>
    </row>
    <row r="109" spans="1:5" x14ac:dyDescent="0.35">
      <c r="A109" s="471">
        <v>45832</v>
      </c>
      <c r="B109" s="107">
        <v>295.7</v>
      </c>
      <c r="D109" s="471">
        <v>45832</v>
      </c>
      <c r="E109" s="472">
        <v>4717.66</v>
      </c>
    </row>
    <row r="110" spans="1:5" x14ac:dyDescent="0.35">
      <c r="A110" s="471">
        <v>45831</v>
      </c>
      <c r="B110" s="107">
        <v>295.5</v>
      </c>
      <c r="D110" s="471">
        <v>45831</v>
      </c>
      <c r="E110" s="472">
        <v>4695.03</v>
      </c>
    </row>
    <row r="111" spans="1:5" x14ac:dyDescent="0.35">
      <c r="A111" s="471">
        <v>45830</v>
      </c>
      <c r="B111" s="107">
        <v>290</v>
      </c>
      <c r="D111" s="471">
        <v>45830</v>
      </c>
      <c r="E111" s="472">
        <v>4677.6000000000004</v>
      </c>
    </row>
    <row r="112" spans="1:5" x14ac:dyDescent="0.35">
      <c r="A112" s="471">
        <v>45827</v>
      </c>
      <c r="B112" s="107">
        <v>294.2</v>
      </c>
      <c r="D112" s="471">
        <v>45827</v>
      </c>
      <c r="E112" s="472">
        <v>4754.41</v>
      </c>
    </row>
    <row r="113" spans="1:5" x14ac:dyDescent="0.35">
      <c r="A113" s="471">
        <v>45826</v>
      </c>
      <c r="B113" s="107">
        <v>291.39999999999998</v>
      </c>
      <c r="D113" s="471">
        <v>45826</v>
      </c>
      <c r="E113" s="472">
        <v>4776.83</v>
      </c>
    </row>
    <row r="114" spans="1:5" x14ac:dyDescent="0.35">
      <c r="A114" s="471">
        <v>45825</v>
      </c>
      <c r="B114" s="107">
        <v>284.60000000000002</v>
      </c>
      <c r="D114" s="471">
        <v>45825</v>
      </c>
      <c r="E114" s="472">
        <v>4739.6899999999996</v>
      </c>
    </row>
    <row r="115" spans="1:5" x14ac:dyDescent="0.35">
      <c r="A115" s="471">
        <v>45824</v>
      </c>
      <c r="B115" s="107">
        <v>286.39999999999998</v>
      </c>
      <c r="D115" s="471">
        <v>45824</v>
      </c>
      <c r="E115" s="472">
        <v>4783.66</v>
      </c>
    </row>
    <row r="116" spans="1:5" x14ac:dyDescent="0.35">
      <c r="A116" s="471">
        <v>45823</v>
      </c>
      <c r="B116" s="107">
        <v>284.3</v>
      </c>
      <c r="D116" s="471">
        <v>45823</v>
      </c>
      <c r="E116" s="472">
        <v>4724</v>
      </c>
    </row>
    <row r="117" spans="1:5" x14ac:dyDescent="0.35">
      <c r="A117" s="471">
        <v>45812</v>
      </c>
      <c r="B117" s="107">
        <v>286.2</v>
      </c>
      <c r="D117" s="471">
        <v>45812</v>
      </c>
      <c r="E117" s="472">
        <v>4709.09</v>
      </c>
    </row>
    <row r="118" spans="1:5" x14ac:dyDescent="0.35">
      <c r="A118" s="471">
        <v>45811</v>
      </c>
      <c r="B118" s="107">
        <v>284.39999999999998</v>
      </c>
      <c r="D118" s="471">
        <v>45811</v>
      </c>
      <c r="E118" s="472">
        <v>4664.79</v>
      </c>
    </row>
    <row r="119" spans="1:5" x14ac:dyDescent="0.35">
      <c r="A119" s="471">
        <v>45810</v>
      </c>
      <c r="B119" s="107">
        <v>287.2</v>
      </c>
      <c r="D119" s="471">
        <v>45810</v>
      </c>
      <c r="E119" s="472">
        <v>4689.5200000000004</v>
      </c>
    </row>
    <row r="120" spans="1:5" x14ac:dyDescent="0.35">
      <c r="A120" s="471">
        <v>45809</v>
      </c>
      <c r="B120" s="107">
        <v>287.10000000000002</v>
      </c>
      <c r="D120" s="471">
        <v>45809</v>
      </c>
      <c r="E120" s="472">
        <v>4668.41</v>
      </c>
    </row>
    <row r="121" spans="1:5" x14ac:dyDescent="0.35">
      <c r="A121" s="471">
        <v>45806</v>
      </c>
      <c r="B121" s="107">
        <v>283.39999999999998</v>
      </c>
      <c r="D121" s="471">
        <v>45806</v>
      </c>
      <c r="E121" s="472">
        <v>4637.92</v>
      </c>
    </row>
    <row r="122" spans="1:5" x14ac:dyDescent="0.35">
      <c r="A122" s="471">
        <v>45805</v>
      </c>
      <c r="B122" s="107">
        <v>273.2</v>
      </c>
      <c r="D122" s="471">
        <v>45805</v>
      </c>
      <c r="E122" s="472">
        <v>4615.41</v>
      </c>
    </row>
    <row r="123" spans="1:5" x14ac:dyDescent="0.35">
      <c r="A123" s="471">
        <v>45804</v>
      </c>
      <c r="B123" s="107">
        <v>273.60000000000002</v>
      </c>
      <c r="D123" s="471">
        <v>45804</v>
      </c>
      <c r="E123" s="472">
        <v>4678.13</v>
      </c>
    </row>
    <row r="124" spans="1:5" x14ac:dyDescent="0.35">
      <c r="A124" s="471">
        <v>45803</v>
      </c>
      <c r="B124" s="107">
        <v>271.2</v>
      </c>
      <c r="D124" s="471">
        <v>45803</v>
      </c>
      <c r="E124" s="472">
        <v>4719.3900000000003</v>
      </c>
    </row>
    <row r="125" spans="1:5" x14ac:dyDescent="0.35">
      <c r="A125" s="471">
        <v>45802</v>
      </c>
      <c r="B125" s="107">
        <v>272.3</v>
      </c>
      <c r="D125" s="471">
        <v>45802</v>
      </c>
      <c r="E125" s="472">
        <v>4736.34</v>
      </c>
    </row>
    <row r="126" spans="1:5" x14ac:dyDescent="0.35">
      <c r="A126" s="471">
        <v>45801</v>
      </c>
      <c r="B126" s="107">
        <v>274.5</v>
      </c>
      <c r="D126" s="471">
        <v>45799</v>
      </c>
      <c r="E126" s="472">
        <v>4785.12</v>
      </c>
    </row>
    <row r="127" spans="1:5" x14ac:dyDescent="0.35">
      <c r="A127" s="471">
        <v>45799</v>
      </c>
      <c r="B127" s="107">
        <v>281.89999999999998</v>
      </c>
      <c r="D127" s="471">
        <v>45798</v>
      </c>
      <c r="E127" s="472">
        <v>4801.32</v>
      </c>
    </row>
    <row r="128" spans="1:5" x14ac:dyDescent="0.35">
      <c r="A128" s="471">
        <v>45798</v>
      </c>
      <c r="B128" s="107">
        <v>288.39999999999998</v>
      </c>
      <c r="D128" s="471">
        <v>45797</v>
      </c>
      <c r="E128" s="472">
        <v>4795.05</v>
      </c>
    </row>
    <row r="129" spans="1:5" x14ac:dyDescent="0.35">
      <c r="A129" s="471">
        <v>45797</v>
      </c>
      <c r="B129" s="107">
        <v>294.5</v>
      </c>
      <c r="D129" s="471">
        <v>45796</v>
      </c>
      <c r="E129" s="472">
        <v>4776.33</v>
      </c>
    </row>
    <row r="130" spans="1:5" x14ac:dyDescent="0.35">
      <c r="A130" s="471">
        <v>45796</v>
      </c>
      <c r="B130" s="107">
        <v>294.10000000000002</v>
      </c>
      <c r="D130" s="471">
        <v>45795</v>
      </c>
      <c r="E130" s="472">
        <v>4791.09</v>
      </c>
    </row>
    <row r="131" spans="1:5" x14ac:dyDescent="0.35">
      <c r="A131" s="471">
        <v>45795</v>
      </c>
      <c r="B131" s="107">
        <v>296.2</v>
      </c>
      <c r="D131" s="471">
        <v>45794</v>
      </c>
      <c r="E131" s="472">
        <v>4820.47</v>
      </c>
    </row>
    <row r="132" spans="1:5" x14ac:dyDescent="0.35">
      <c r="A132" s="471">
        <v>45792</v>
      </c>
      <c r="B132" s="107">
        <v>294.89999999999998</v>
      </c>
      <c r="D132" s="471">
        <v>45792</v>
      </c>
      <c r="E132" s="472">
        <v>4781.0200000000004</v>
      </c>
    </row>
    <row r="133" spans="1:5" x14ac:dyDescent="0.35">
      <c r="A133" s="471">
        <v>45791</v>
      </c>
      <c r="B133" s="107">
        <v>296.89999999999998</v>
      </c>
      <c r="D133" s="471">
        <v>45791</v>
      </c>
      <c r="E133" s="472">
        <v>4835.6000000000004</v>
      </c>
    </row>
    <row r="134" spans="1:5" x14ac:dyDescent="0.35">
      <c r="A134" s="471">
        <v>45790</v>
      </c>
      <c r="B134" s="107">
        <v>297</v>
      </c>
      <c r="D134" s="471">
        <v>45790</v>
      </c>
      <c r="E134" s="472">
        <v>4874.58</v>
      </c>
    </row>
    <row r="135" spans="1:5" x14ac:dyDescent="0.35">
      <c r="A135" s="471">
        <v>45789</v>
      </c>
      <c r="B135" s="107">
        <v>298.10000000000002</v>
      </c>
      <c r="D135" s="471">
        <v>45789</v>
      </c>
      <c r="E135" s="472">
        <v>4921.5600000000004</v>
      </c>
    </row>
    <row r="136" spans="1:5" x14ac:dyDescent="0.35">
      <c r="A136" s="471">
        <v>45785</v>
      </c>
      <c r="B136" s="107">
        <v>298</v>
      </c>
      <c r="D136" s="471">
        <v>45785</v>
      </c>
      <c r="E136" s="472">
        <v>4902.28</v>
      </c>
    </row>
    <row r="137" spans="1:5" x14ac:dyDescent="0.35">
      <c r="A137" s="471">
        <v>45784</v>
      </c>
      <c r="B137" s="107">
        <v>297.3</v>
      </c>
      <c r="D137" s="471">
        <v>45784</v>
      </c>
      <c r="E137" s="472">
        <v>4802.42</v>
      </c>
    </row>
    <row r="138" spans="1:5" x14ac:dyDescent="0.35">
      <c r="A138" s="471">
        <v>45783</v>
      </c>
      <c r="B138" s="107">
        <v>302.10000000000002</v>
      </c>
      <c r="D138" s="471">
        <v>45783</v>
      </c>
      <c r="E138" s="472">
        <v>4951.7299999999996</v>
      </c>
    </row>
    <row r="139" spans="1:5" x14ac:dyDescent="0.35">
      <c r="A139" s="471">
        <v>45782</v>
      </c>
      <c r="B139" s="107">
        <v>304.10000000000002</v>
      </c>
      <c r="D139" s="471">
        <v>45782</v>
      </c>
      <c r="E139" s="472">
        <v>4964.67</v>
      </c>
    </row>
    <row r="140" spans="1:5" x14ac:dyDescent="0.35">
      <c r="A140" s="471">
        <v>45781</v>
      </c>
      <c r="B140" s="107">
        <v>300.2</v>
      </c>
      <c r="D140" s="471">
        <v>45781</v>
      </c>
      <c r="E140" s="472">
        <v>4956.25</v>
      </c>
    </row>
    <row r="141" spans="1:5" x14ac:dyDescent="0.35">
      <c r="A141" s="471">
        <v>45777</v>
      </c>
      <c r="B141" s="107">
        <v>299.60000000000002</v>
      </c>
      <c r="D141" s="471">
        <v>45777</v>
      </c>
      <c r="E141" s="472">
        <v>4917.92</v>
      </c>
    </row>
    <row r="142" spans="1:5" x14ac:dyDescent="0.35">
      <c r="A142" s="471">
        <v>45776</v>
      </c>
      <c r="B142" s="107">
        <v>300.2</v>
      </c>
      <c r="D142" s="471">
        <v>45776</v>
      </c>
      <c r="E142" s="472">
        <v>4935.62</v>
      </c>
    </row>
    <row r="143" spans="1:5" x14ac:dyDescent="0.35">
      <c r="A143" s="471">
        <v>45775</v>
      </c>
      <c r="B143" s="107">
        <v>302.5</v>
      </c>
      <c r="D143" s="471">
        <v>45775</v>
      </c>
      <c r="E143" s="472">
        <v>4952.79</v>
      </c>
    </row>
    <row r="144" spans="1:5" x14ac:dyDescent="0.35">
      <c r="A144" s="471">
        <v>45774</v>
      </c>
      <c r="B144" s="107">
        <v>307.8</v>
      </c>
      <c r="D144" s="471">
        <v>45774</v>
      </c>
      <c r="E144" s="472">
        <v>4995.47</v>
      </c>
    </row>
    <row r="145" spans="1:5" x14ac:dyDescent="0.35">
      <c r="A145" s="471">
        <v>45771</v>
      </c>
      <c r="B145" s="107">
        <v>320.5</v>
      </c>
      <c r="D145" s="471">
        <v>45771</v>
      </c>
      <c r="E145" s="472">
        <v>4972.6000000000004</v>
      </c>
    </row>
    <row r="146" spans="1:5" x14ac:dyDescent="0.35">
      <c r="A146" s="471">
        <v>45770</v>
      </c>
      <c r="B146" s="107">
        <v>321.3</v>
      </c>
      <c r="D146" s="471">
        <v>45770</v>
      </c>
      <c r="E146" s="472">
        <v>5022.47</v>
      </c>
    </row>
    <row r="147" spans="1:5" x14ac:dyDescent="0.35">
      <c r="A147" s="471">
        <v>45769</v>
      </c>
      <c r="B147" s="107">
        <v>319.7</v>
      </c>
      <c r="D147" s="471">
        <v>45769</v>
      </c>
      <c r="E147" s="472">
        <v>5026.57</v>
      </c>
    </row>
    <row r="148" spans="1:5" x14ac:dyDescent="0.35">
      <c r="A148" s="471">
        <v>45768</v>
      </c>
      <c r="B148" s="107">
        <v>319.5</v>
      </c>
      <c r="D148" s="471">
        <v>45768</v>
      </c>
      <c r="E148" s="472">
        <v>5044.8500000000004</v>
      </c>
    </row>
    <row r="149" spans="1:5" x14ac:dyDescent="0.35">
      <c r="A149" s="471">
        <v>45767</v>
      </c>
      <c r="B149" s="107">
        <v>321.10000000000002</v>
      </c>
      <c r="D149" s="471">
        <v>45767</v>
      </c>
      <c r="E149" s="472">
        <v>5074.38</v>
      </c>
    </row>
    <row r="150" spans="1:5" x14ac:dyDescent="0.35">
      <c r="A150" s="471">
        <v>45764</v>
      </c>
      <c r="B150" s="107">
        <v>319.89999999999998</v>
      </c>
      <c r="D150" s="471">
        <v>45764</v>
      </c>
      <c r="E150" s="472">
        <v>5097.33</v>
      </c>
    </row>
    <row r="151" spans="1:5" x14ac:dyDescent="0.35">
      <c r="A151" s="471">
        <v>45763</v>
      </c>
      <c r="B151" s="107">
        <v>320.89999999999998</v>
      </c>
      <c r="D151" s="471">
        <v>45763</v>
      </c>
      <c r="E151" s="472">
        <v>5105.6899999999996</v>
      </c>
    </row>
    <row r="152" spans="1:5" x14ac:dyDescent="0.35">
      <c r="A152" s="471">
        <v>45762</v>
      </c>
      <c r="B152" s="107">
        <v>320.8</v>
      </c>
      <c r="D152" s="471">
        <v>45762</v>
      </c>
      <c r="E152" s="472">
        <v>5132.0200000000004</v>
      </c>
    </row>
    <row r="153" spans="1:5" x14ac:dyDescent="0.35">
      <c r="A153" s="471">
        <v>45760</v>
      </c>
      <c r="B153" s="107">
        <v>320.10000000000002</v>
      </c>
      <c r="D153" s="471">
        <v>45760</v>
      </c>
      <c r="E153" s="472">
        <v>5169.68</v>
      </c>
    </row>
    <row r="154" spans="1:5" x14ac:dyDescent="0.35">
      <c r="A154" s="471">
        <v>45757</v>
      </c>
      <c r="B154" s="107">
        <v>320.60000000000002</v>
      </c>
      <c r="D154" s="471">
        <v>45757</v>
      </c>
      <c r="E154" s="472">
        <v>5205.2299999999996</v>
      </c>
    </row>
    <row r="155" spans="1:5" x14ac:dyDescent="0.35">
      <c r="A155" s="471">
        <v>45756</v>
      </c>
      <c r="B155" s="107">
        <v>320.8</v>
      </c>
      <c r="D155" s="471">
        <v>45756</v>
      </c>
      <c r="E155" s="472">
        <v>5196.05</v>
      </c>
    </row>
    <row r="156" spans="1:5" x14ac:dyDescent="0.35">
      <c r="A156" s="471">
        <v>45755</v>
      </c>
      <c r="B156" s="107">
        <v>320.5</v>
      </c>
      <c r="D156" s="471">
        <v>45755</v>
      </c>
      <c r="E156" s="472">
        <v>5185.83</v>
      </c>
    </row>
    <row r="157" spans="1:5" x14ac:dyDescent="0.35">
      <c r="A157" s="471">
        <v>45754</v>
      </c>
      <c r="B157" s="107">
        <v>322.5</v>
      </c>
      <c r="D157" s="471">
        <v>45754</v>
      </c>
      <c r="E157" s="472">
        <v>5196.7</v>
      </c>
    </row>
    <row r="158" spans="1:5" x14ac:dyDescent="0.35">
      <c r="A158" s="471">
        <v>45753</v>
      </c>
      <c r="B158" s="107">
        <v>320.8</v>
      </c>
      <c r="D158" s="471">
        <v>45753</v>
      </c>
      <c r="E158" s="472">
        <v>5205.1899999999996</v>
      </c>
    </row>
    <row r="159" spans="1:5" x14ac:dyDescent="0.35">
      <c r="A159" s="471">
        <v>45743</v>
      </c>
      <c r="B159" s="107">
        <v>321.89999999999998</v>
      </c>
      <c r="D159" s="471">
        <v>45743</v>
      </c>
      <c r="E159" s="472">
        <v>5219.16</v>
      </c>
    </row>
    <row r="160" spans="1:5" x14ac:dyDescent="0.35">
      <c r="A160" s="471">
        <v>45741</v>
      </c>
      <c r="B160" s="107">
        <v>319.5</v>
      </c>
      <c r="D160" s="471">
        <v>45741</v>
      </c>
      <c r="E160" s="472">
        <v>5214.21</v>
      </c>
    </row>
    <row r="161" spans="1:5" x14ac:dyDescent="0.35">
      <c r="A161" s="471">
        <v>45740</v>
      </c>
      <c r="B161" s="107">
        <v>318.39999999999998</v>
      </c>
      <c r="D161" s="471">
        <v>45740</v>
      </c>
      <c r="E161" s="472">
        <v>5196.8900000000003</v>
      </c>
    </row>
    <row r="162" spans="1:5" x14ac:dyDescent="0.35">
      <c r="A162" s="471">
        <v>45739</v>
      </c>
      <c r="B162" s="107">
        <v>319.89999999999998</v>
      </c>
      <c r="D162" s="471">
        <v>45739</v>
      </c>
      <c r="E162" s="472">
        <v>5183.3599999999997</v>
      </c>
    </row>
    <row r="163" spans="1:5" x14ac:dyDescent="0.35">
      <c r="A163" s="471">
        <v>45736</v>
      </c>
      <c r="B163" s="107">
        <v>319.60000000000002</v>
      </c>
      <c r="D163" s="471">
        <v>45736</v>
      </c>
      <c r="E163" s="472">
        <v>5201.7</v>
      </c>
    </row>
    <row r="164" spans="1:5" x14ac:dyDescent="0.35">
      <c r="A164" s="471">
        <v>45735</v>
      </c>
      <c r="B164" s="107">
        <v>319.7</v>
      </c>
      <c r="D164" s="471">
        <v>45735</v>
      </c>
      <c r="E164" s="472">
        <v>5207.3599999999997</v>
      </c>
    </row>
    <row r="165" spans="1:5" x14ac:dyDescent="0.35">
      <c r="A165" s="471">
        <v>45734</v>
      </c>
      <c r="B165" s="107">
        <v>321.2</v>
      </c>
      <c r="D165" s="471">
        <v>45734</v>
      </c>
      <c r="E165" s="472">
        <v>5210.29</v>
      </c>
    </row>
    <row r="166" spans="1:5" x14ac:dyDescent="0.35">
      <c r="A166" s="471">
        <v>45733</v>
      </c>
      <c r="B166" s="107">
        <v>322.60000000000002</v>
      </c>
      <c r="D166" s="471">
        <v>45733</v>
      </c>
      <c r="E166" s="472">
        <v>5205.4399999999996</v>
      </c>
    </row>
    <row r="167" spans="1:5" x14ac:dyDescent="0.35">
      <c r="A167" s="471">
        <v>45732</v>
      </c>
      <c r="B167" s="107">
        <v>324.8</v>
      </c>
      <c r="D167" s="471">
        <v>45732</v>
      </c>
      <c r="E167" s="472">
        <v>5221.95</v>
      </c>
    </row>
    <row r="168" spans="1:5" x14ac:dyDescent="0.35">
      <c r="A168" s="471">
        <v>45729</v>
      </c>
      <c r="B168" s="107">
        <v>325.39999999999998</v>
      </c>
      <c r="D168" s="471">
        <v>45729</v>
      </c>
      <c r="E168" s="472">
        <v>5225.6099999999997</v>
      </c>
    </row>
    <row r="169" spans="1:5" x14ac:dyDescent="0.35">
      <c r="A169" s="471">
        <v>45728</v>
      </c>
      <c r="B169" s="107">
        <v>325.5</v>
      </c>
      <c r="D169" s="471">
        <v>45728</v>
      </c>
      <c r="E169" s="472">
        <v>5216.07</v>
      </c>
    </row>
    <row r="170" spans="1:5" x14ac:dyDescent="0.35">
      <c r="A170" s="471">
        <v>45727</v>
      </c>
      <c r="B170" s="107">
        <v>324.89999999999998</v>
      </c>
      <c r="D170" s="471">
        <v>45727</v>
      </c>
      <c r="E170" s="472">
        <v>5199.3</v>
      </c>
    </row>
    <row r="171" spans="1:5" x14ac:dyDescent="0.35">
      <c r="A171" s="471">
        <v>45726</v>
      </c>
      <c r="B171" s="107">
        <v>326.8</v>
      </c>
      <c r="D171" s="471">
        <v>45726</v>
      </c>
      <c r="E171" s="472">
        <v>5190.95</v>
      </c>
    </row>
    <row r="172" spans="1:5" x14ac:dyDescent="0.35">
      <c r="A172" s="471">
        <v>45725</v>
      </c>
      <c r="B172" s="107">
        <v>323.89999999999998</v>
      </c>
      <c r="D172" s="471">
        <v>45725</v>
      </c>
      <c r="E172" s="472">
        <v>5174.4399999999996</v>
      </c>
    </row>
    <row r="173" spans="1:5" x14ac:dyDescent="0.35">
      <c r="A173" s="471">
        <v>45722</v>
      </c>
      <c r="B173" s="107">
        <v>324.8</v>
      </c>
      <c r="D173" s="471">
        <v>45722</v>
      </c>
      <c r="E173" s="472">
        <v>5203.96</v>
      </c>
    </row>
    <row r="174" spans="1:5" x14ac:dyDescent="0.35">
      <c r="A174" s="471">
        <v>45721</v>
      </c>
      <c r="B174" s="107">
        <v>325.3</v>
      </c>
      <c r="D174" s="471">
        <v>45721</v>
      </c>
      <c r="E174" s="472">
        <v>5196.66</v>
      </c>
    </row>
    <row r="175" spans="1:5" x14ac:dyDescent="0.35">
      <c r="A175" s="471">
        <v>45720</v>
      </c>
      <c r="B175" s="107">
        <v>325.39999999999998</v>
      </c>
      <c r="D175" s="471">
        <v>45720</v>
      </c>
      <c r="E175" s="472">
        <v>5194.1099999999997</v>
      </c>
    </row>
    <row r="176" spans="1:5" x14ac:dyDescent="0.35">
      <c r="A176" s="471">
        <v>45719</v>
      </c>
      <c r="B176" s="107">
        <v>326.89999999999998</v>
      </c>
      <c r="D176" s="471">
        <v>45719</v>
      </c>
      <c r="E176" s="472">
        <v>5220.67</v>
      </c>
    </row>
    <row r="177" spans="1:5" x14ac:dyDescent="0.35">
      <c r="A177" s="471">
        <v>45718</v>
      </c>
      <c r="B177" s="107">
        <v>324.89999999999998</v>
      </c>
      <c r="D177" s="471">
        <v>45718</v>
      </c>
      <c r="E177" s="472">
        <v>5236.8500000000004</v>
      </c>
    </row>
    <row r="178" spans="1:5" x14ac:dyDescent="0.35">
      <c r="A178" s="471">
        <v>45715</v>
      </c>
      <c r="B178" s="107">
        <v>328.2</v>
      </c>
      <c r="D178" s="471">
        <v>45715</v>
      </c>
      <c r="E178" s="472">
        <v>5247.3</v>
      </c>
    </row>
    <row r="179" spans="1:5" x14ac:dyDescent="0.35">
      <c r="A179" s="471">
        <v>45713</v>
      </c>
      <c r="B179" s="107">
        <v>344.1</v>
      </c>
      <c r="D179" s="471">
        <v>45714</v>
      </c>
      <c r="E179" s="472">
        <v>5253.79</v>
      </c>
    </row>
    <row r="180" spans="1:5" x14ac:dyDescent="0.35">
      <c r="A180" s="471">
        <v>45712</v>
      </c>
      <c r="B180" s="107">
        <v>344.9</v>
      </c>
      <c r="D180" s="471">
        <v>45713</v>
      </c>
      <c r="E180" s="472">
        <v>5267.89</v>
      </c>
    </row>
    <row r="181" spans="1:5" x14ac:dyDescent="0.35">
      <c r="A181" s="471">
        <v>45711</v>
      </c>
      <c r="B181" s="107">
        <v>346.4</v>
      </c>
      <c r="D181" s="471">
        <v>45712</v>
      </c>
      <c r="E181" s="472">
        <v>5234.95</v>
      </c>
    </row>
    <row r="182" spans="1:5" x14ac:dyDescent="0.35">
      <c r="A182" s="471">
        <v>45708</v>
      </c>
      <c r="B182" s="107">
        <v>345.7</v>
      </c>
      <c r="D182" s="471">
        <v>45711</v>
      </c>
      <c r="E182" s="472">
        <v>5224.37</v>
      </c>
    </row>
    <row r="183" spans="1:5" x14ac:dyDescent="0.35">
      <c r="A183" s="471">
        <v>45707</v>
      </c>
      <c r="B183" s="107">
        <v>343.7</v>
      </c>
      <c r="D183" s="471">
        <v>45708</v>
      </c>
      <c r="E183" s="472">
        <v>5200.37</v>
      </c>
    </row>
    <row r="184" spans="1:5" x14ac:dyDescent="0.35">
      <c r="A184" s="471">
        <v>45706</v>
      </c>
      <c r="B184" s="107">
        <v>343.8</v>
      </c>
      <c r="D184" s="471">
        <v>45707</v>
      </c>
      <c r="E184" s="472">
        <v>5192.4399999999996</v>
      </c>
    </row>
    <row r="185" spans="1:5" x14ac:dyDescent="0.35">
      <c r="A185" s="471">
        <v>45705</v>
      </c>
      <c r="B185" s="107">
        <v>345.8</v>
      </c>
      <c r="D185" s="471">
        <v>45706</v>
      </c>
      <c r="E185" s="472">
        <v>5203.2</v>
      </c>
    </row>
    <row r="186" spans="1:5" x14ac:dyDescent="0.35">
      <c r="A186" s="471">
        <v>45704</v>
      </c>
      <c r="B186" s="107">
        <v>340.6</v>
      </c>
      <c r="D186" s="471">
        <v>45705</v>
      </c>
      <c r="E186" s="472">
        <v>5211.53</v>
      </c>
    </row>
    <row r="187" spans="1:5" x14ac:dyDescent="0.35">
      <c r="A187" s="471">
        <v>45701</v>
      </c>
      <c r="B187" s="107">
        <v>338.6</v>
      </c>
      <c r="D187" s="471">
        <v>45704</v>
      </c>
      <c r="E187" s="472">
        <v>5198.78</v>
      </c>
    </row>
    <row r="188" spans="1:5" x14ac:dyDescent="0.35">
      <c r="A188" s="471">
        <v>45700</v>
      </c>
      <c r="B188" s="107">
        <v>336.9</v>
      </c>
      <c r="D188" s="471">
        <v>45701</v>
      </c>
      <c r="E188" s="472">
        <v>5201.4799999999996</v>
      </c>
    </row>
    <row r="189" spans="1:5" x14ac:dyDescent="0.35">
      <c r="A189" s="471">
        <v>45699</v>
      </c>
      <c r="B189" s="107">
        <v>337.1</v>
      </c>
      <c r="D189" s="471">
        <v>45700</v>
      </c>
      <c r="E189" s="472">
        <v>5189.62</v>
      </c>
    </row>
    <row r="190" spans="1:5" x14ac:dyDescent="0.35">
      <c r="A190" s="471">
        <v>45698</v>
      </c>
      <c r="B190" s="107">
        <v>337.6</v>
      </c>
      <c r="D190" s="471">
        <v>45699</v>
      </c>
      <c r="E190" s="472">
        <v>5192.05</v>
      </c>
    </row>
    <row r="191" spans="1:5" x14ac:dyDescent="0.35">
      <c r="A191" s="471">
        <v>45697</v>
      </c>
      <c r="B191" s="107">
        <v>336.6</v>
      </c>
      <c r="D191" s="471">
        <v>45698</v>
      </c>
      <c r="E191" s="472">
        <v>5174.28</v>
      </c>
    </row>
    <row r="192" spans="1:5" x14ac:dyDescent="0.35">
      <c r="A192" s="471">
        <v>45694</v>
      </c>
      <c r="B192" s="107">
        <v>337.8</v>
      </c>
      <c r="D192" s="471">
        <v>45697</v>
      </c>
      <c r="E192" s="472">
        <v>5165.88</v>
      </c>
    </row>
    <row r="193" spans="1:5" x14ac:dyDescent="0.35">
      <c r="A193" s="471">
        <v>45693</v>
      </c>
      <c r="B193" s="107">
        <v>338</v>
      </c>
      <c r="D193" s="471">
        <v>45694</v>
      </c>
      <c r="E193" s="472">
        <v>5179.18</v>
      </c>
    </row>
    <row r="194" spans="1:5" x14ac:dyDescent="0.35">
      <c r="A194" s="471">
        <v>45692</v>
      </c>
      <c r="B194" s="107">
        <v>338.6</v>
      </c>
      <c r="D194" s="471">
        <v>45693</v>
      </c>
      <c r="E194" s="472">
        <v>5170.0600000000004</v>
      </c>
    </row>
    <row r="195" spans="1:5" x14ac:dyDescent="0.35">
      <c r="A195" s="471">
        <v>45691</v>
      </c>
      <c r="B195" s="107">
        <v>337</v>
      </c>
      <c r="D195" s="471">
        <v>45692</v>
      </c>
      <c r="E195" s="472">
        <v>5147.34</v>
      </c>
    </row>
    <row r="196" spans="1:5" x14ac:dyDescent="0.35">
      <c r="A196" s="471">
        <v>45690</v>
      </c>
      <c r="B196" s="107">
        <v>336.8</v>
      </c>
      <c r="D196" s="471">
        <v>45691</v>
      </c>
      <c r="E196" s="472">
        <v>5145.84</v>
      </c>
    </row>
    <row r="197" spans="1:5" x14ac:dyDescent="0.35">
      <c r="A197" s="471">
        <v>45687</v>
      </c>
      <c r="B197" s="107">
        <v>335.4</v>
      </c>
      <c r="D197" s="471">
        <v>45690</v>
      </c>
      <c r="E197" s="472">
        <v>5126.1499999999996</v>
      </c>
    </row>
    <row r="198" spans="1:5" x14ac:dyDescent="0.35">
      <c r="A198" s="471">
        <v>45686</v>
      </c>
      <c r="B198" s="107">
        <v>333.1</v>
      </c>
      <c r="D198" s="471">
        <v>45687</v>
      </c>
      <c r="E198" s="472">
        <v>5112.8999999999996</v>
      </c>
    </row>
    <row r="199" spans="1:5" x14ac:dyDescent="0.35">
      <c r="A199" s="471">
        <v>45685</v>
      </c>
      <c r="B199" s="107">
        <v>331.7</v>
      </c>
      <c r="D199" s="471">
        <v>45686</v>
      </c>
      <c r="E199" s="472">
        <v>5112.51</v>
      </c>
    </row>
    <row r="200" spans="1:5" x14ac:dyDescent="0.35">
      <c r="A200" s="471">
        <v>45684</v>
      </c>
      <c r="B200" s="107">
        <v>330.8</v>
      </c>
      <c r="D200" s="471">
        <v>45685</v>
      </c>
      <c r="E200" s="472">
        <v>5126.42</v>
      </c>
    </row>
    <row r="201" spans="1:5" x14ac:dyDescent="0.35">
      <c r="A201" s="471">
        <v>45683</v>
      </c>
      <c r="B201" s="107">
        <v>330.1</v>
      </c>
      <c r="D201" s="471">
        <v>45684</v>
      </c>
      <c r="E201" s="472">
        <v>5130.0600000000004</v>
      </c>
    </row>
    <row r="202" spans="1:5" x14ac:dyDescent="0.35">
      <c r="A202" s="471">
        <v>45680</v>
      </c>
      <c r="B202" s="107">
        <v>333.7</v>
      </c>
      <c r="D202" s="471">
        <v>45680</v>
      </c>
      <c r="E202" s="472">
        <v>5166.53</v>
      </c>
    </row>
    <row r="203" spans="1:5" x14ac:dyDescent="0.35">
      <c r="A203" s="471">
        <v>45679</v>
      </c>
      <c r="B203" s="107">
        <v>335.7</v>
      </c>
      <c r="D203" s="471">
        <v>45679</v>
      </c>
      <c r="E203" s="472">
        <v>5177.24</v>
      </c>
    </row>
    <row r="204" spans="1:5" x14ac:dyDescent="0.35">
      <c r="A204" s="471">
        <v>45678</v>
      </c>
      <c r="B204" s="107">
        <v>335.8</v>
      </c>
      <c r="D204" s="471">
        <v>45678</v>
      </c>
      <c r="E204" s="472">
        <v>5202.62</v>
      </c>
    </row>
    <row r="205" spans="1:5" x14ac:dyDescent="0.35">
      <c r="A205" s="471">
        <v>45677</v>
      </c>
      <c r="B205" s="107">
        <v>333.1</v>
      </c>
      <c r="D205" s="471">
        <v>45677</v>
      </c>
      <c r="E205" s="472">
        <v>5195.83</v>
      </c>
    </row>
    <row r="206" spans="1:5" x14ac:dyDescent="0.35">
      <c r="A206" s="471">
        <v>45676</v>
      </c>
      <c r="B206" s="107">
        <v>332.5</v>
      </c>
      <c r="D206" s="471">
        <v>45673</v>
      </c>
      <c r="E206" s="472">
        <v>5133.92</v>
      </c>
    </row>
    <row r="207" spans="1:5" x14ac:dyDescent="0.35">
      <c r="A207" s="471">
        <v>45673</v>
      </c>
      <c r="B207" s="107">
        <v>331.1</v>
      </c>
      <c r="D207" s="471">
        <v>45672</v>
      </c>
      <c r="E207" s="472">
        <v>5142.5200000000004</v>
      </c>
    </row>
    <row r="208" spans="1:5" x14ac:dyDescent="0.35">
      <c r="A208" s="471">
        <v>45672</v>
      </c>
      <c r="B208" s="107">
        <v>329.4</v>
      </c>
      <c r="D208" s="471">
        <v>45671</v>
      </c>
      <c r="E208" s="472">
        <v>5150.87</v>
      </c>
    </row>
    <row r="209" spans="1:5" x14ac:dyDescent="0.35">
      <c r="A209" s="471">
        <v>45671</v>
      </c>
      <c r="B209" s="107">
        <v>332.9</v>
      </c>
      <c r="D209" s="471">
        <v>45670</v>
      </c>
      <c r="E209" s="472">
        <v>5151.88</v>
      </c>
    </row>
    <row r="210" spans="1:5" x14ac:dyDescent="0.35">
      <c r="A210" s="471">
        <v>45670</v>
      </c>
      <c r="B210" s="107">
        <v>339.1</v>
      </c>
      <c r="D210" s="471">
        <v>45666</v>
      </c>
      <c r="E210" s="472">
        <v>5194.43</v>
      </c>
    </row>
    <row r="211" spans="1:5" x14ac:dyDescent="0.35">
      <c r="A211" s="471">
        <v>45669</v>
      </c>
      <c r="B211" s="107">
        <v>335</v>
      </c>
      <c r="D211" s="471">
        <v>45665</v>
      </c>
      <c r="E211" s="472">
        <v>5185</v>
      </c>
    </row>
    <row r="212" spans="1:5" x14ac:dyDescent="0.35">
      <c r="A212" s="471">
        <v>45666</v>
      </c>
      <c r="B212" s="107">
        <v>332.4</v>
      </c>
      <c r="D212" s="471">
        <v>45664</v>
      </c>
      <c r="E212" s="472">
        <v>5190.78</v>
      </c>
    </row>
    <row r="213" spans="1:5" x14ac:dyDescent="0.35">
      <c r="A213" s="471">
        <v>45665</v>
      </c>
      <c r="B213" s="107">
        <v>326.7</v>
      </c>
      <c r="D213" s="471">
        <v>45663</v>
      </c>
      <c r="E213" s="472">
        <v>5198.84</v>
      </c>
    </row>
    <row r="214" spans="1:5" x14ac:dyDescent="0.35">
      <c r="A214" s="471">
        <v>45664</v>
      </c>
      <c r="B214" s="107">
        <v>326.10000000000002</v>
      </c>
      <c r="D214" s="471">
        <v>45659</v>
      </c>
      <c r="E214" s="472">
        <v>5199.62</v>
      </c>
    </row>
    <row r="215" spans="1:5" x14ac:dyDescent="0.35">
      <c r="A215" s="471">
        <v>45663</v>
      </c>
      <c r="B215" s="107">
        <v>325.2</v>
      </c>
      <c r="D215" s="471">
        <v>45658</v>
      </c>
      <c r="E215" s="472">
        <v>5218.16</v>
      </c>
    </row>
    <row r="216" spans="1:5" x14ac:dyDescent="0.35">
      <c r="A216" s="471">
        <v>45662</v>
      </c>
      <c r="B216" s="107">
        <v>324.7</v>
      </c>
      <c r="D216" s="471">
        <v>45656</v>
      </c>
      <c r="E216" s="472">
        <v>5216.4399999999996</v>
      </c>
    </row>
    <row r="217" spans="1:5" x14ac:dyDescent="0.35">
      <c r="A217" s="471">
        <v>45659</v>
      </c>
      <c r="B217" s="107">
        <v>324.2</v>
      </c>
      <c r="D217" s="471">
        <v>45652</v>
      </c>
      <c r="E217" s="472">
        <v>5184.45</v>
      </c>
    </row>
    <row r="218" spans="1:5" x14ac:dyDescent="0.35">
      <c r="A218" s="471">
        <v>45658</v>
      </c>
      <c r="B218" s="107">
        <v>325.10000000000002</v>
      </c>
      <c r="D218" s="471">
        <v>45650</v>
      </c>
      <c r="E218" s="472">
        <v>5169.32</v>
      </c>
    </row>
    <row r="219" spans="1:5" x14ac:dyDescent="0.35">
      <c r="A219" s="471">
        <v>45656</v>
      </c>
      <c r="B219" s="107">
        <v>323.10000000000002</v>
      </c>
      <c r="D219" s="471">
        <v>45649</v>
      </c>
      <c r="E219" s="472">
        <v>5170.79</v>
      </c>
    </row>
    <row r="220" spans="1:5" x14ac:dyDescent="0.35">
      <c r="A220" s="471">
        <v>45655</v>
      </c>
      <c r="B220" s="107">
        <v>322.5</v>
      </c>
      <c r="D220" s="471">
        <v>45645</v>
      </c>
      <c r="E220" s="472">
        <v>5221.57</v>
      </c>
    </row>
    <row r="221" spans="1:5" x14ac:dyDescent="0.35">
      <c r="A221" s="471">
        <v>45652</v>
      </c>
      <c r="B221" s="107">
        <v>322.5</v>
      </c>
      <c r="D221" s="471">
        <v>45644</v>
      </c>
      <c r="E221" s="472">
        <v>5208.21</v>
      </c>
    </row>
    <row r="222" spans="1:5" x14ac:dyDescent="0.35">
      <c r="A222" s="471">
        <v>45650</v>
      </c>
      <c r="B222" s="107">
        <v>322.5</v>
      </c>
      <c r="D222" s="471">
        <v>45643</v>
      </c>
      <c r="E222" s="472">
        <v>5224.58</v>
      </c>
    </row>
    <row r="223" spans="1:5" x14ac:dyDescent="0.35">
      <c r="A223" s="471">
        <v>45649</v>
      </c>
      <c r="B223" s="107">
        <v>323.5</v>
      </c>
      <c r="D223" s="471">
        <v>45638</v>
      </c>
      <c r="E223" s="472">
        <v>5105.43</v>
      </c>
    </row>
    <row r="224" spans="1:5" x14ac:dyDescent="0.35">
      <c r="A224" s="471">
        <v>45648</v>
      </c>
      <c r="B224" s="107">
        <v>325.2</v>
      </c>
      <c r="D224" s="471">
        <v>45637</v>
      </c>
      <c r="E224" s="472">
        <v>5124.5</v>
      </c>
    </row>
    <row r="225" spans="1:5" x14ac:dyDescent="0.35">
      <c r="A225" s="471">
        <v>45645</v>
      </c>
      <c r="B225" s="107">
        <v>325.39999999999998</v>
      </c>
      <c r="D225" s="471">
        <v>45636</v>
      </c>
      <c r="E225" s="472">
        <v>5166.83</v>
      </c>
    </row>
    <row r="226" spans="1:5" x14ac:dyDescent="0.35">
      <c r="A226" s="471">
        <v>45644</v>
      </c>
      <c r="B226" s="107">
        <v>324.2</v>
      </c>
      <c r="D226" s="471">
        <v>45635</v>
      </c>
      <c r="E226" s="472">
        <v>5166.9799999999996</v>
      </c>
    </row>
    <row r="227" spans="1:5" x14ac:dyDescent="0.35">
      <c r="A227" s="471">
        <v>45643</v>
      </c>
      <c r="B227" s="107">
        <v>320</v>
      </c>
      <c r="D227" s="471">
        <v>45631</v>
      </c>
      <c r="E227" s="472">
        <v>5196.82</v>
      </c>
    </row>
    <row r="228" spans="1:5" x14ac:dyDescent="0.35">
      <c r="A228" s="471">
        <v>45641</v>
      </c>
      <c r="B228" s="107">
        <v>314.3</v>
      </c>
      <c r="D228" s="471">
        <v>45630</v>
      </c>
      <c r="E228" s="472">
        <v>5238.37</v>
      </c>
    </row>
    <row r="229" spans="1:5" x14ac:dyDescent="0.35">
      <c r="A229" s="471">
        <v>45638</v>
      </c>
      <c r="B229" s="107">
        <v>314.60000000000002</v>
      </c>
      <c r="D229" s="471">
        <v>45629</v>
      </c>
      <c r="E229" s="472">
        <v>5226.05</v>
      </c>
    </row>
    <row r="230" spans="1:5" x14ac:dyDescent="0.35">
      <c r="A230" s="471">
        <v>45637</v>
      </c>
      <c r="B230" s="107">
        <v>313.5</v>
      </c>
      <c r="D230" s="471">
        <v>45628</v>
      </c>
      <c r="E230" s="472">
        <v>5201.9399999999996</v>
      </c>
    </row>
    <row r="231" spans="1:5" x14ac:dyDescent="0.35">
      <c r="A231" s="471">
        <v>45636</v>
      </c>
      <c r="B231" s="107">
        <v>316.3</v>
      </c>
      <c r="D231" s="471">
        <v>45624</v>
      </c>
      <c r="E231" s="472">
        <v>5192.59</v>
      </c>
    </row>
    <row r="232" spans="1:5" x14ac:dyDescent="0.35">
      <c r="A232" s="471">
        <v>45635</v>
      </c>
      <c r="B232" s="107">
        <v>317.89999999999998</v>
      </c>
      <c r="D232" s="471">
        <v>45623</v>
      </c>
      <c r="E232" s="472">
        <v>5197.9399999999996</v>
      </c>
    </row>
    <row r="233" spans="1:5" x14ac:dyDescent="0.35">
      <c r="A233" s="471">
        <v>45634</v>
      </c>
      <c r="B233" s="107">
        <v>318.2</v>
      </c>
      <c r="D233" s="471">
        <v>45622</v>
      </c>
      <c r="E233" s="472">
        <v>5143.13</v>
      </c>
    </row>
    <row r="234" spans="1:5" x14ac:dyDescent="0.35">
      <c r="A234" s="471">
        <v>45631</v>
      </c>
      <c r="B234" s="107">
        <v>317.60000000000002</v>
      </c>
      <c r="D234" s="471">
        <v>45621</v>
      </c>
      <c r="E234" s="472">
        <v>5136.13</v>
      </c>
    </row>
    <row r="235" spans="1:5" x14ac:dyDescent="0.35">
      <c r="A235" s="471">
        <v>45630</v>
      </c>
      <c r="B235" s="107">
        <v>320.5</v>
      </c>
      <c r="D235" s="471">
        <v>45617</v>
      </c>
      <c r="E235" s="472">
        <v>5197.58</v>
      </c>
    </row>
    <row r="236" spans="1:5" x14ac:dyDescent="0.35">
      <c r="A236" s="471">
        <v>45629</v>
      </c>
      <c r="B236" s="107">
        <v>323.8</v>
      </c>
      <c r="D236" s="471">
        <v>45616</v>
      </c>
      <c r="E236" s="472">
        <v>5245.26</v>
      </c>
    </row>
    <row r="237" spans="1:5" x14ac:dyDescent="0.35">
      <c r="A237" s="471">
        <v>45628</v>
      </c>
      <c r="B237" s="107">
        <v>319.2</v>
      </c>
      <c r="D237" s="471">
        <v>45615</v>
      </c>
      <c r="E237" s="472">
        <v>5242.66</v>
      </c>
    </row>
    <row r="238" spans="1:5" x14ac:dyDescent="0.35">
      <c r="A238" s="471">
        <v>45627</v>
      </c>
      <c r="B238" s="107">
        <v>317.8</v>
      </c>
      <c r="D238" s="471">
        <v>45614</v>
      </c>
      <c r="E238" s="472">
        <v>5300.07</v>
      </c>
    </row>
    <row r="239" spans="1:5" x14ac:dyDescent="0.35">
      <c r="A239" s="471">
        <v>45624</v>
      </c>
      <c r="B239" s="107">
        <v>319.7</v>
      </c>
      <c r="D239" s="471">
        <v>45610</v>
      </c>
      <c r="E239" s="472">
        <v>5355.33</v>
      </c>
    </row>
    <row r="240" spans="1:5" x14ac:dyDescent="0.35">
      <c r="A240" s="471">
        <v>45623</v>
      </c>
      <c r="B240" s="107">
        <v>321.10000000000002</v>
      </c>
      <c r="D240" s="471">
        <v>45609</v>
      </c>
      <c r="E240" s="472">
        <v>5316.02</v>
      </c>
    </row>
    <row r="241" spans="1:5" x14ac:dyDescent="0.35">
      <c r="A241" s="471">
        <v>45622</v>
      </c>
      <c r="B241" s="107">
        <v>318.8</v>
      </c>
      <c r="D241" s="471">
        <v>45608</v>
      </c>
      <c r="E241" s="472">
        <v>5298.37</v>
      </c>
    </row>
    <row r="242" spans="1:5" x14ac:dyDescent="0.35">
      <c r="A242" s="471">
        <v>45621</v>
      </c>
      <c r="B242" s="107">
        <v>315.2</v>
      </c>
      <c r="D242" s="471">
        <v>45607</v>
      </c>
      <c r="E242" s="472">
        <v>5333.42</v>
      </c>
    </row>
    <row r="243" spans="1:5" x14ac:dyDescent="0.35">
      <c r="A243" s="471">
        <v>45620</v>
      </c>
      <c r="B243" s="107">
        <v>317.8</v>
      </c>
      <c r="D243" s="471">
        <v>45603</v>
      </c>
      <c r="E243" s="472">
        <v>5316.33</v>
      </c>
    </row>
    <row r="244" spans="1:5" x14ac:dyDescent="0.35">
      <c r="A244" s="471">
        <v>45617</v>
      </c>
      <c r="B244" s="107">
        <v>318.2</v>
      </c>
      <c r="D244" s="471">
        <v>45602</v>
      </c>
      <c r="E244" s="472">
        <v>5347.08</v>
      </c>
    </row>
    <row r="245" spans="1:5" x14ac:dyDescent="0.35">
      <c r="A245" s="471">
        <v>45616</v>
      </c>
      <c r="B245" s="107">
        <v>322.89999999999998</v>
      </c>
      <c r="D245" s="471">
        <v>45601</v>
      </c>
      <c r="E245" s="472">
        <v>5365.02</v>
      </c>
    </row>
    <row r="246" spans="1:5" x14ac:dyDescent="0.35">
      <c r="A246" s="471">
        <v>45615</v>
      </c>
      <c r="B246" s="107">
        <v>320.39999999999998</v>
      </c>
      <c r="D246" s="471">
        <v>45600</v>
      </c>
      <c r="E246" s="472">
        <v>5252.5</v>
      </c>
    </row>
    <row r="247" spans="1:5" x14ac:dyDescent="0.35">
      <c r="A247" s="471">
        <v>45614</v>
      </c>
      <c r="B247" s="107">
        <v>318.8</v>
      </c>
      <c r="D247" s="471">
        <v>45596</v>
      </c>
      <c r="E247" s="472">
        <v>5199.3999999999996</v>
      </c>
    </row>
    <row r="248" spans="1:5" x14ac:dyDescent="0.35">
      <c r="A248" s="471">
        <v>45613</v>
      </c>
      <c r="B248" s="107">
        <v>320.7</v>
      </c>
      <c r="D248" s="471">
        <v>45595</v>
      </c>
      <c r="E248" s="472">
        <v>5164.84</v>
      </c>
    </row>
    <row r="249" spans="1:5" x14ac:dyDescent="0.35">
      <c r="A249" s="471">
        <v>45610</v>
      </c>
      <c r="B249" s="107">
        <v>326</v>
      </c>
      <c r="D249" s="471">
        <v>45594</v>
      </c>
      <c r="E249" s="472">
        <v>5017.33</v>
      </c>
    </row>
    <row r="250" spans="1:5" x14ac:dyDescent="0.35">
      <c r="A250" s="471">
        <v>45609</v>
      </c>
      <c r="B250" s="107">
        <v>325.5</v>
      </c>
      <c r="D250" s="471">
        <v>45593</v>
      </c>
      <c r="E250" s="472">
        <v>4898.53</v>
      </c>
    </row>
    <row r="251" spans="1:5" x14ac:dyDescent="0.35">
      <c r="A251" s="471">
        <v>45608</v>
      </c>
      <c r="B251" s="107">
        <v>328.8</v>
      </c>
      <c r="D251" s="471">
        <v>45589</v>
      </c>
      <c r="E251" s="472">
        <v>5114.6000000000004</v>
      </c>
    </row>
    <row r="252" spans="1:5" x14ac:dyDescent="0.35">
      <c r="A252" s="471">
        <v>45607</v>
      </c>
      <c r="B252" s="107">
        <v>325.60000000000002</v>
      </c>
      <c r="D252" s="471">
        <v>45588</v>
      </c>
      <c r="E252" s="472">
        <v>5169.79</v>
      </c>
    </row>
    <row r="253" spans="1:5" x14ac:dyDescent="0.35">
      <c r="A253" s="471">
        <v>45606</v>
      </c>
      <c r="B253" s="107">
        <v>318.3</v>
      </c>
      <c r="D253" s="471">
        <v>45587</v>
      </c>
      <c r="E253" s="472">
        <v>5241.7700000000004</v>
      </c>
    </row>
    <row r="254" spans="1:5" x14ac:dyDescent="0.35">
      <c r="A254" s="471">
        <v>45603</v>
      </c>
      <c r="B254" s="107">
        <v>321.10000000000002</v>
      </c>
      <c r="D254" s="471">
        <v>45586</v>
      </c>
      <c r="E254" s="472">
        <v>5173.1099999999997</v>
      </c>
    </row>
    <row r="255" spans="1:5" x14ac:dyDescent="0.35">
      <c r="A255" s="471">
        <v>45602</v>
      </c>
      <c r="B255" s="107">
        <v>315.7</v>
      </c>
      <c r="D255" s="471">
        <v>45582</v>
      </c>
      <c r="E255" s="472">
        <v>5257.98</v>
      </c>
    </row>
    <row r="256" spans="1:5" x14ac:dyDescent="0.35">
      <c r="A256" s="471">
        <v>45601</v>
      </c>
      <c r="B256" s="107">
        <v>316.10000000000002</v>
      </c>
      <c r="D256" s="471">
        <v>45581</v>
      </c>
      <c r="E256" s="472">
        <v>5316.21</v>
      </c>
    </row>
    <row r="257" spans="1:5" x14ac:dyDescent="0.35">
      <c r="A257" s="471">
        <v>45600</v>
      </c>
      <c r="B257" s="107">
        <v>314.8</v>
      </c>
      <c r="D257" s="471">
        <v>45580</v>
      </c>
      <c r="E257" s="472">
        <v>5365.96</v>
      </c>
    </row>
    <row r="258" spans="1:5" x14ac:dyDescent="0.35">
      <c r="A258" s="471">
        <v>45599</v>
      </c>
      <c r="B258" s="107">
        <v>310.39999999999998</v>
      </c>
      <c r="D258" s="471">
        <v>45579</v>
      </c>
      <c r="E258" s="472">
        <v>5373.54</v>
      </c>
    </row>
    <row r="259" spans="1:5" x14ac:dyDescent="0.35">
      <c r="A259" s="471">
        <v>45596</v>
      </c>
      <c r="B259" s="107">
        <v>314.2</v>
      </c>
      <c r="D259" s="471">
        <v>45574</v>
      </c>
      <c r="E259" s="472">
        <v>5422.06</v>
      </c>
    </row>
    <row r="260" spans="1:5" x14ac:dyDescent="0.35">
      <c r="A260" s="471">
        <v>45595</v>
      </c>
      <c r="B260" s="107">
        <v>317.5</v>
      </c>
      <c r="D260" s="471">
        <v>45573</v>
      </c>
      <c r="E260" s="472">
        <v>5323.22</v>
      </c>
    </row>
    <row r="261" spans="1:5" x14ac:dyDescent="0.35">
      <c r="A261" s="471">
        <v>45594</v>
      </c>
      <c r="B261" s="107">
        <v>311.2</v>
      </c>
      <c r="D261" s="471">
        <v>45572</v>
      </c>
      <c r="E261" s="472">
        <v>5335.06</v>
      </c>
    </row>
    <row r="262" spans="1:5" x14ac:dyDescent="0.35">
      <c r="A262" s="471">
        <v>45593</v>
      </c>
      <c r="B262" s="107">
        <v>304.60000000000002</v>
      </c>
      <c r="D262" s="471">
        <v>45568</v>
      </c>
      <c r="E262" s="472">
        <v>5462.58</v>
      </c>
    </row>
    <row r="263" spans="1:5" x14ac:dyDescent="0.35">
      <c r="A263" s="471">
        <v>45592</v>
      </c>
      <c r="B263" s="107">
        <v>305.7</v>
      </c>
      <c r="D263" s="471">
        <v>45567</v>
      </c>
      <c r="E263" s="472">
        <v>5453.99</v>
      </c>
    </row>
    <row r="264" spans="1:5" x14ac:dyDescent="0.35">
      <c r="A264" s="471">
        <v>45589</v>
      </c>
      <c r="B264" s="107">
        <v>316.89999999999998</v>
      </c>
      <c r="D264" s="471">
        <v>45566</v>
      </c>
      <c r="E264" s="472">
        <v>5586.29</v>
      </c>
    </row>
    <row r="265" spans="1:5" x14ac:dyDescent="0.35">
      <c r="A265" s="471">
        <v>45588</v>
      </c>
      <c r="B265" s="107">
        <v>322.3</v>
      </c>
      <c r="D265" s="471">
        <v>45565</v>
      </c>
      <c r="E265" s="472">
        <v>5624.5</v>
      </c>
    </row>
    <row r="266" spans="1:5" x14ac:dyDescent="0.35">
      <c r="A266" s="471">
        <v>45587</v>
      </c>
      <c r="B266" s="107">
        <v>330.7</v>
      </c>
      <c r="D266" s="471">
        <v>45561</v>
      </c>
      <c r="E266" s="472">
        <v>5639.13</v>
      </c>
    </row>
    <row r="267" spans="1:5" x14ac:dyDescent="0.35">
      <c r="A267" s="471">
        <v>45586</v>
      </c>
      <c r="B267" s="107">
        <v>329.3</v>
      </c>
      <c r="D267" s="471">
        <v>45560</v>
      </c>
      <c r="E267" s="472">
        <v>5736.51</v>
      </c>
    </row>
    <row r="268" spans="1:5" x14ac:dyDescent="0.35">
      <c r="A268" s="471">
        <v>45585</v>
      </c>
      <c r="B268" s="107">
        <v>332.8</v>
      </c>
      <c r="D268" s="471">
        <v>45559</v>
      </c>
      <c r="E268" s="472">
        <v>5777.96</v>
      </c>
    </row>
    <row r="269" spans="1:5" x14ac:dyDescent="0.35">
      <c r="A269" s="471">
        <v>45582</v>
      </c>
      <c r="B269" s="107">
        <v>335</v>
      </c>
      <c r="D269" s="471">
        <v>45558</v>
      </c>
      <c r="E269" s="472">
        <v>5760.39</v>
      </c>
    </row>
    <row r="270" spans="1:5" x14ac:dyDescent="0.35">
      <c r="A270" s="471">
        <v>45581</v>
      </c>
      <c r="B270" s="107">
        <v>337.6</v>
      </c>
      <c r="D270" s="471">
        <v>45554</v>
      </c>
      <c r="E270" s="472">
        <v>5735.27</v>
      </c>
    </row>
    <row r="271" spans="1:5" x14ac:dyDescent="0.35">
      <c r="A271" s="471">
        <v>45580</v>
      </c>
      <c r="B271" s="107">
        <v>335.4</v>
      </c>
      <c r="D271" s="471">
        <v>45553</v>
      </c>
      <c r="E271" s="472">
        <v>5694.14</v>
      </c>
    </row>
    <row r="272" spans="1:5" x14ac:dyDescent="0.35">
      <c r="A272" s="471">
        <v>45579</v>
      </c>
      <c r="B272" s="107">
        <v>335.5</v>
      </c>
      <c r="D272" s="471">
        <v>45552</v>
      </c>
      <c r="E272" s="472">
        <v>5681.6</v>
      </c>
    </row>
    <row r="273" spans="1:5" x14ac:dyDescent="0.35">
      <c r="A273" s="471">
        <v>45574</v>
      </c>
      <c r="B273" s="107">
        <v>338.1</v>
      </c>
      <c r="D273" s="471">
        <v>45547</v>
      </c>
      <c r="E273" s="472">
        <v>5726.52</v>
      </c>
    </row>
    <row r="274" spans="1:5" x14ac:dyDescent="0.35">
      <c r="A274" s="471">
        <v>45573</v>
      </c>
      <c r="B274" s="107">
        <v>329.4</v>
      </c>
      <c r="D274" s="471">
        <v>45546</v>
      </c>
      <c r="E274" s="472">
        <v>5713.96</v>
      </c>
    </row>
    <row r="275" spans="1:5" x14ac:dyDescent="0.35">
      <c r="A275" s="471">
        <v>45572</v>
      </c>
      <c r="B275" s="107">
        <v>325.8</v>
      </c>
      <c r="D275" s="471">
        <v>45545</v>
      </c>
      <c r="E275" s="472">
        <v>5702.83</v>
      </c>
    </row>
    <row r="276" spans="1:5" x14ac:dyDescent="0.35">
      <c r="A276" s="471">
        <v>45571</v>
      </c>
      <c r="B276" s="107">
        <v>332</v>
      </c>
      <c r="D276" s="471">
        <v>45544</v>
      </c>
      <c r="E276" s="472">
        <v>5629.54</v>
      </c>
    </row>
    <row r="277" spans="1:5" x14ac:dyDescent="0.35">
      <c r="A277" s="471">
        <v>45568</v>
      </c>
      <c r="B277" s="107">
        <v>337.9</v>
      </c>
      <c r="D277" s="471">
        <v>45540</v>
      </c>
      <c r="E277" s="472">
        <v>5728.65</v>
      </c>
    </row>
    <row r="278" spans="1:5" x14ac:dyDescent="0.35">
      <c r="A278" s="471">
        <v>45567</v>
      </c>
      <c r="B278" s="107">
        <v>341.1</v>
      </c>
      <c r="D278" s="471">
        <v>45539</v>
      </c>
      <c r="E278" s="472">
        <v>5739.07</v>
      </c>
    </row>
    <row r="279" spans="1:5" x14ac:dyDescent="0.35">
      <c r="A279" s="471">
        <v>45566</v>
      </c>
      <c r="B279" s="107">
        <v>348.5</v>
      </c>
      <c r="D279" s="471">
        <v>45538</v>
      </c>
      <c r="E279" s="472">
        <v>5786.52</v>
      </c>
    </row>
    <row r="280" spans="1:5" x14ac:dyDescent="0.35">
      <c r="A280" s="471">
        <v>45565</v>
      </c>
      <c r="B280" s="107">
        <v>350.2</v>
      </c>
      <c r="D280" s="471">
        <v>45537</v>
      </c>
      <c r="E280" s="472">
        <v>5803.71</v>
      </c>
    </row>
    <row r="281" spans="1:5" x14ac:dyDescent="0.35">
      <c r="A281" s="471">
        <v>45564</v>
      </c>
      <c r="B281" s="107">
        <v>349.3</v>
      </c>
      <c r="D281" s="471">
        <v>45533</v>
      </c>
      <c r="E281" s="472">
        <v>5804.42</v>
      </c>
    </row>
    <row r="282" spans="1:5" x14ac:dyDescent="0.35">
      <c r="A282" s="471">
        <v>45561</v>
      </c>
      <c r="B282" s="107">
        <v>349.4</v>
      </c>
      <c r="D282" s="471">
        <v>45532</v>
      </c>
      <c r="E282" s="472">
        <v>5756.71</v>
      </c>
    </row>
    <row r="283" spans="1:5" x14ac:dyDescent="0.35">
      <c r="A283" s="471">
        <v>45560</v>
      </c>
      <c r="B283" s="107">
        <v>351.4</v>
      </c>
      <c r="D283" s="471">
        <v>45531</v>
      </c>
      <c r="E283" s="472">
        <v>5685.78</v>
      </c>
    </row>
    <row r="284" spans="1:5" x14ac:dyDescent="0.35">
      <c r="A284" s="471">
        <v>45559</v>
      </c>
      <c r="B284" s="107">
        <v>349.4</v>
      </c>
      <c r="D284" s="471">
        <v>45530</v>
      </c>
      <c r="E284" s="472">
        <v>5700.59</v>
      </c>
    </row>
    <row r="285" spans="1:5" x14ac:dyDescent="0.35">
      <c r="A285" s="471">
        <v>45558</v>
      </c>
      <c r="B285" s="107">
        <v>342.8</v>
      </c>
      <c r="D285" s="471">
        <v>45526</v>
      </c>
      <c r="E285" s="472">
        <v>5699.92</v>
      </c>
    </row>
    <row r="286" spans="1:5" x14ac:dyDescent="0.35">
      <c r="A286" s="471">
        <v>45557</v>
      </c>
      <c r="B286" s="107">
        <v>339.7</v>
      </c>
      <c r="D286" s="471">
        <v>45525</v>
      </c>
      <c r="E286" s="472">
        <v>5606.96</v>
      </c>
    </row>
    <row r="287" spans="1:5" x14ac:dyDescent="0.35">
      <c r="A287" s="471">
        <v>45554</v>
      </c>
      <c r="B287" s="107">
        <v>343.4</v>
      </c>
      <c r="D287" s="471">
        <v>45524</v>
      </c>
      <c r="E287" s="472">
        <v>5715.36</v>
      </c>
    </row>
    <row r="288" spans="1:5" x14ac:dyDescent="0.35">
      <c r="A288" s="471">
        <v>45553</v>
      </c>
      <c r="B288" s="107">
        <v>328.5</v>
      </c>
      <c r="D288" s="471">
        <v>45523</v>
      </c>
      <c r="E288" s="472">
        <v>5775.49</v>
      </c>
    </row>
    <row r="289" spans="1:5" x14ac:dyDescent="0.35">
      <c r="A289" s="471">
        <v>45552</v>
      </c>
      <c r="B289" s="107">
        <v>330.8</v>
      </c>
      <c r="D289" s="471">
        <v>45519</v>
      </c>
      <c r="E289" s="472">
        <v>5903.84</v>
      </c>
    </row>
    <row r="290" spans="1:5" x14ac:dyDescent="0.35">
      <c r="A290" s="471">
        <v>45550</v>
      </c>
      <c r="B290" s="107">
        <v>334.1</v>
      </c>
      <c r="D290" s="471">
        <v>45518</v>
      </c>
      <c r="E290" s="472">
        <v>5952.77</v>
      </c>
    </row>
    <row r="291" spans="1:5" x14ac:dyDescent="0.35">
      <c r="A291" s="471">
        <v>45547</v>
      </c>
      <c r="B291" s="107">
        <v>331.6</v>
      </c>
      <c r="D291" s="471">
        <v>45517</v>
      </c>
      <c r="E291" s="472">
        <v>5867.96</v>
      </c>
    </row>
    <row r="292" spans="1:5" x14ac:dyDescent="0.35">
      <c r="A292" s="471">
        <v>45546</v>
      </c>
      <c r="B292" s="107">
        <v>336.4</v>
      </c>
      <c r="D292" s="471">
        <v>45516</v>
      </c>
      <c r="E292" s="472">
        <v>5932.28</v>
      </c>
    </row>
    <row r="293" spans="1:5" x14ac:dyDescent="0.35">
      <c r="A293" s="471">
        <v>45545</v>
      </c>
      <c r="B293" s="107">
        <v>339.8</v>
      </c>
      <c r="D293" s="471">
        <v>45512</v>
      </c>
      <c r="E293" s="472">
        <v>5924.81</v>
      </c>
    </row>
    <row r="294" spans="1:5" x14ac:dyDescent="0.35">
      <c r="A294" s="471">
        <v>45544</v>
      </c>
      <c r="B294" s="107">
        <v>338.7</v>
      </c>
      <c r="D294" s="471">
        <v>45511</v>
      </c>
      <c r="E294" s="472">
        <v>5618.79</v>
      </c>
    </row>
    <row r="295" spans="1:5" x14ac:dyDescent="0.35">
      <c r="A295" s="471">
        <v>45543</v>
      </c>
      <c r="B295" s="107">
        <v>340.1</v>
      </c>
      <c r="D295" s="471">
        <v>45510</v>
      </c>
      <c r="E295" s="472">
        <v>5426.42</v>
      </c>
    </row>
    <row r="296" spans="1:5" x14ac:dyDescent="0.35">
      <c r="A296" s="471">
        <v>45540</v>
      </c>
      <c r="B296" s="107">
        <v>338.4</v>
      </c>
      <c r="D296" s="471">
        <v>45505</v>
      </c>
      <c r="E296" s="472">
        <v>5333.94</v>
      </c>
    </row>
    <row r="297" spans="1:5" x14ac:dyDescent="0.35">
      <c r="A297" s="471">
        <v>45539</v>
      </c>
      <c r="B297" s="107">
        <v>340.3</v>
      </c>
      <c r="D297" s="471">
        <v>45504</v>
      </c>
      <c r="E297" s="472">
        <v>5280.47</v>
      </c>
    </row>
    <row r="298" spans="1:5" x14ac:dyDescent="0.35">
      <c r="A298" s="471">
        <v>45538</v>
      </c>
      <c r="B298" s="107">
        <v>343.4</v>
      </c>
      <c r="D298" s="471">
        <v>45503</v>
      </c>
      <c r="E298" s="472">
        <v>5269.53</v>
      </c>
    </row>
    <row r="299" spans="1:5" x14ac:dyDescent="0.35">
      <c r="A299" s="471">
        <v>45537</v>
      </c>
      <c r="B299" s="107">
        <v>342.9</v>
      </c>
      <c r="D299" s="471">
        <v>45502</v>
      </c>
      <c r="E299" s="472">
        <v>5330.24</v>
      </c>
    </row>
    <row r="300" spans="1:5" x14ac:dyDescent="0.35">
      <c r="A300" s="471">
        <v>45536</v>
      </c>
      <c r="B300" s="107">
        <v>343.1</v>
      </c>
      <c r="D300" s="471">
        <v>45498</v>
      </c>
      <c r="E300" s="472">
        <v>5413.65</v>
      </c>
    </row>
    <row r="301" spans="1:5" x14ac:dyDescent="0.35">
      <c r="A301" s="471">
        <v>45533</v>
      </c>
      <c r="B301" s="107">
        <v>344</v>
      </c>
      <c r="D301" s="471">
        <v>45497</v>
      </c>
      <c r="E301" s="472">
        <v>5350.83</v>
      </c>
    </row>
    <row r="302" spans="1:5" x14ac:dyDescent="0.35">
      <c r="A302" s="471">
        <v>45532</v>
      </c>
      <c r="B302" s="107">
        <v>348.9</v>
      </c>
      <c r="D302" s="471">
        <v>45491</v>
      </c>
      <c r="E302" s="472">
        <v>5446.5</v>
      </c>
    </row>
    <row r="303" spans="1:5" x14ac:dyDescent="0.35">
      <c r="A303" s="471">
        <v>45531</v>
      </c>
      <c r="B303" s="107">
        <v>329.8</v>
      </c>
      <c r="D303" s="471">
        <v>45489</v>
      </c>
      <c r="E303" s="472">
        <v>5483.14</v>
      </c>
    </row>
    <row r="304" spans="1:5" x14ac:dyDescent="0.35">
      <c r="A304" s="471">
        <v>45529</v>
      </c>
      <c r="B304" s="107">
        <v>336.8</v>
      </c>
      <c r="D304" s="471">
        <v>45488</v>
      </c>
      <c r="E304" s="472">
        <v>5484.97</v>
      </c>
    </row>
    <row r="305" spans="1:5" x14ac:dyDescent="0.35">
      <c r="A305" s="471">
        <v>45526</v>
      </c>
      <c r="B305" s="107">
        <v>346.2</v>
      </c>
      <c r="D305" s="471">
        <v>45484</v>
      </c>
      <c r="E305" s="472">
        <v>5506.78</v>
      </c>
    </row>
    <row r="306" spans="1:5" x14ac:dyDescent="0.35">
      <c r="A306" s="471">
        <v>45525</v>
      </c>
      <c r="B306" s="107">
        <v>334</v>
      </c>
      <c r="D306" s="471">
        <v>45483</v>
      </c>
      <c r="E306" s="472">
        <v>5568.45</v>
      </c>
    </row>
    <row r="307" spans="1:5" x14ac:dyDescent="0.35">
      <c r="A307" s="471">
        <v>45524</v>
      </c>
      <c r="B307" s="107">
        <v>344.3</v>
      </c>
      <c r="D307" s="471">
        <v>45482</v>
      </c>
      <c r="E307" s="472">
        <v>5594.65</v>
      </c>
    </row>
    <row r="308" spans="1:5" x14ac:dyDescent="0.35">
      <c r="A308" s="471">
        <v>45523</v>
      </c>
      <c r="B308" s="107">
        <v>354.8</v>
      </c>
      <c r="D308" s="471">
        <v>45481</v>
      </c>
      <c r="E308" s="472">
        <v>5564.63</v>
      </c>
    </row>
    <row r="309" spans="1:5" x14ac:dyDescent="0.35">
      <c r="A309" s="471">
        <v>45522</v>
      </c>
      <c r="B309" s="107">
        <v>365.7</v>
      </c>
      <c r="D309" s="471">
        <v>45477</v>
      </c>
      <c r="E309" s="472">
        <v>5497.56</v>
      </c>
    </row>
    <row r="310" spans="1:5" x14ac:dyDescent="0.35">
      <c r="A310" s="471">
        <v>45519</v>
      </c>
      <c r="B310" s="107">
        <v>377</v>
      </c>
      <c r="D310" s="471">
        <v>45476</v>
      </c>
      <c r="E310" s="472">
        <v>5373.84</v>
      </c>
    </row>
    <row r="311" spans="1:5" x14ac:dyDescent="0.35">
      <c r="A311" s="471">
        <v>45518</v>
      </c>
      <c r="B311" s="107">
        <v>379.2</v>
      </c>
      <c r="D311" s="471">
        <v>45475</v>
      </c>
      <c r="E311" s="472">
        <v>5340.19</v>
      </c>
    </row>
    <row r="312" spans="1:5" x14ac:dyDescent="0.35">
      <c r="A312" s="471">
        <v>45516</v>
      </c>
      <c r="B312" s="107">
        <v>355.5</v>
      </c>
      <c r="D312" s="471">
        <v>45470</v>
      </c>
      <c r="E312" s="472">
        <v>5355.41</v>
      </c>
    </row>
    <row r="313" spans="1:5" x14ac:dyDescent="0.35">
      <c r="A313" s="471">
        <v>45515</v>
      </c>
      <c r="B313" s="107">
        <v>345.6</v>
      </c>
      <c r="D313" s="471">
        <v>45469</v>
      </c>
      <c r="E313" s="472">
        <v>5302.72</v>
      </c>
    </row>
    <row r="314" spans="1:5" x14ac:dyDescent="0.35">
      <c r="A314" s="471">
        <v>45512</v>
      </c>
      <c r="B314" s="107">
        <v>317.8</v>
      </c>
      <c r="D314" s="471">
        <v>45468</v>
      </c>
      <c r="E314" s="472">
        <v>5241.84</v>
      </c>
    </row>
    <row r="315" spans="1:5" x14ac:dyDescent="0.35">
      <c r="A315" s="471">
        <v>45511</v>
      </c>
      <c r="B315" s="107">
        <v>292.3</v>
      </c>
      <c r="D315" s="471">
        <v>45467</v>
      </c>
      <c r="E315" s="472">
        <v>5220.1899999999996</v>
      </c>
    </row>
    <row r="316" spans="1:5" x14ac:dyDescent="0.35">
      <c r="A316" s="471">
        <v>45510</v>
      </c>
      <c r="B316" s="107">
        <v>268.8</v>
      </c>
      <c r="D316" s="471">
        <v>45463</v>
      </c>
      <c r="E316" s="472">
        <v>5244.13</v>
      </c>
    </row>
    <row r="317" spans="1:5" x14ac:dyDescent="0.35">
      <c r="A317" s="471">
        <v>45508</v>
      </c>
      <c r="B317" s="107">
        <v>247.2</v>
      </c>
      <c r="D317" s="471">
        <v>45462</v>
      </c>
      <c r="E317" s="472">
        <v>5161.38</v>
      </c>
    </row>
    <row r="318" spans="1:5" x14ac:dyDescent="0.35">
      <c r="A318" s="471">
        <v>45505</v>
      </c>
      <c r="B318" s="107">
        <v>254.8</v>
      </c>
      <c r="D318" s="471">
        <v>45456</v>
      </c>
      <c r="E318" s="472">
        <v>5117.8100000000004</v>
      </c>
    </row>
    <row r="319" spans="1:5" x14ac:dyDescent="0.35">
      <c r="A319" s="471">
        <v>45504</v>
      </c>
      <c r="B319" s="107">
        <v>252.5</v>
      </c>
      <c r="D319" s="471">
        <v>45455</v>
      </c>
      <c r="E319" s="472">
        <v>5083.2</v>
      </c>
    </row>
    <row r="320" spans="1:5" x14ac:dyDescent="0.35">
      <c r="A320" s="471">
        <v>45503</v>
      </c>
      <c r="B320" s="107">
        <v>250.8</v>
      </c>
      <c r="D320" s="471">
        <v>45454</v>
      </c>
      <c r="E320" s="472">
        <v>5070.0200000000004</v>
      </c>
    </row>
    <row r="321" spans="1:5" x14ac:dyDescent="0.35">
      <c r="A321" s="471">
        <v>45502</v>
      </c>
      <c r="B321" s="107">
        <v>254.2</v>
      </c>
      <c r="D321" s="471">
        <v>45453</v>
      </c>
      <c r="E321" s="472">
        <v>5105.8900000000003</v>
      </c>
    </row>
    <row r="322" spans="1:5" x14ac:dyDescent="0.35">
      <c r="A322" s="471">
        <v>45501</v>
      </c>
      <c r="B322" s="107">
        <v>257</v>
      </c>
      <c r="D322" s="471">
        <v>45449</v>
      </c>
      <c r="E322" s="472">
        <v>5237.32</v>
      </c>
    </row>
    <row r="323" spans="1:5" x14ac:dyDescent="0.35">
      <c r="A323" s="471">
        <v>45498</v>
      </c>
      <c r="B323" s="107">
        <v>254.1</v>
      </c>
      <c r="D323" s="471">
        <v>45448</v>
      </c>
      <c r="E323" s="472">
        <v>5224.37</v>
      </c>
    </row>
    <row r="324" spans="1:5" x14ac:dyDescent="0.35">
      <c r="A324" s="471">
        <v>45497</v>
      </c>
      <c r="B324" s="107">
        <v>249.1</v>
      </c>
      <c r="D324" s="471">
        <v>45447</v>
      </c>
      <c r="E324" s="472">
        <v>5247.53</v>
      </c>
    </row>
    <row r="325" spans="1:5" x14ac:dyDescent="0.35">
      <c r="A325" s="471">
        <v>45491</v>
      </c>
      <c r="B325" s="107">
        <v>251.6</v>
      </c>
      <c r="D325" s="471">
        <v>45446</v>
      </c>
      <c r="E325" s="472">
        <v>5235.63</v>
      </c>
    </row>
    <row r="326" spans="1:5" x14ac:dyDescent="0.35">
      <c r="A326" s="471">
        <v>45489</v>
      </c>
      <c r="B326" s="107">
        <v>249.3</v>
      </c>
      <c r="D326" s="471">
        <v>45442</v>
      </c>
      <c r="E326" s="472">
        <v>5251.96</v>
      </c>
    </row>
    <row r="327" spans="1:5" x14ac:dyDescent="0.35">
      <c r="A327" s="471">
        <v>45488</v>
      </c>
      <c r="B327" s="107">
        <v>244.6</v>
      </c>
      <c r="D327" s="471">
        <v>45441</v>
      </c>
      <c r="E327" s="472">
        <v>5228.53</v>
      </c>
    </row>
    <row r="328" spans="1:5" x14ac:dyDescent="0.35">
      <c r="A328" s="471">
        <v>45487</v>
      </c>
      <c r="B328" s="107">
        <v>244.5</v>
      </c>
      <c r="D328" s="471">
        <v>45440</v>
      </c>
      <c r="E328" s="472">
        <v>5278.88</v>
      </c>
    </row>
    <row r="329" spans="1:5" x14ac:dyDescent="0.35">
      <c r="A329" s="471">
        <v>45484</v>
      </c>
      <c r="B329" s="107">
        <v>243.5</v>
      </c>
      <c r="D329" s="471">
        <v>45439</v>
      </c>
      <c r="E329" s="472">
        <v>5310.52</v>
      </c>
    </row>
    <row r="330" spans="1:5" x14ac:dyDescent="0.35">
      <c r="A330" s="471">
        <v>45483</v>
      </c>
      <c r="B330" s="107">
        <v>244.7</v>
      </c>
      <c r="D330" s="471">
        <v>45435</v>
      </c>
      <c r="E330" s="472">
        <v>5312.4</v>
      </c>
    </row>
    <row r="331" spans="1:5" x14ac:dyDescent="0.35">
      <c r="A331" s="471">
        <v>45482</v>
      </c>
      <c r="B331" s="107">
        <v>245.1</v>
      </c>
      <c r="D331" s="471">
        <v>45433</v>
      </c>
      <c r="E331" s="472">
        <v>5371.1</v>
      </c>
    </row>
    <row r="332" spans="1:5" x14ac:dyDescent="0.35">
      <c r="A332" s="471">
        <v>45481</v>
      </c>
      <c r="B332" s="107">
        <v>248.8</v>
      </c>
      <c r="D332" s="471">
        <v>45432</v>
      </c>
      <c r="E332" s="472">
        <v>5393.65</v>
      </c>
    </row>
    <row r="333" spans="1:5" x14ac:dyDescent="0.35">
      <c r="A333" s="471">
        <v>45480</v>
      </c>
      <c r="B333" s="107">
        <v>251.2</v>
      </c>
      <c r="D333" s="471">
        <v>45428</v>
      </c>
      <c r="E333" s="472">
        <v>5517.42</v>
      </c>
    </row>
    <row r="334" spans="1:5" x14ac:dyDescent="0.35">
      <c r="A334" s="471">
        <v>45477</v>
      </c>
      <c r="B334" s="107">
        <v>245.6</v>
      </c>
      <c r="D334" s="471">
        <v>45427</v>
      </c>
      <c r="E334" s="472">
        <v>5527.4</v>
      </c>
    </row>
    <row r="335" spans="1:5" x14ac:dyDescent="0.35">
      <c r="A335" s="471">
        <v>45476</v>
      </c>
      <c r="B335" s="107">
        <v>240.2</v>
      </c>
      <c r="D335" s="471">
        <v>45426</v>
      </c>
      <c r="E335" s="472">
        <v>5585.62</v>
      </c>
    </row>
    <row r="336" spans="1:5" x14ac:dyDescent="0.35">
      <c r="A336" s="471">
        <v>45475</v>
      </c>
      <c r="B336" s="107">
        <v>244</v>
      </c>
      <c r="D336" s="471">
        <v>45425</v>
      </c>
      <c r="E336" s="472">
        <v>5666.76</v>
      </c>
    </row>
    <row r="337" spans="1:5" x14ac:dyDescent="0.35">
      <c r="A337" s="471">
        <v>45473</v>
      </c>
      <c r="B337" s="107">
        <v>247.7</v>
      </c>
      <c r="D337" s="471">
        <v>45421</v>
      </c>
      <c r="E337" s="472">
        <v>5661.05</v>
      </c>
    </row>
    <row r="338" spans="1:5" x14ac:dyDescent="0.35">
      <c r="A338" s="471">
        <v>45470</v>
      </c>
      <c r="B338" s="107">
        <v>241.4</v>
      </c>
      <c r="D338" s="471">
        <v>45420</v>
      </c>
      <c r="E338" s="472">
        <v>5690.78</v>
      </c>
    </row>
    <row r="339" spans="1:5" x14ac:dyDescent="0.35">
      <c r="A339" s="471">
        <v>45469</v>
      </c>
      <c r="B339" s="107">
        <v>236.2</v>
      </c>
      <c r="D339" s="471">
        <v>45419</v>
      </c>
      <c r="E339" s="472">
        <v>5725.28</v>
      </c>
    </row>
    <row r="340" spans="1:5" x14ac:dyDescent="0.35">
      <c r="A340" s="471">
        <v>45468</v>
      </c>
      <c r="B340" s="107">
        <v>228.7</v>
      </c>
      <c r="D340" s="471">
        <v>45418</v>
      </c>
      <c r="E340" s="472">
        <v>5727.02</v>
      </c>
    </row>
    <row r="341" spans="1:5" x14ac:dyDescent="0.35">
      <c r="A341" s="471">
        <v>45467</v>
      </c>
      <c r="B341" s="107">
        <v>228.2</v>
      </c>
      <c r="D341" s="471">
        <v>45414</v>
      </c>
      <c r="E341" s="472">
        <v>5615.65</v>
      </c>
    </row>
    <row r="342" spans="1:5" x14ac:dyDescent="0.35">
      <c r="A342" s="471">
        <v>45466</v>
      </c>
      <c r="B342" s="107">
        <v>226.9</v>
      </c>
      <c r="D342" s="471">
        <v>45412</v>
      </c>
      <c r="E342" s="472">
        <v>5584.65</v>
      </c>
    </row>
    <row r="343" spans="1:5" x14ac:dyDescent="0.35">
      <c r="A343" s="471">
        <v>45463</v>
      </c>
      <c r="B343" s="107">
        <v>224.9</v>
      </c>
      <c r="D343" s="471">
        <v>45411</v>
      </c>
      <c r="E343" s="472">
        <v>5569.69</v>
      </c>
    </row>
    <row r="344" spans="1:5" x14ac:dyDescent="0.35">
      <c r="A344" s="471">
        <v>45462</v>
      </c>
      <c r="B344" s="107">
        <v>222.2</v>
      </c>
      <c r="D344" s="471">
        <v>45407</v>
      </c>
      <c r="E344" s="472">
        <v>5518.48</v>
      </c>
    </row>
    <row r="345" spans="1:5" x14ac:dyDescent="0.35">
      <c r="A345" s="471">
        <v>45456</v>
      </c>
      <c r="B345" s="107">
        <v>224.1</v>
      </c>
      <c r="D345" s="471">
        <v>45406</v>
      </c>
      <c r="E345" s="472">
        <v>5578.97</v>
      </c>
    </row>
    <row r="346" spans="1:5" x14ac:dyDescent="0.35">
      <c r="A346" s="471">
        <v>45455</v>
      </c>
      <c r="B346" s="107">
        <v>223</v>
      </c>
      <c r="D346" s="471">
        <v>45405</v>
      </c>
      <c r="E346" s="472">
        <v>5633.61</v>
      </c>
    </row>
    <row r="347" spans="1:5" x14ac:dyDescent="0.35">
      <c r="A347" s="471">
        <v>45454</v>
      </c>
      <c r="B347" s="107">
        <v>223.5</v>
      </c>
      <c r="D347" s="471">
        <v>45404</v>
      </c>
      <c r="E347" s="472">
        <v>5674.87</v>
      </c>
    </row>
    <row r="348" spans="1:5" x14ac:dyDescent="0.35">
      <c r="A348" s="471">
        <v>45453</v>
      </c>
      <c r="B348" s="107">
        <v>225.4</v>
      </c>
      <c r="D348" s="471">
        <v>45400</v>
      </c>
      <c r="E348" s="472">
        <v>5686.69</v>
      </c>
    </row>
    <row r="349" spans="1:5" x14ac:dyDescent="0.35">
      <c r="A349" s="471">
        <v>45452</v>
      </c>
      <c r="B349" s="107">
        <v>229.1</v>
      </c>
      <c r="D349" s="471">
        <v>45399</v>
      </c>
      <c r="E349" s="472">
        <v>5763.77</v>
      </c>
    </row>
    <row r="350" spans="1:5" x14ac:dyDescent="0.35">
      <c r="A350" s="471">
        <v>45449</v>
      </c>
      <c r="B350" s="107">
        <v>227.6</v>
      </c>
      <c r="D350" s="471">
        <v>45398</v>
      </c>
      <c r="E350" s="472">
        <v>5774.58</v>
      </c>
    </row>
    <row r="351" spans="1:5" x14ac:dyDescent="0.35">
      <c r="A351" s="471">
        <v>45448</v>
      </c>
      <c r="B351" s="107">
        <v>226.2</v>
      </c>
      <c r="D351" s="471">
        <v>45397</v>
      </c>
      <c r="E351" s="472">
        <v>5778.77</v>
      </c>
    </row>
    <row r="352" spans="1:5" x14ac:dyDescent="0.35">
      <c r="A352" s="471">
        <v>45447</v>
      </c>
      <c r="B352" s="107">
        <v>227.5</v>
      </c>
      <c r="D352" s="471">
        <v>45391</v>
      </c>
      <c r="E352" s="472">
        <v>5864.09</v>
      </c>
    </row>
    <row r="353" spans="1:5" x14ac:dyDescent="0.35">
      <c r="A353" s="471">
        <v>45446</v>
      </c>
      <c r="B353" s="107">
        <v>225.7</v>
      </c>
      <c r="D353" s="471">
        <v>45390</v>
      </c>
      <c r="E353" s="472">
        <v>5860.23</v>
      </c>
    </row>
    <row r="354" spans="1:5" x14ac:dyDescent="0.35">
      <c r="A354" s="471">
        <v>45445</v>
      </c>
      <c r="B354" s="107">
        <v>225.4</v>
      </c>
      <c r="D354" s="471">
        <v>45386</v>
      </c>
      <c r="E354" s="472">
        <v>5796.12</v>
      </c>
    </row>
    <row r="355" spans="1:5" x14ac:dyDescent="0.35">
      <c r="A355" s="471">
        <v>45442</v>
      </c>
      <c r="B355" s="107">
        <v>223.5</v>
      </c>
      <c r="D355" s="471">
        <v>45385</v>
      </c>
      <c r="E355" s="472">
        <v>5776.08</v>
      </c>
    </row>
    <row r="356" spans="1:5" x14ac:dyDescent="0.35">
      <c r="A356" s="471">
        <v>45441</v>
      </c>
      <c r="B356" s="107">
        <v>227.7</v>
      </c>
      <c r="D356" s="471">
        <v>45384</v>
      </c>
      <c r="E356" s="472">
        <v>5738.4</v>
      </c>
    </row>
    <row r="357" spans="1:5" x14ac:dyDescent="0.35">
      <c r="A357" s="471">
        <v>45440</v>
      </c>
      <c r="B357" s="107">
        <v>225.5</v>
      </c>
      <c r="D357" s="471">
        <v>45383</v>
      </c>
      <c r="E357" s="472">
        <v>5761.38</v>
      </c>
    </row>
    <row r="358" spans="1:5" x14ac:dyDescent="0.35">
      <c r="A358" s="471">
        <v>45439</v>
      </c>
      <c r="B358" s="107">
        <v>229.3</v>
      </c>
      <c r="D358" s="471">
        <v>45379</v>
      </c>
      <c r="E358" s="472">
        <v>5778.33</v>
      </c>
    </row>
    <row r="359" spans="1:5" x14ac:dyDescent="0.35">
      <c r="A359" s="471">
        <v>45438</v>
      </c>
      <c r="B359" s="107">
        <v>226</v>
      </c>
      <c r="D359" s="471">
        <v>45378</v>
      </c>
      <c r="E359" s="472">
        <v>5762.68</v>
      </c>
    </row>
    <row r="360" spans="1:5" x14ac:dyDescent="0.35">
      <c r="A360" s="471">
        <v>45435</v>
      </c>
      <c r="B360" s="107">
        <v>224.9</v>
      </c>
      <c r="D360" s="471">
        <v>45376</v>
      </c>
      <c r="E360" s="472">
        <v>5834.39</v>
      </c>
    </row>
    <row r="361" spans="1:5" x14ac:dyDescent="0.35">
      <c r="A361" s="471">
        <v>45433</v>
      </c>
      <c r="B361" s="107">
        <v>225.3</v>
      </c>
      <c r="D361" s="471">
        <v>45372</v>
      </c>
      <c r="E361" s="472">
        <v>5941.66</v>
      </c>
    </row>
    <row r="362" spans="1:5" x14ac:dyDescent="0.35">
      <c r="A362" s="471">
        <v>45432</v>
      </c>
      <c r="B362" s="107">
        <v>224.4</v>
      </c>
      <c r="D362" s="471">
        <v>45371</v>
      </c>
      <c r="E362" s="472">
        <v>5872.58</v>
      </c>
    </row>
    <row r="363" spans="1:5" x14ac:dyDescent="0.35">
      <c r="A363" s="471">
        <v>45431</v>
      </c>
      <c r="B363" s="107">
        <v>225.8</v>
      </c>
      <c r="D363" s="471">
        <v>45370</v>
      </c>
      <c r="E363" s="472">
        <v>5814.1</v>
      </c>
    </row>
    <row r="364" spans="1:5" x14ac:dyDescent="0.35">
      <c r="A364" s="471">
        <v>45428</v>
      </c>
      <c r="B364" s="107">
        <v>232.3</v>
      </c>
      <c r="D364" s="471">
        <v>45369</v>
      </c>
      <c r="E364" s="472">
        <v>5898.24</v>
      </c>
    </row>
    <row r="365" spans="1:5" x14ac:dyDescent="0.35">
      <c r="A365" s="471">
        <v>45427</v>
      </c>
      <c r="B365" s="107">
        <v>233.6</v>
      </c>
      <c r="D365" s="471">
        <v>45365</v>
      </c>
      <c r="E365" s="472">
        <v>5968.04</v>
      </c>
    </row>
    <row r="366" spans="1:5" x14ac:dyDescent="0.35">
      <c r="A366" s="471">
        <v>45426</v>
      </c>
      <c r="B366" s="107">
        <v>237</v>
      </c>
      <c r="D366" s="471">
        <v>45364</v>
      </c>
      <c r="E366" s="472">
        <v>5974.11</v>
      </c>
    </row>
    <row r="367" spans="1:5" x14ac:dyDescent="0.35">
      <c r="A367" s="471">
        <v>45425</v>
      </c>
      <c r="B367" s="107">
        <v>238.6</v>
      </c>
      <c r="D367" s="471">
        <v>45363</v>
      </c>
      <c r="E367" s="472">
        <v>6006.88</v>
      </c>
    </row>
    <row r="368" spans="1:5" x14ac:dyDescent="0.35">
      <c r="A368" s="471">
        <v>45424</v>
      </c>
      <c r="B368" s="107">
        <v>236.9</v>
      </c>
      <c r="D368" s="471">
        <v>45362</v>
      </c>
      <c r="E368" s="472">
        <v>6058.39</v>
      </c>
    </row>
    <row r="369" spans="1:5" x14ac:dyDescent="0.35">
      <c r="A369" s="471">
        <v>45421</v>
      </c>
      <c r="B369" s="107">
        <v>237.4</v>
      </c>
      <c r="D369" s="471">
        <v>45358</v>
      </c>
      <c r="E369" s="472">
        <v>6112.76</v>
      </c>
    </row>
    <row r="370" spans="1:5" x14ac:dyDescent="0.35">
      <c r="A370" s="471">
        <v>45420</v>
      </c>
      <c r="B370" s="107">
        <v>238.7</v>
      </c>
      <c r="D370" s="471">
        <v>45357</v>
      </c>
      <c r="E370" s="472">
        <v>6166.14</v>
      </c>
    </row>
    <row r="371" spans="1:5" x14ac:dyDescent="0.35">
      <c r="A371" s="471">
        <v>45419</v>
      </c>
      <c r="B371" s="107">
        <v>239.5</v>
      </c>
      <c r="D371" s="471">
        <v>45356</v>
      </c>
      <c r="E371" s="472">
        <v>6131.14</v>
      </c>
    </row>
    <row r="372" spans="1:5" x14ac:dyDescent="0.35">
      <c r="A372" s="471">
        <v>45418</v>
      </c>
      <c r="B372" s="107">
        <v>239.7</v>
      </c>
      <c r="D372" s="471">
        <v>45355</v>
      </c>
      <c r="E372" s="472">
        <v>6175.25</v>
      </c>
    </row>
    <row r="373" spans="1:5" x14ac:dyDescent="0.35">
      <c r="A373" s="471">
        <v>45417</v>
      </c>
      <c r="B373" s="107">
        <v>239.5</v>
      </c>
      <c r="D373" s="471">
        <v>45351</v>
      </c>
      <c r="E373" s="472">
        <v>6254.54</v>
      </c>
    </row>
    <row r="374" spans="1:5" x14ac:dyDescent="0.35">
      <c r="A374" s="471">
        <v>45414</v>
      </c>
      <c r="B374" s="107">
        <v>237.6</v>
      </c>
      <c r="D374" s="471">
        <v>45350</v>
      </c>
      <c r="E374" s="472">
        <v>6268.63</v>
      </c>
    </row>
    <row r="375" spans="1:5" x14ac:dyDescent="0.35">
      <c r="A375" s="471">
        <v>45412</v>
      </c>
      <c r="B375" s="107">
        <v>235.8</v>
      </c>
      <c r="D375" s="471">
        <v>45349</v>
      </c>
      <c r="E375" s="472">
        <v>6272.73</v>
      </c>
    </row>
    <row r="376" spans="1:5" x14ac:dyDescent="0.35">
      <c r="A376" s="471">
        <v>45411</v>
      </c>
      <c r="B376" s="107">
        <v>236.5</v>
      </c>
      <c r="D376" s="471">
        <v>45344</v>
      </c>
      <c r="E376" s="472">
        <v>6273.96</v>
      </c>
    </row>
    <row r="377" spans="1:5" x14ac:dyDescent="0.35">
      <c r="A377" s="471">
        <v>45410</v>
      </c>
      <c r="B377" s="107">
        <v>240.5</v>
      </c>
      <c r="D377" s="471">
        <v>45342</v>
      </c>
      <c r="E377" s="472">
        <v>6256.13</v>
      </c>
    </row>
    <row r="378" spans="1:5" x14ac:dyDescent="0.35">
      <c r="A378" s="471">
        <v>45407</v>
      </c>
      <c r="B378" s="107">
        <v>235</v>
      </c>
      <c r="D378" s="471">
        <v>45341</v>
      </c>
      <c r="E378" s="472">
        <v>6258.98</v>
      </c>
    </row>
    <row r="379" spans="1:5" x14ac:dyDescent="0.35">
      <c r="A379" s="471">
        <v>45406</v>
      </c>
      <c r="B379" s="107">
        <v>232.5</v>
      </c>
      <c r="D379" s="471">
        <v>45337</v>
      </c>
      <c r="E379" s="472">
        <v>6336.25</v>
      </c>
    </row>
    <row r="380" spans="1:5" x14ac:dyDescent="0.35">
      <c r="A380" s="471">
        <v>45405</v>
      </c>
      <c r="B380" s="107">
        <v>232.6</v>
      </c>
      <c r="D380" s="471">
        <v>45336</v>
      </c>
      <c r="E380" s="472">
        <v>6371.54</v>
      </c>
    </row>
    <row r="381" spans="1:5" x14ac:dyDescent="0.35">
      <c r="A381" s="471">
        <v>45404</v>
      </c>
      <c r="B381" s="107">
        <v>233.1</v>
      </c>
      <c r="D381" s="471">
        <v>45335</v>
      </c>
      <c r="E381" s="472">
        <v>6394.82</v>
      </c>
    </row>
    <row r="382" spans="1:5" x14ac:dyDescent="0.35">
      <c r="A382" s="471">
        <v>45403</v>
      </c>
      <c r="B382" s="107">
        <v>234.2</v>
      </c>
      <c r="D382" s="471">
        <v>45334</v>
      </c>
      <c r="E382" s="472">
        <v>6424.93</v>
      </c>
    </row>
    <row r="383" spans="1:5" x14ac:dyDescent="0.35">
      <c r="A383" s="471">
        <v>45400</v>
      </c>
      <c r="B383" s="107">
        <v>234.7</v>
      </c>
      <c r="D383" s="471">
        <v>45330</v>
      </c>
      <c r="E383" s="472">
        <v>6373.35</v>
      </c>
    </row>
    <row r="384" spans="1:5" x14ac:dyDescent="0.35">
      <c r="A384" s="471">
        <v>45399</v>
      </c>
      <c r="B384" s="107">
        <v>236.9</v>
      </c>
      <c r="D384" s="471">
        <v>45329</v>
      </c>
      <c r="E384" s="472">
        <v>6352.5</v>
      </c>
    </row>
    <row r="385" spans="1:5" x14ac:dyDescent="0.35">
      <c r="A385" s="471">
        <v>45398</v>
      </c>
      <c r="B385" s="107">
        <v>236.1</v>
      </c>
      <c r="D385" s="471">
        <v>45328</v>
      </c>
      <c r="E385" s="472">
        <v>6346.06</v>
      </c>
    </row>
    <row r="386" spans="1:5" x14ac:dyDescent="0.35">
      <c r="A386" s="471">
        <v>45397</v>
      </c>
      <c r="B386" s="107">
        <v>238.9</v>
      </c>
      <c r="D386" s="471">
        <v>45327</v>
      </c>
      <c r="E386" s="472">
        <v>6322.6</v>
      </c>
    </row>
    <row r="387" spans="1:5" x14ac:dyDescent="0.35">
      <c r="A387" s="471">
        <v>45391</v>
      </c>
      <c r="B387" s="107">
        <v>240</v>
      </c>
      <c r="D387" s="471">
        <v>45323</v>
      </c>
      <c r="E387" s="472">
        <v>6213.99</v>
      </c>
    </row>
    <row r="388" spans="1:5" x14ac:dyDescent="0.35">
      <c r="A388" s="471">
        <v>45390</v>
      </c>
      <c r="B388" s="107">
        <v>240.2</v>
      </c>
      <c r="D388" s="471">
        <v>45322</v>
      </c>
      <c r="E388" s="472">
        <v>6153.34</v>
      </c>
    </row>
    <row r="389" spans="1:5" x14ac:dyDescent="0.35">
      <c r="A389" s="471">
        <v>45386</v>
      </c>
      <c r="B389" s="107">
        <v>240.2</v>
      </c>
      <c r="D389" s="471">
        <v>45321</v>
      </c>
      <c r="E389" s="472">
        <v>6150.22</v>
      </c>
    </row>
    <row r="390" spans="1:5" x14ac:dyDescent="0.35">
      <c r="A390" s="471">
        <v>45385</v>
      </c>
      <c r="B390" s="107">
        <v>239.6</v>
      </c>
      <c r="D390" s="471">
        <v>45320</v>
      </c>
      <c r="E390" s="472">
        <v>6097.23</v>
      </c>
    </row>
    <row r="391" spans="1:5" x14ac:dyDescent="0.35">
      <c r="A391" s="471">
        <v>45384</v>
      </c>
      <c r="B391" s="107">
        <v>237.7</v>
      </c>
      <c r="D391" s="471">
        <v>45316</v>
      </c>
      <c r="E391" s="472">
        <v>6156.41</v>
      </c>
    </row>
    <row r="392" spans="1:5" x14ac:dyDescent="0.35">
      <c r="A392" s="471">
        <v>45383</v>
      </c>
      <c r="B392" s="107">
        <v>236.9</v>
      </c>
      <c r="D392" s="471">
        <v>45315</v>
      </c>
      <c r="E392" s="472">
        <v>6226.65</v>
      </c>
    </row>
    <row r="393" spans="1:5" x14ac:dyDescent="0.35">
      <c r="A393" s="471">
        <v>45382</v>
      </c>
      <c r="B393" s="107">
        <v>237.8</v>
      </c>
      <c r="D393" s="471">
        <v>45314</v>
      </c>
      <c r="E393" s="472">
        <v>6276.26</v>
      </c>
    </row>
    <row r="394" spans="1:5" x14ac:dyDescent="0.35">
      <c r="A394" s="471">
        <v>45379</v>
      </c>
      <c r="B394" s="107">
        <v>235.8</v>
      </c>
      <c r="D394" s="471">
        <v>45313</v>
      </c>
      <c r="E394" s="472">
        <v>6254.31</v>
      </c>
    </row>
    <row r="395" spans="1:5" x14ac:dyDescent="0.35">
      <c r="A395" s="471">
        <v>45378</v>
      </c>
      <c r="B395" s="107">
        <v>238.7</v>
      </c>
      <c r="D395" s="471">
        <v>45309</v>
      </c>
      <c r="E395" s="472">
        <v>6336.76</v>
      </c>
    </row>
    <row r="396" spans="1:5" x14ac:dyDescent="0.35">
      <c r="A396" s="471">
        <v>45376</v>
      </c>
      <c r="B396" s="107">
        <v>241.6</v>
      </c>
      <c r="D396" s="471">
        <v>45308</v>
      </c>
      <c r="E396" s="472">
        <v>6346.21</v>
      </c>
    </row>
    <row r="397" spans="1:5" x14ac:dyDescent="0.35">
      <c r="A397" s="471">
        <v>45375</v>
      </c>
      <c r="B397" s="107">
        <v>242.2</v>
      </c>
      <c r="D397" s="471">
        <v>45307</v>
      </c>
      <c r="E397" s="472">
        <v>6331.61</v>
      </c>
    </row>
    <row r="398" spans="1:5" x14ac:dyDescent="0.35">
      <c r="A398" s="471">
        <v>45372</v>
      </c>
      <c r="B398" s="107">
        <v>240.6</v>
      </c>
      <c r="D398" s="471">
        <v>45306</v>
      </c>
      <c r="E398" s="472">
        <v>6318.08</v>
      </c>
    </row>
    <row r="399" spans="1:5" x14ac:dyDescent="0.35">
      <c r="A399" s="471">
        <v>45371</v>
      </c>
      <c r="B399" s="107">
        <v>240.7</v>
      </c>
      <c r="D399" s="471">
        <v>45302</v>
      </c>
      <c r="E399" s="472">
        <v>6301.7</v>
      </c>
    </row>
    <row r="400" spans="1:5" x14ac:dyDescent="0.35">
      <c r="A400" s="471">
        <v>45370</v>
      </c>
      <c r="B400" s="107">
        <v>242.5</v>
      </c>
      <c r="D400" s="471">
        <v>45301</v>
      </c>
      <c r="E400" s="472">
        <v>6285.25</v>
      </c>
    </row>
    <row r="401" spans="1:5" x14ac:dyDescent="0.35">
      <c r="A401" s="471">
        <v>45369</v>
      </c>
      <c r="B401" s="107">
        <v>243.5</v>
      </c>
      <c r="D401" s="471">
        <v>45300</v>
      </c>
      <c r="E401" s="472">
        <v>6267.82</v>
      </c>
    </row>
    <row r="402" spans="1:5" x14ac:dyDescent="0.35">
      <c r="A402" s="471">
        <v>45365</v>
      </c>
      <c r="B402" s="107">
        <v>243.3</v>
      </c>
      <c r="D402" s="471">
        <v>45299</v>
      </c>
      <c r="E402" s="472">
        <v>6269.51</v>
      </c>
    </row>
    <row r="403" spans="1:5" x14ac:dyDescent="0.35">
      <c r="A403" s="471">
        <v>45364</v>
      </c>
      <c r="B403" s="107">
        <v>241.2</v>
      </c>
      <c r="D403" s="471">
        <v>45295</v>
      </c>
      <c r="E403" s="472">
        <v>6244.17</v>
      </c>
    </row>
    <row r="404" spans="1:5" x14ac:dyDescent="0.35">
      <c r="A404" s="471">
        <v>45363</v>
      </c>
      <c r="B404" s="107">
        <v>244.9</v>
      </c>
      <c r="D404" s="471">
        <v>45294</v>
      </c>
      <c r="E404" s="472">
        <v>6236.07</v>
      </c>
    </row>
    <row r="405" spans="1:5" x14ac:dyDescent="0.35">
      <c r="A405" s="471">
        <v>45362</v>
      </c>
      <c r="B405" s="107">
        <v>246.6</v>
      </c>
      <c r="D405" s="471">
        <v>45293</v>
      </c>
      <c r="E405" s="472">
        <v>6233.42</v>
      </c>
    </row>
    <row r="406" spans="1:5" x14ac:dyDescent="0.35">
      <c r="A406" s="471">
        <v>45361</v>
      </c>
      <c r="B406" s="107">
        <v>250.4</v>
      </c>
      <c r="D406" s="471">
        <v>45292</v>
      </c>
      <c r="E406" s="472">
        <v>6242.87</v>
      </c>
    </row>
    <row r="407" spans="1:5" x14ac:dyDescent="0.35">
      <c r="A407" s="471">
        <v>45358</v>
      </c>
      <c r="B407" s="107">
        <v>253.5</v>
      </c>
      <c r="D407" s="471">
        <v>45288</v>
      </c>
      <c r="E407" s="472">
        <v>6246.5</v>
      </c>
    </row>
    <row r="408" spans="1:5" x14ac:dyDescent="0.35">
      <c r="A408" s="471">
        <v>45357</v>
      </c>
      <c r="B408" s="107">
        <v>256.7</v>
      </c>
      <c r="D408" s="471">
        <v>45287</v>
      </c>
      <c r="E408" s="472">
        <v>6243.88</v>
      </c>
    </row>
    <row r="409" spans="1:5" x14ac:dyDescent="0.35">
      <c r="A409" s="471">
        <v>45356</v>
      </c>
      <c r="B409" s="107">
        <v>252.6</v>
      </c>
      <c r="D409" s="471">
        <v>45286</v>
      </c>
      <c r="E409" s="472">
        <v>6245.24</v>
      </c>
    </row>
    <row r="410" spans="1:5" x14ac:dyDescent="0.35">
      <c r="A410" s="471">
        <v>45355</v>
      </c>
      <c r="B410" s="107">
        <v>257.2</v>
      </c>
      <c r="D410" s="471">
        <v>45281</v>
      </c>
      <c r="E410" s="472">
        <v>6249.29</v>
      </c>
    </row>
    <row r="411" spans="1:5" x14ac:dyDescent="0.35">
      <c r="A411" s="471">
        <v>45354</v>
      </c>
      <c r="B411" s="107">
        <v>261.60000000000002</v>
      </c>
      <c r="D411" s="471">
        <v>45280</v>
      </c>
      <c r="E411" s="472">
        <v>6261.99</v>
      </c>
    </row>
    <row r="412" spans="1:5" x14ac:dyDescent="0.35">
      <c r="A412" s="471">
        <v>45350</v>
      </c>
      <c r="B412" s="107">
        <v>286.60000000000002</v>
      </c>
      <c r="D412" s="471">
        <v>45279</v>
      </c>
      <c r="E412" s="472">
        <v>6261.03</v>
      </c>
    </row>
    <row r="413" spans="1:5" x14ac:dyDescent="0.35">
      <c r="A413" s="471">
        <v>45349</v>
      </c>
      <c r="B413" s="107">
        <v>286.60000000000002</v>
      </c>
      <c r="D413" s="471">
        <v>45278</v>
      </c>
      <c r="E413" s="472">
        <v>6251.17</v>
      </c>
    </row>
    <row r="414" spans="1:5" x14ac:dyDescent="0.35">
      <c r="A414" s="471">
        <v>45347</v>
      </c>
      <c r="B414" s="107">
        <v>286.60000000000002</v>
      </c>
      <c r="D414" s="471">
        <v>45274</v>
      </c>
      <c r="E414" s="472">
        <v>6266.85</v>
      </c>
    </row>
    <row r="415" spans="1:5" x14ac:dyDescent="0.35">
      <c r="A415" s="471">
        <v>45344</v>
      </c>
      <c r="B415" s="107">
        <v>286.60000000000002</v>
      </c>
      <c r="D415" s="471">
        <v>45273</v>
      </c>
      <c r="E415" s="472">
        <v>6262.87</v>
      </c>
    </row>
    <row r="416" spans="1:5" x14ac:dyDescent="0.35">
      <c r="A416" s="471">
        <v>45342</v>
      </c>
      <c r="B416" s="107">
        <v>286.60000000000002</v>
      </c>
      <c r="D416" s="471">
        <v>45272</v>
      </c>
      <c r="E416" s="472">
        <v>6263.87</v>
      </c>
    </row>
    <row r="417" spans="1:5" x14ac:dyDescent="0.35">
      <c r="A417" s="471">
        <v>45341</v>
      </c>
      <c r="B417" s="107">
        <v>286.60000000000002</v>
      </c>
      <c r="D417" s="471">
        <v>45271</v>
      </c>
      <c r="E417" s="472">
        <v>6264.35</v>
      </c>
    </row>
    <row r="418" spans="1:5" x14ac:dyDescent="0.35">
      <c r="A418" s="471">
        <v>45340</v>
      </c>
      <c r="B418" s="107">
        <v>286.60000000000002</v>
      </c>
      <c r="D418" s="471">
        <v>45267</v>
      </c>
      <c r="E418" s="472">
        <v>6252.56</v>
      </c>
    </row>
    <row r="419" spans="1:5" x14ac:dyDescent="0.35">
      <c r="A419" s="471">
        <v>45337</v>
      </c>
      <c r="B419" s="107">
        <v>286.60000000000002</v>
      </c>
      <c r="D419" s="471">
        <v>45266</v>
      </c>
      <c r="E419" s="472">
        <v>6250.47</v>
      </c>
    </row>
    <row r="420" spans="1:5" x14ac:dyDescent="0.35">
      <c r="A420" s="471">
        <v>45336</v>
      </c>
      <c r="B420" s="107">
        <v>286.60000000000002</v>
      </c>
      <c r="D420" s="471">
        <v>45265</v>
      </c>
      <c r="E420" s="472">
        <v>6247.57</v>
      </c>
    </row>
    <row r="421" spans="1:5" x14ac:dyDescent="0.35">
      <c r="A421" s="471">
        <v>45335</v>
      </c>
      <c r="B421" s="107">
        <v>286.60000000000002</v>
      </c>
      <c r="D421" s="471">
        <v>45264</v>
      </c>
      <c r="E421" s="472">
        <v>6244.4</v>
      </c>
    </row>
    <row r="422" spans="1:5" x14ac:dyDescent="0.35">
      <c r="A422" s="471">
        <v>45334</v>
      </c>
      <c r="B422" s="107">
        <v>286.60000000000002</v>
      </c>
      <c r="D422" s="471">
        <v>45260</v>
      </c>
      <c r="E422" s="472">
        <v>6223.03</v>
      </c>
    </row>
    <row r="423" spans="1:5" x14ac:dyDescent="0.35">
      <c r="A423" s="471">
        <v>45333</v>
      </c>
      <c r="B423" s="107">
        <v>286.60000000000002</v>
      </c>
      <c r="D423" s="471">
        <v>45259</v>
      </c>
      <c r="E423" s="472">
        <v>6218.54</v>
      </c>
    </row>
    <row r="424" spans="1:5" x14ac:dyDescent="0.35">
      <c r="A424" s="471">
        <v>45330</v>
      </c>
      <c r="B424" s="107">
        <v>286.60000000000002</v>
      </c>
      <c r="D424" s="471">
        <v>45258</v>
      </c>
      <c r="E424" s="472">
        <v>6202.81</v>
      </c>
    </row>
    <row r="425" spans="1:5" x14ac:dyDescent="0.35">
      <c r="A425" s="471">
        <v>45329</v>
      </c>
      <c r="B425" s="107">
        <v>286.60000000000002</v>
      </c>
      <c r="D425" s="471">
        <v>45257</v>
      </c>
      <c r="E425" s="472">
        <v>6209.44</v>
      </c>
    </row>
    <row r="426" spans="1:5" x14ac:dyDescent="0.35">
      <c r="A426" s="471">
        <v>45328</v>
      </c>
      <c r="B426" s="107">
        <v>286.60000000000002</v>
      </c>
      <c r="D426" s="471">
        <v>45253</v>
      </c>
      <c r="E426" s="472">
        <v>6233.71</v>
      </c>
    </row>
    <row r="427" spans="1:5" x14ac:dyDescent="0.35">
      <c r="A427" s="471">
        <v>45327</v>
      </c>
      <c r="B427" s="107">
        <v>286.60000000000002</v>
      </c>
      <c r="D427" s="471">
        <v>45252</v>
      </c>
      <c r="E427" s="472">
        <v>6224.47</v>
      </c>
    </row>
    <row r="428" spans="1:5" x14ac:dyDescent="0.35">
      <c r="A428" s="471">
        <v>45326</v>
      </c>
      <c r="B428" s="107">
        <v>286.60000000000002</v>
      </c>
      <c r="D428" s="471">
        <v>45251</v>
      </c>
      <c r="E428" s="472">
        <v>6221.73</v>
      </c>
    </row>
    <row r="429" spans="1:5" x14ac:dyDescent="0.35">
      <c r="A429" s="471">
        <v>45323</v>
      </c>
      <c r="B429" s="107">
        <v>286.60000000000002</v>
      </c>
      <c r="D429" s="471">
        <v>45250</v>
      </c>
      <c r="E429" s="472">
        <v>6226.56</v>
      </c>
    </row>
    <row r="430" spans="1:5" x14ac:dyDescent="0.35">
      <c r="A430" s="471">
        <v>45322</v>
      </c>
      <c r="B430" s="107">
        <v>286.60000000000002</v>
      </c>
      <c r="D430" s="471">
        <v>45246</v>
      </c>
      <c r="E430" s="472">
        <v>6257.15</v>
      </c>
    </row>
    <row r="431" spans="1:5" x14ac:dyDescent="0.35">
      <c r="A431" s="471">
        <v>45321</v>
      </c>
      <c r="B431" s="107">
        <v>286.60000000000002</v>
      </c>
      <c r="D431" s="471">
        <v>45245</v>
      </c>
      <c r="E431" s="472">
        <v>6258.18</v>
      </c>
    </row>
    <row r="432" spans="1:5" x14ac:dyDescent="0.35">
      <c r="A432" s="471">
        <v>45320</v>
      </c>
      <c r="B432" s="107">
        <v>286.60000000000002</v>
      </c>
      <c r="D432" s="471">
        <v>45244</v>
      </c>
      <c r="E432" s="472">
        <v>6245.81</v>
      </c>
    </row>
    <row r="433" spans="1:5" x14ac:dyDescent="0.35">
      <c r="A433" s="471">
        <v>45319</v>
      </c>
      <c r="B433" s="107">
        <v>286.60000000000002</v>
      </c>
      <c r="D433" s="471">
        <v>45243</v>
      </c>
      <c r="E433" s="472">
        <v>6245.81</v>
      </c>
    </row>
    <row r="434" spans="1:5" x14ac:dyDescent="0.35">
      <c r="A434" s="471">
        <v>45316</v>
      </c>
      <c r="B434" s="107">
        <v>286.60000000000002</v>
      </c>
      <c r="D434" s="471">
        <v>45239</v>
      </c>
      <c r="E434" s="472">
        <v>6271.84</v>
      </c>
    </row>
    <row r="435" spans="1:5" x14ac:dyDescent="0.35">
      <c r="A435" s="471">
        <v>45315</v>
      </c>
      <c r="B435" s="107">
        <v>286.60000000000002</v>
      </c>
      <c r="D435" s="471">
        <v>45238</v>
      </c>
      <c r="E435" s="472">
        <v>6273.77</v>
      </c>
    </row>
    <row r="436" spans="1:5" x14ac:dyDescent="0.35">
      <c r="A436" s="471">
        <v>45314</v>
      </c>
      <c r="B436" s="107">
        <v>286.60000000000002</v>
      </c>
      <c r="D436" s="471">
        <v>45237</v>
      </c>
      <c r="E436" s="472">
        <v>6276.66</v>
      </c>
    </row>
    <row r="437" spans="1:5" x14ac:dyDescent="0.35">
      <c r="A437" s="471">
        <v>45313</v>
      </c>
      <c r="B437" s="107">
        <v>286.60000000000002</v>
      </c>
      <c r="D437" s="471">
        <v>45236</v>
      </c>
      <c r="E437" s="472">
        <v>6277.63</v>
      </c>
    </row>
    <row r="438" spans="1:5" x14ac:dyDescent="0.35">
      <c r="A438" s="471">
        <v>45312</v>
      </c>
      <c r="B438" s="107">
        <v>286.60000000000002</v>
      </c>
      <c r="D438" s="471">
        <v>45232</v>
      </c>
      <c r="E438" s="472">
        <v>6267.9</v>
      </c>
    </row>
    <row r="439" spans="1:5" x14ac:dyDescent="0.35">
      <c r="A439" s="471">
        <v>45309</v>
      </c>
      <c r="B439" s="107">
        <v>286.60000000000002</v>
      </c>
      <c r="D439" s="471">
        <v>45231</v>
      </c>
      <c r="E439" s="472">
        <v>6273.72</v>
      </c>
    </row>
    <row r="440" spans="1:5" x14ac:dyDescent="0.35">
      <c r="A440" s="471">
        <v>45308</v>
      </c>
      <c r="B440" s="107">
        <v>286.60000000000002</v>
      </c>
      <c r="D440" s="471">
        <v>45230</v>
      </c>
      <c r="E440" s="472">
        <v>6278.66</v>
      </c>
    </row>
    <row r="441" spans="1:5" x14ac:dyDescent="0.35">
      <c r="A441" s="471">
        <v>45307</v>
      </c>
      <c r="B441" s="107">
        <v>286.60000000000002</v>
      </c>
      <c r="D441" s="471">
        <v>45229</v>
      </c>
      <c r="E441" s="472">
        <v>6276.73</v>
      </c>
    </row>
    <row r="442" spans="1:5" x14ac:dyDescent="0.35">
      <c r="A442" s="471">
        <v>45306</v>
      </c>
      <c r="B442" s="107">
        <v>286.60000000000002</v>
      </c>
      <c r="D442" s="471">
        <v>45225</v>
      </c>
      <c r="E442" s="472">
        <v>6275.83</v>
      </c>
    </row>
    <row r="443" spans="1:5" x14ac:dyDescent="0.35">
      <c r="A443" s="471">
        <v>45305</v>
      </c>
      <c r="B443" s="107">
        <v>286.60000000000002</v>
      </c>
      <c r="D443" s="471">
        <v>45224</v>
      </c>
      <c r="E443" s="472">
        <v>6282.48</v>
      </c>
    </row>
    <row r="444" spans="1:5" x14ac:dyDescent="0.35">
      <c r="A444" s="471">
        <v>45302</v>
      </c>
      <c r="B444" s="107">
        <v>286.60000000000002</v>
      </c>
      <c r="D444" s="471">
        <v>45222</v>
      </c>
      <c r="E444" s="472">
        <v>6277.89</v>
      </c>
    </row>
    <row r="445" spans="1:5" x14ac:dyDescent="0.35">
      <c r="A445" s="471">
        <v>45301</v>
      </c>
      <c r="B445" s="107">
        <v>286.60000000000002</v>
      </c>
      <c r="D445" s="471">
        <v>45218</v>
      </c>
      <c r="E445" s="472">
        <v>6289.01</v>
      </c>
    </row>
    <row r="446" spans="1:5" x14ac:dyDescent="0.35">
      <c r="A446" s="471">
        <v>45300</v>
      </c>
      <c r="B446" s="107">
        <v>286.60000000000002</v>
      </c>
      <c r="D446" s="471">
        <v>45217</v>
      </c>
      <c r="E446" s="472">
        <v>6278.51</v>
      </c>
    </row>
    <row r="447" spans="1:5" x14ac:dyDescent="0.35">
      <c r="A447" s="471">
        <v>45299</v>
      </c>
      <c r="B447" s="107">
        <v>286.60000000000002</v>
      </c>
      <c r="D447" s="471">
        <v>45216</v>
      </c>
      <c r="E447" s="472">
        <v>6273.71</v>
      </c>
    </row>
    <row r="448" spans="1:5" x14ac:dyDescent="0.35">
      <c r="A448" s="471">
        <v>45295</v>
      </c>
      <c r="B448" s="107">
        <v>286.60000000000002</v>
      </c>
      <c r="D448" s="471">
        <v>45215</v>
      </c>
      <c r="E448" s="472">
        <v>6265.16</v>
      </c>
    </row>
    <row r="449" spans="1:5" x14ac:dyDescent="0.35">
      <c r="A449" s="471">
        <v>45294</v>
      </c>
      <c r="B449" s="107">
        <v>286.60000000000002</v>
      </c>
      <c r="D449" s="471">
        <v>45211</v>
      </c>
      <c r="E449" s="472">
        <v>6269.35</v>
      </c>
    </row>
    <row r="450" spans="1:5" x14ac:dyDescent="0.35">
      <c r="A450" s="471">
        <v>45293</v>
      </c>
      <c r="B450" s="107">
        <v>286.60000000000002</v>
      </c>
      <c r="D450" s="471">
        <v>45210</v>
      </c>
      <c r="E450" s="472">
        <v>6256.19</v>
      </c>
    </row>
    <row r="451" spans="1:5" x14ac:dyDescent="0.35">
      <c r="A451" s="471">
        <v>45292</v>
      </c>
      <c r="B451" s="107">
        <v>286.60000000000002</v>
      </c>
      <c r="D451" s="471">
        <v>45209</v>
      </c>
      <c r="E451" s="472">
        <v>6247.38</v>
      </c>
    </row>
    <row r="452" spans="1:5" x14ac:dyDescent="0.35">
      <c r="A452" s="471">
        <v>45288</v>
      </c>
      <c r="B452" s="107">
        <v>286.60000000000002</v>
      </c>
      <c r="D452" s="471">
        <v>45208</v>
      </c>
      <c r="E452" s="472">
        <v>6229.61</v>
      </c>
    </row>
    <row r="453" spans="1:5" x14ac:dyDescent="0.35">
      <c r="A453" s="471">
        <v>45287</v>
      </c>
      <c r="B453" s="107">
        <v>286.60000000000002</v>
      </c>
      <c r="D453" s="471">
        <v>45204</v>
      </c>
      <c r="E453" s="472">
        <v>6261.72</v>
      </c>
    </row>
    <row r="454" spans="1:5" x14ac:dyDescent="0.35">
      <c r="A454" s="471">
        <v>45286</v>
      </c>
      <c r="B454" s="107">
        <v>286.60000000000002</v>
      </c>
      <c r="D454" s="471">
        <v>45203</v>
      </c>
      <c r="E454" s="472">
        <v>6262.79</v>
      </c>
    </row>
    <row r="455" spans="1:5" x14ac:dyDescent="0.35">
      <c r="A455" s="471">
        <v>45284</v>
      </c>
      <c r="B455" s="107">
        <v>286.60000000000002</v>
      </c>
      <c r="D455" s="471">
        <v>45202</v>
      </c>
      <c r="E455" s="472">
        <v>6262.44</v>
      </c>
    </row>
    <row r="456" spans="1:5" x14ac:dyDescent="0.35">
      <c r="A456" s="471">
        <v>45281</v>
      </c>
      <c r="B456" s="107">
        <v>286.60000000000002</v>
      </c>
      <c r="D456" s="471">
        <v>45201</v>
      </c>
      <c r="E456" s="472">
        <v>6272.94</v>
      </c>
    </row>
    <row r="457" spans="1:5" x14ac:dyDescent="0.35">
      <c r="A457" s="471">
        <v>45280</v>
      </c>
      <c r="B457" s="107">
        <v>286.60000000000002</v>
      </c>
      <c r="D457" s="471">
        <v>45196</v>
      </c>
      <c r="E457" s="472">
        <v>6284.63</v>
      </c>
    </row>
    <row r="458" spans="1:5" x14ac:dyDescent="0.35">
      <c r="A458" s="471">
        <v>45279</v>
      </c>
      <c r="B458" s="107">
        <v>286.60000000000002</v>
      </c>
      <c r="D458" s="471">
        <v>45195</v>
      </c>
      <c r="E458" s="472">
        <v>6283.8</v>
      </c>
    </row>
    <row r="459" spans="1:5" x14ac:dyDescent="0.35">
      <c r="A459" s="471">
        <v>45278</v>
      </c>
      <c r="B459" s="107">
        <v>286.60000000000002</v>
      </c>
      <c r="D459" s="471">
        <v>45194</v>
      </c>
      <c r="E459" s="472">
        <v>6282.78</v>
      </c>
    </row>
    <row r="460" spans="1:5" x14ac:dyDescent="0.35">
      <c r="A460" s="471">
        <v>45277</v>
      </c>
      <c r="B460" s="107">
        <v>286.60000000000002</v>
      </c>
      <c r="D460" s="471">
        <v>45190</v>
      </c>
      <c r="E460" s="472">
        <v>6309.75</v>
      </c>
    </row>
    <row r="461" spans="1:5" x14ac:dyDescent="0.35">
      <c r="A461" s="471">
        <v>45274</v>
      </c>
      <c r="B461" s="107">
        <v>286.60000000000002</v>
      </c>
      <c r="D461" s="471">
        <v>45189</v>
      </c>
      <c r="E461" s="472">
        <v>6310.63</v>
      </c>
    </row>
    <row r="462" spans="1:5" x14ac:dyDescent="0.35">
      <c r="A462" s="471">
        <v>45273</v>
      </c>
      <c r="B462" s="107">
        <v>286.60000000000002</v>
      </c>
      <c r="D462" s="471">
        <v>45188</v>
      </c>
      <c r="E462" s="472">
        <v>6311.08</v>
      </c>
    </row>
    <row r="463" spans="1:5" x14ac:dyDescent="0.35">
      <c r="A463" s="471">
        <v>45272</v>
      </c>
      <c r="B463" s="107">
        <v>286.60000000000002</v>
      </c>
      <c r="D463" s="471">
        <v>45187</v>
      </c>
      <c r="E463" s="472">
        <v>6310.98</v>
      </c>
    </row>
    <row r="464" spans="1:5" x14ac:dyDescent="0.35">
      <c r="A464" s="471">
        <v>45271</v>
      </c>
      <c r="B464" s="107">
        <v>286.60000000000002</v>
      </c>
      <c r="D464" s="471">
        <v>45183</v>
      </c>
      <c r="E464" s="472">
        <v>6302.03</v>
      </c>
    </row>
    <row r="465" spans="1:5" x14ac:dyDescent="0.35">
      <c r="A465" s="471">
        <v>45270</v>
      </c>
      <c r="B465" s="107">
        <v>286.60000000000002</v>
      </c>
      <c r="D465" s="471">
        <v>45182</v>
      </c>
      <c r="E465" s="472">
        <v>6304.88</v>
      </c>
    </row>
    <row r="466" spans="1:5" x14ac:dyDescent="0.35">
      <c r="A466" s="471">
        <v>45267</v>
      </c>
      <c r="B466" s="107">
        <v>286.60000000000002</v>
      </c>
      <c r="D466" s="471">
        <v>45181</v>
      </c>
      <c r="E466" s="472">
        <v>6300.56</v>
      </c>
    </row>
    <row r="467" spans="1:5" x14ac:dyDescent="0.35">
      <c r="A467" s="471">
        <v>45266</v>
      </c>
      <c r="B467" s="107">
        <v>286.60000000000002</v>
      </c>
      <c r="D467" s="471">
        <v>45180</v>
      </c>
      <c r="E467" s="472">
        <v>6283.86</v>
      </c>
    </row>
    <row r="468" spans="1:5" x14ac:dyDescent="0.35">
      <c r="A468" s="471">
        <v>45265</v>
      </c>
      <c r="B468" s="107">
        <v>286.60000000000002</v>
      </c>
      <c r="D468" s="471">
        <v>45176</v>
      </c>
      <c r="E468" s="472">
        <v>6307.08</v>
      </c>
    </row>
    <row r="469" spans="1:5" x14ac:dyDescent="0.35">
      <c r="A469" s="471">
        <v>45264</v>
      </c>
      <c r="B469" s="107">
        <v>286.60000000000002</v>
      </c>
      <c r="D469" s="471">
        <v>45174</v>
      </c>
      <c r="E469" s="472">
        <v>6316.98</v>
      </c>
    </row>
    <row r="470" spans="1:5" x14ac:dyDescent="0.35">
      <c r="A470" s="471">
        <v>45263</v>
      </c>
      <c r="B470" s="107">
        <v>286.60000000000002</v>
      </c>
      <c r="D470" s="471">
        <v>45173</v>
      </c>
      <c r="E470" s="472">
        <v>6307.82</v>
      </c>
    </row>
    <row r="471" spans="1:5" x14ac:dyDescent="0.35">
      <c r="A471" s="471">
        <v>45260</v>
      </c>
      <c r="B471" s="107">
        <v>286.60000000000002</v>
      </c>
      <c r="D471" s="471">
        <v>45169</v>
      </c>
      <c r="E471" s="472">
        <v>6299.5</v>
      </c>
    </row>
    <row r="472" spans="1:5" x14ac:dyDescent="0.35">
      <c r="A472" s="471">
        <v>45259</v>
      </c>
      <c r="B472" s="107">
        <v>286.60000000000002</v>
      </c>
      <c r="D472" s="471">
        <v>45168</v>
      </c>
      <c r="E472" s="472">
        <v>6293.14</v>
      </c>
    </row>
    <row r="473" spans="1:5" x14ac:dyDescent="0.35">
      <c r="A473" s="471">
        <v>45258</v>
      </c>
      <c r="B473" s="107">
        <v>286.60000000000002</v>
      </c>
      <c r="D473" s="471">
        <v>45167</v>
      </c>
      <c r="E473" s="472">
        <v>6290.99</v>
      </c>
    </row>
    <row r="474" spans="1:5" x14ac:dyDescent="0.35">
      <c r="A474" s="471">
        <v>45257</v>
      </c>
      <c r="B474" s="107">
        <v>286.60000000000002</v>
      </c>
      <c r="D474" s="471">
        <v>45166</v>
      </c>
      <c r="E474" s="472">
        <v>6299.66</v>
      </c>
    </row>
    <row r="475" spans="1:5" x14ac:dyDescent="0.35">
      <c r="A475" s="471">
        <v>45256</v>
      </c>
      <c r="B475" s="107">
        <v>286.60000000000002</v>
      </c>
      <c r="D475" s="471">
        <v>45162</v>
      </c>
      <c r="E475" s="472">
        <v>6280.09</v>
      </c>
    </row>
    <row r="476" spans="1:5" x14ac:dyDescent="0.35">
      <c r="A476" s="471">
        <v>45253</v>
      </c>
      <c r="B476" s="107">
        <v>286.60000000000002</v>
      </c>
      <c r="D476" s="471">
        <v>45161</v>
      </c>
      <c r="E476" s="472">
        <v>6275.75</v>
      </c>
    </row>
    <row r="477" spans="1:5" x14ac:dyDescent="0.35">
      <c r="A477" s="471">
        <v>45252</v>
      </c>
      <c r="B477" s="107">
        <v>286.60000000000002</v>
      </c>
      <c r="D477" s="471">
        <v>45160</v>
      </c>
      <c r="E477" s="472">
        <v>6288.52</v>
      </c>
    </row>
    <row r="478" spans="1:5" x14ac:dyDescent="0.35">
      <c r="A478" s="471">
        <v>45251</v>
      </c>
      <c r="B478" s="107">
        <v>286.60000000000002</v>
      </c>
      <c r="D478" s="471">
        <v>45159</v>
      </c>
      <c r="E478" s="472">
        <v>6291.83</v>
      </c>
    </row>
    <row r="479" spans="1:5" x14ac:dyDescent="0.35">
      <c r="A479" s="471">
        <v>45250</v>
      </c>
      <c r="B479" s="107">
        <v>286.60000000000002</v>
      </c>
      <c r="D479" s="471">
        <v>45155</v>
      </c>
      <c r="E479" s="472">
        <v>6254.83</v>
      </c>
    </row>
    <row r="480" spans="1:5" x14ac:dyDescent="0.35">
      <c r="A480" s="471">
        <v>45249</v>
      </c>
      <c r="B480" s="107">
        <v>286.60000000000002</v>
      </c>
      <c r="D480" s="471">
        <v>45154</v>
      </c>
      <c r="E480" s="472">
        <v>6220.8</v>
      </c>
    </row>
    <row r="481" spans="1:5" x14ac:dyDescent="0.35">
      <c r="A481" s="471">
        <v>45246</v>
      </c>
      <c r="B481" s="107">
        <v>286.60000000000002</v>
      </c>
      <c r="D481" s="471">
        <v>45152</v>
      </c>
      <c r="E481" s="472">
        <v>6257.14</v>
      </c>
    </row>
    <row r="482" spans="1:5" x14ac:dyDescent="0.35">
      <c r="A482" s="471">
        <v>45245</v>
      </c>
      <c r="B482" s="107">
        <v>286.60000000000002</v>
      </c>
      <c r="D482" s="471">
        <v>45148</v>
      </c>
      <c r="E482" s="472">
        <v>6297.25</v>
      </c>
    </row>
    <row r="483" spans="1:5" x14ac:dyDescent="0.35">
      <c r="A483" s="471">
        <v>45244</v>
      </c>
      <c r="B483" s="107">
        <v>286.60000000000002</v>
      </c>
      <c r="D483" s="471">
        <v>45147</v>
      </c>
      <c r="E483" s="472">
        <v>6296.99</v>
      </c>
    </row>
    <row r="484" spans="1:5" x14ac:dyDescent="0.35">
      <c r="A484" s="471">
        <v>45243</v>
      </c>
      <c r="B484" s="107">
        <v>286.60000000000002</v>
      </c>
      <c r="D484" s="471">
        <v>45146</v>
      </c>
      <c r="E484" s="472">
        <v>6315.57</v>
      </c>
    </row>
    <row r="485" spans="1:5" x14ac:dyDescent="0.35">
      <c r="A485" s="471">
        <v>45242</v>
      </c>
      <c r="B485" s="107">
        <v>286.60000000000002</v>
      </c>
      <c r="D485" s="471">
        <v>45145</v>
      </c>
      <c r="E485" s="472">
        <v>6299.66</v>
      </c>
    </row>
    <row r="486" spans="1:5" x14ac:dyDescent="0.35">
      <c r="A486" s="471">
        <v>45239</v>
      </c>
      <c r="B486" s="107">
        <v>286.60000000000002</v>
      </c>
      <c r="D486" s="471">
        <v>45141</v>
      </c>
      <c r="E486" s="472">
        <v>6329.86</v>
      </c>
    </row>
    <row r="487" spans="1:5" x14ac:dyDescent="0.35">
      <c r="A487" s="471">
        <v>45238</v>
      </c>
      <c r="B487" s="107">
        <v>286.60000000000002</v>
      </c>
      <c r="D487" s="471">
        <v>45140</v>
      </c>
      <c r="E487" s="472">
        <v>6343</v>
      </c>
    </row>
    <row r="488" spans="1:5" x14ac:dyDescent="0.35">
      <c r="A488" s="471">
        <v>45237</v>
      </c>
      <c r="B488" s="107">
        <v>286.60000000000002</v>
      </c>
      <c r="D488" s="471">
        <v>45139</v>
      </c>
      <c r="E488" s="472">
        <v>6338.77</v>
      </c>
    </row>
    <row r="489" spans="1:5" x14ac:dyDescent="0.35">
      <c r="A489" s="471">
        <v>45236</v>
      </c>
      <c r="B489" s="107">
        <v>286.60000000000002</v>
      </c>
      <c r="D489" s="471">
        <v>45138</v>
      </c>
      <c r="E489" s="472">
        <v>6324.81</v>
      </c>
    </row>
    <row r="490" spans="1:5" x14ac:dyDescent="0.35">
      <c r="A490" s="471">
        <v>45235</v>
      </c>
      <c r="B490" s="107">
        <v>286.60000000000002</v>
      </c>
      <c r="D490" s="471">
        <v>45134</v>
      </c>
      <c r="E490" s="472">
        <v>6339.51</v>
      </c>
    </row>
    <row r="491" spans="1:5" x14ac:dyDescent="0.35">
      <c r="A491" s="471">
        <v>45232</v>
      </c>
      <c r="B491" s="107">
        <v>286.60000000000002</v>
      </c>
      <c r="D491" s="471">
        <v>45133</v>
      </c>
      <c r="E491" s="472">
        <v>6332.52</v>
      </c>
    </row>
    <row r="492" spans="1:5" x14ac:dyDescent="0.35">
      <c r="A492" s="471">
        <v>45231</v>
      </c>
      <c r="B492" s="107">
        <v>286.60000000000002</v>
      </c>
      <c r="D492" s="471">
        <v>45132</v>
      </c>
      <c r="E492" s="472">
        <v>6331.03</v>
      </c>
    </row>
    <row r="493" spans="1:5" x14ac:dyDescent="0.35">
      <c r="A493" s="471">
        <v>45230</v>
      </c>
      <c r="B493" s="107">
        <v>286.60000000000002</v>
      </c>
      <c r="D493" s="471">
        <v>45131</v>
      </c>
      <c r="E493" s="472">
        <v>6337.89</v>
      </c>
    </row>
    <row r="494" spans="1:5" x14ac:dyDescent="0.35">
      <c r="A494" s="471">
        <v>45229</v>
      </c>
      <c r="B494" s="107">
        <v>286.60000000000002</v>
      </c>
      <c r="D494" s="471">
        <v>45127</v>
      </c>
      <c r="E494" s="472">
        <v>6365.61</v>
      </c>
    </row>
    <row r="495" spans="1:5" x14ac:dyDescent="0.35">
      <c r="A495" s="471">
        <v>45228</v>
      </c>
      <c r="B495" s="107">
        <v>286.60000000000002</v>
      </c>
      <c r="D495" s="471">
        <v>45126</v>
      </c>
      <c r="E495" s="472">
        <v>6366.17</v>
      </c>
    </row>
    <row r="496" spans="1:5" x14ac:dyDescent="0.35">
      <c r="A496" s="471">
        <v>45225</v>
      </c>
      <c r="B496" s="107">
        <v>286.60000000000002</v>
      </c>
      <c r="D496" s="471">
        <v>45125</v>
      </c>
      <c r="E496" s="472">
        <v>6351.1</v>
      </c>
    </row>
    <row r="497" spans="1:5" x14ac:dyDescent="0.35">
      <c r="A497" s="471">
        <v>45224</v>
      </c>
      <c r="B497" s="107">
        <v>286.60000000000002</v>
      </c>
      <c r="D497" s="471">
        <v>45124</v>
      </c>
      <c r="E497" s="472">
        <v>6361.16</v>
      </c>
    </row>
    <row r="498" spans="1:5" x14ac:dyDescent="0.35">
      <c r="A498" s="471">
        <v>45222</v>
      </c>
      <c r="B498" s="107">
        <v>286.60000000000002</v>
      </c>
      <c r="D498" s="471">
        <v>45120</v>
      </c>
      <c r="E498" s="472">
        <v>6341.1</v>
      </c>
    </row>
    <row r="499" spans="1:5" x14ac:dyDescent="0.35">
      <c r="A499" s="471">
        <v>45221</v>
      </c>
      <c r="B499" s="107">
        <v>286.60000000000002</v>
      </c>
      <c r="D499" s="471">
        <v>45119</v>
      </c>
      <c r="E499" s="472">
        <v>6336.79</v>
      </c>
    </row>
    <row r="500" spans="1:5" x14ac:dyDescent="0.35">
      <c r="A500" s="471">
        <v>45218</v>
      </c>
      <c r="B500" s="107">
        <v>286.60000000000002</v>
      </c>
      <c r="D500" s="471">
        <v>45118</v>
      </c>
      <c r="E500" s="472">
        <v>6327.99</v>
      </c>
    </row>
    <row r="501" spans="1:5" x14ac:dyDescent="0.35">
      <c r="A501" s="471">
        <v>45217</v>
      </c>
      <c r="B501" s="107">
        <v>286.60000000000002</v>
      </c>
      <c r="D501" s="471">
        <v>45117</v>
      </c>
      <c r="E501" s="472">
        <v>6325.2</v>
      </c>
    </row>
    <row r="502" spans="1:5" x14ac:dyDescent="0.35">
      <c r="A502" s="471">
        <v>45216</v>
      </c>
      <c r="B502" s="107">
        <v>286.60000000000002</v>
      </c>
      <c r="D502" s="471">
        <v>45113</v>
      </c>
      <c r="E502" s="472">
        <v>6334.79</v>
      </c>
    </row>
    <row r="503" spans="1:5" x14ac:dyDescent="0.35">
      <c r="A503" s="471">
        <v>45215</v>
      </c>
      <c r="B503" s="107">
        <v>286.60000000000002</v>
      </c>
      <c r="D503" s="471">
        <v>45112</v>
      </c>
      <c r="E503" s="472">
        <v>6336.15</v>
      </c>
    </row>
    <row r="504" spans="1:5" x14ac:dyDescent="0.35">
      <c r="A504" s="471">
        <v>45214</v>
      </c>
      <c r="B504" s="107">
        <v>286.60000000000002</v>
      </c>
      <c r="D504" s="471">
        <v>45111</v>
      </c>
      <c r="E504" s="472">
        <v>6334.11</v>
      </c>
    </row>
    <row r="505" spans="1:5" x14ac:dyDescent="0.35">
      <c r="A505" s="471">
        <v>45211</v>
      </c>
      <c r="B505" s="107">
        <v>286.60000000000002</v>
      </c>
      <c r="D505" s="471">
        <v>45110</v>
      </c>
      <c r="E505" s="472">
        <v>6331.36</v>
      </c>
    </row>
    <row r="506" spans="1:5" x14ac:dyDescent="0.35">
      <c r="A506" s="471">
        <v>45210</v>
      </c>
      <c r="B506" s="107">
        <v>286.60000000000002</v>
      </c>
      <c r="D506" s="471">
        <v>45103</v>
      </c>
      <c r="E506" s="472">
        <v>6344.09</v>
      </c>
    </row>
    <row r="507" spans="1:5" x14ac:dyDescent="0.35">
      <c r="A507" s="471">
        <v>45209</v>
      </c>
      <c r="B507" s="107">
        <v>286.60000000000002</v>
      </c>
      <c r="D507" s="471">
        <v>45099</v>
      </c>
      <c r="E507" s="472">
        <v>6319.25</v>
      </c>
    </row>
    <row r="508" spans="1:5" x14ac:dyDescent="0.35">
      <c r="A508" s="471">
        <v>45208</v>
      </c>
      <c r="B508" s="107">
        <v>286.60000000000002</v>
      </c>
      <c r="D508" s="471">
        <v>45098</v>
      </c>
      <c r="E508" s="472">
        <v>6310.96</v>
      </c>
    </row>
    <row r="509" spans="1:5" x14ac:dyDescent="0.35">
      <c r="A509" s="471">
        <v>45207</v>
      </c>
      <c r="B509" s="107">
        <v>286.60000000000002</v>
      </c>
      <c r="D509" s="471">
        <v>45097</v>
      </c>
      <c r="E509" s="472">
        <v>6301.8</v>
      </c>
    </row>
    <row r="510" spans="1:5" x14ac:dyDescent="0.35">
      <c r="A510" s="471">
        <v>45204</v>
      </c>
      <c r="B510" s="107">
        <v>286.60000000000002</v>
      </c>
      <c r="D510" s="471">
        <v>45096</v>
      </c>
      <c r="E510" s="472">
        <v>6314.14</v>
      </c>
    </row>
    <row r="511" spans="1:5" x14ac:dyDescent="0.35">
      <c r="A511" s="471">
        <v>45203</v>
      </c>
      <c r="B511" s="107">
        <v>286.60000000000002</v>
      </c>
      <c r="D511" s="471">
        <v>45092</v>
      </c>
      <c r="E511" s="472">
        <v>6280.02</v>
      </c>
    </row>
    <row r="512" spans="1:5" x14ac:dyDescent="0.35">
      <c r="A512" s="471">
        <v>45202</v>
      </c>
      <c r="B512" s="107">
        <v>286.60000000000002</v>
      </c>
      <c r="D512" s="471">
        <v>45091</v>
      </c>
      <c r="E512" s="472">
        <v>6274.76</v>
      </c>
    </row>
    <row r="513" spans="1:5" x14ac:dyDescent="0.35">
      <c r="A513" s="471">
        <v>45201</v>
      </c>
      <c r="B513" s="107">
        <v>286.60000000000002</v>
      </c>
      <c r="D513" s="471">
        <v>45090</v>
      </c>
      <c r="E513" s="472">
        <v>6298.92</v>
      </c>
    </row>
    <row r="514" spans="1:5" x14ac:dyDescent="0.35">
      <c r="A514" s="471">
        <v>45200</v>
      </c>
      <c r="B514" s="107">
        <v>286.60000000000002</v>
      </c>
      <c r="D514" s="471">
        <v>45089</v>
      </c>
      <c r="E514" s="472">
        <v>6310.6</v>
      </c>
    </row>
    <row r="515" spans="1:5" x14ac:dyDescent="0.35">
      <c r="A515" s="471">
        <v>45196</v>
      </c>
      <c r="B515" s="107">
        <v>286.60000000000002</v>
      </c>
      <c r="D515" s="471">
        <v>45085</v>
      </c>
      <c r="E515" s="472">
        <v>6352.84</v>
      </c>
    </row>
    <row r="516" spans="1:5" x14ac:dyDescent="0.35">
      <c r="A516" s="471">
        <v>45195</v>
      </c>
      <c r="B516" s="107">
        <v>286.60000000000002</v>
      </c>
      <c r="D516" s="471">
        <v>45084</v>
      </c>
      <c r="E516" s="472">
        <v>6338.99</v>
      </c>
    </row>
    <row r="517" spans="1:5" x14ac:dyDescent="0.35">
      <c r="A517" s="471">
        <v>45194</v>
      </c>
      <c r="B517" s="107">
        <v>286.60000000000002</v>
      </c>
      <c r="D517" s="471">
        <v>45083</v>
      </c>
      <c r="E517" s="472">
        <v>6316.19</v>
      </c>
    </row>
    <row r="518" spans="1:5" x14ac:dyDescent="0.35">
      <c r="A518" s="471">
        <v>45193</v>
      </c>
      <c r="B518" s="107">
        <v>286.60000000000002</v>
      </c>
      <c r="D518" s="471">
        <v>45082</v>
      </c>
      <c r="E518" s="472">
        <v>6356.3</v>
      </c>
    </row>
    <row r="519" spans="1:5" x14ac:dyDescent="0.35">
      <c r="A519" s="471">
        <v>45190</v>
      </c>
      <c r="B519" s="107">
        <v>286.60000000000002</v>
      </c>
      <c r="D519" s="471">
        <v>45078</v>
      </c>
      <c r="E519" s="472">
        <v>6355.56</v>
      </c>
    </row>
    <row r="520" spans="1:5" x14ac:dyDescent="0.35">
      <c r="A520" s="471">
        <v>45189</v>
      </c>
      <c r="B520" s="107">
        <v>286.60000000000002</v>
      </c>
      <c r="D520" s="471">
        <v>45077</v>
      </c>
      <c r="E520" s="472">
        <v>6339.74</v>
      </c>
    </row>
    <row r="521" spans="1:5" x14ac:dyDescent="0.35">
      <c r="A521" s="471">
        <v>45188</v>
      </c>
      <c r="B521" s="107">
        <v>286.60000000000002</v>
      </c>
      <c r="D521" s="471">
        <v>45076</v>
      </c>
      <c r="E521" s="472">
        <v>6345.78</v>
      </c>
    </row>
    <row r="522" spans="1:5" x14ac:dyDescent="0.35">
      <c r="A522" s="471">
        <v>45187</v>
      </c>
      <c r="B522" s="107">
        <v>286.60000000000002</v>
      </c>
      <c r="D522" s="471">
        <v>45075</v>
      </c>
      <c r="E522" s="472">
        <v>6332.74</v>
      </c>
    </row>
    <row r="523" spans="1:5" x14ac:dyDescent="0.35">
      <c r="A523" s="471">
        <v>45186</v>
      </c>
      <c r="B523" s="107">
        <v>286.60000000000002</v>
      </c>
      <c r="D523" s="471">
        <v>45071</v>
      </c>
      <c r="E523" s="472">
        <v>6325.73</v>
      </c>
    </row>
    <row r="524" spans="1:5" x14ac:dyDescent="0.35">
      <c r="A524" s="471">
        <v>45183</v>
      </c>
      <c r="B524" s="107">
        <v>286.60000000000002</v>
      </c>
      <c r="D524" s="471">
        <v>45070</v>
      </c>
      <c r="E524" s="472">
        <v>6305.9</v>
      </c>
    </row>
    <row r="525" spans="1:5" x14ac:dyDescent="0.35">
      <c r="A525" s="471">
        <v>45182</v>
      </c>
      <c r="B525" s="107">
        <v>286.60000000000002</v>
      </c>
      <c r="D525" s="471">
        <v>45069</v>
      </c>
      <c r="E525" s="472">
        <v>6306.19</v>
      </c>
    </row>
    <row r="526" spans="1:5" x14ac:dyDescent="0.35">
      <c r="A526" s="471">
        <v>45181</v>
      </c>
      <c r="B526" s="107">
        <v>286.60000000000002</v>
      </c>
      <c r="D526" s="471">
        <v>45068</v>
      </c>
      <c r="E526" s="472">
        <v>6281.65</v>
      </c>
    </row>
    <row r="527" spans="1:5" x14ac:dyDescent="0.35">
      <c r="A527" s="471">
        <v>45180</v>
      </c>
      <c r="B527" s="107">
        <v>286.60000000000002</v>
      </c>
      <c r="D527" s="471">
        <v>45064</v>
      </c>
      <c r="E527" s="472">
        <v>6290.2</v>
      </c>
    </row>
    <row r="528" spans="1:5" x14ac:dyDescent="0.35">
      <c r="A528" s="471">
        <v>45179</v>
      </c>
      <c r="B528" s="107">
        <v>286.60000000000002</v>
      </c>
      <c r="D528" s="471">
        <v>45063</v>
      </c>
      <c r="E528" s="472">
        <v>6281.25</v>
      </c>
    </row>
    <row r="529" spans="1:5" x14ac:dyDescent="0.35">
      <c r="A529" s="471">
        <v>45176</v>
      </c>
      <c r="B529" s="107">
        <v>286.60000000000002</v>
      </c>
      <c r="D529" s="471">
        <v>45062</v>
      </c>
      <c r="E529" s="472">
        <v>6277.21</v>
      </c>
    </row>
    <row r="530" spans="1:5" x14ac:dyDescent="0.35">
      <c r="A530" s="471">
        <v>45174</v>
      </c>
      <c r="B530" s="107">
        <v>286.60000000000002</v>
      </c>
      <c r="D530" s="471">
        <v>45061</v>
      </c>
      <c r="E530" s="472">
        <v>6260.1</v>
      </c>
    </row>
    <row r="531" spans="1:5" x14ac:dyDescent="0.35">
      <c r="A531" s="471">
        <v>45173</v>
      </c>
      <c r="B531" s="107">
        <v>286.60000000000002</v>
      </c>
      <c r="D531" s="471">
        <v>45057</v>
      </c>
      <c r="E531" s="472">
        <v>6272.43</v>
      </c>
    </row>
    <row r="532" spans="1:5" x14ac:dyDescent="0.35">
      <c r="A532" s="471">
        <v>45172</v>
      </c>
      <c r="B532" s="107">
        <v>286.60000000000002</v>
      </c>
      <c r="D532" s="471">
        <v>45056</v>
      </c>
      <c r="E532" s="472">
        <v>6279.11</v>
      </c>
    </row>
    <row r="533" spans="1:5" x14ac:dyDescent="0.35">
      <c r="A533" s="471">
        <v>45169</v>
      </c>
      <c r="B533" s="107">
        <v>286.60000000000002</v>
      </c>
      <c r="D533" s="471">
        <v>45055</v>
      </c>
      <c r="E533" s="472">
        <v>6273.6</v>
      </c>
    </row>
    <row r="534" spans="1:5" x14ac:dyDescent="0.35">
      <c r="A534" s="471">
        <v>45168</v>
      </c>
      <c r="B534" s="107">
        <v>286.60000000000002</v>
      </c>
      <c r="D534" s="471">
        <v>45054</v>
      </c>
      <c r="E534" s="472">
        <v>6261.63</v>
      </c>
    </row>
    <row r="535" spans="1:5" x14ac:dyDescent="0.35">
      <c r="A535" s="471">
        <v>45167</v>
      </c>
      <c r="B535" s="107">
        <v>286.60000000000002</v>
      </c>
      <c r="D535" s="471">
        <v>45049</v>
      </c>
      <c r="E535" s="472">
        <v>6269.16</v>
      </c>
    </row>
    <row r="536" spans="1:5" x14ac:dyDescent="0.35">
      <c r="A536" s="471">
        <v>45166</v>
      </c>
      <c r="B536" s="107">
        <v>286.60000000000002</v>
      </c>
      <c r="D536" s="471">
        <v>45048</v>
      </c>
      <c r="E536" s="472">
        <v>6270.77</v>
      </c>
    </row>
    <row r="537" spans="1:5" x14ac:dyDescent="0.35">
      <c r="A537" s="471">
        <v>45165</v>
      </c>
      <c r="B537" s="107">
        <v>286.60000000000002</v>
      </c>
      <c r="D537" s="471">
        <v>45043</v>
      </c>
      <c r="E537" s="472">
        <v>6274.06</v>
      </c>
    </row>
    <row r="538" spans="1:5" x14ac:dyDescent="0.35">
      <c r="A538" s="471">
        <v>45162</v>
      </c>
      <c r="B538" s="107">
        <v>286.60000000000002</v>
      </c>
      <c r="D538" s="471">
        <v>45042</v>
      </c>
      <c r="E538" s="472">
        <v>6266.36</v>
      </c>
    </row>
    <row r="539" spans="1:5" x14ac:dyDescent="0.35">
      <c r="A539" s="471">
        <v>45161</v>
      </c>
      <c r="B539" s="107">
        <v>286.60000000000002</v>
      </c>
      <c r="D539" s="471">
        <v>45041</v>
      </c>
      <c r="E539" s="472">
        <v>6263.52</v>
      </c>
    </row>
    <row r="540" spans="1:5" x14ac:dyDescent="0.35">
      <c r="A540" s="471">
        <v>45160</v>
      </c>
      <c r="B540" s="107">
        <v>286.60000000000002</v>
      </c>
      <c r="D540" s="471">
        <v>45040</v>
      </c>
      <c r="E540" s="472">
        <v>6252.16</v>
      </c>
    </row>
    <row r="541" spans="1:5" x14ac:dyDescent="0.35">
      <c r="A541" s="471">
        <v>45159</v>
      </c>
      <c r="B541" s="107">
        <v>286.60000000000002</v>
      </c>
      <c r="D541" s="471">
        <v>45034</v>
      </c>
      <c r="E541" s="472">
        <v>6228.65</v>
      </c>
    </row>
    <row r="542" spans="1:5" x14ac:dyDescent="0.35">
      <c r="A542" s="471">
        <v>45158</v>
      </c>
      <c r="B542" s="107">
        <v>286.60000000000002</v>
      </c>
      <c r="D542" s="471">
        <v>45033</v>
      </c>
      <c r="E542" s="472">
        <v>6223.06</v>
      </c>
    </row>
    <row r="543" spans="1:5" x14ac:dyDescent="0.35">
      <c r="A543" s="471">
        <v>45155</v>
      </c>
      <c r="B543" s="107">
        <v>286.60000000000002</v>
      </c>
      <c r="D543" s="471">
        <v>45029</v>
      </c>
      <c r="E543" s="472">
        <v>6215.18</v>
      </c>
    </row>
    <row r="544" spans="1:5" x14ac:dyDescent="0.35">
      <c r="A544" s="471">
        <v>45154</v>
      </c>
      <c r="B544" s="107">
        <v>286.60000000000002</v>
      </c>
      <c r="D544" s="471">
        <v>45028</v>
      </c>
      <c r="E544" s="472">
        <v>6204.88</v>
      </c>
    </row>
    <row r="545" spans="1:5" x14ac:dyDescent="0.35">
      <c r="A545" s="471">
        <v>45152</v>
      </c>
      <c r="B545" s="107">
        <v>286.60000000000002</v>
      </c>
      <c r="D545" s="471">
        <v>45027</v>
      </c>
      <c r="E545" s="472">
        <v>6196.49</v>
      </c>
    </row>
    <row r="546" spans="1:5" x14ac:dyDescent="0.35">
      <c r="A546" s="471">
        <v>45151</v>
      </c>
      <c r="B546" s="107">
        <v>286.60000000000002</v>
      </c>
      <c r="D546" s="471">
        <v>45026</v>
      </c>
      <c r="E546" s="472">
        <v>6201.55</v>
      </c>
    </row>
    <row r="547" spans="1:5" x14ac:dyDescent="0.35">
      <c r="A547" s="471">
        <v>45148</v>
      </c>
      <c r="B547" s="107">
        <v>286.60000000000002</v>
      </c>
      <c r="D547" s="471">
        <v>45022</v>
      </c>
      <c r="E547" s="472">
        <v>6214.2</v>
      </c>
    </row>
    <row r="548" spans="1:5" x14ac:dyDescent="0.35">
      <c r="A548" s="471">
        <v>45147</v>
      </c>
      <c r="B548" s="107">
        <v>286.60000000000002</v>
      </c>
      <c r="D548" s="471">
        <v>45021</v>
      </c>
      <c r="E548" s="472">
        <v>6211.03</v>
      </c>
    </row>
    <row r="549" spans="1:5" x14ac:dyDescent="0.35">
      <c r="A549" s="471">
        <v>45146</v>
      </c>
      <c r="B549" s="107">
        <v>286.60000000000002</v>
      </c>
      <c r="D549" s="471">
        <v>45020</v>
      </c>
      <c r="E549" s="472">
        <v>6209.68</v>
      </c>
    </row>
    <row r="550" spans="1:5" x14ac:dyDescent="0.35">
      <c r="A550" s="471">
        <v>45145</v>
      </c>
      <c r="B550" s="107">
        <v>286.60000000000002</v>
      </c>
      <c r="D550" s="471">
        <v>45019</v>
      </c>
      <c r="E550" s="472">
        <v>6213.45</v>
      </c>
    </row>
    <row r="551" spans="1:5" x14ac:dyDescent="0.35">
      <c r="A551" s="471">
        <v>45144</v>
      </c>
      <c r="B551" s="107">
        <v>286.60000000000002</v>
      </c>
      <c r="D551" s="471">
        <v>45015</v>
      </c>
      <c r="E551" s="472">
        <v>6206.8</v>
      </c>
    </row>
    <row r="552" spans="1:5" x14ac:dyDescent="0.35">
      <c r="A552" s="471">
        <v>45141</v>
      </c>
      <c r="B552" s="107">
        <v>286.60000000000002</v>
      </c>
      <c r="D552" s="471">
        <v>45014</v>
      </c>
      <c r="E552" s="472">
        <v>6196.75</v>
      </c>
    </row>
    <row r="553" spans="1:5" x14ac:dyDescent="0.35">
      <c r="A553" s="471">
        <v>45140</v>
      </c>
      <c r="B553" s="107">
        <v>286.60000000000002</v>
      </c>
      <c r="D553" s="471">
        <v>45013</v>
      </c>
      <c r="E553" s="472">
        <v>6193.08</v>
      </c>
    </row>
    <row r="554" spans="1:5" x14ac:dyDescent="0.35">
      <c r="A554" s="471">
        <v>45139</v>
      </c>
      <c r="B554" s="107">
        <v>286.60000000000002</v>
      </c>
      <c r="D554" s="471">
        <v>45012</v>
      </c>
      <c r="E554" s="472">
        <v>6203.92</v>
      </c>
    </row>
    <row r="555" spans="1:5" x14ac:dyDescent="0.35">
      <c r="A555" s="471">
        <v>45138</v>
      </c>
      <c r="B555" s="107">
        <v>286.60000000000002</v>
      </c>
      <c r="D555" s="471">
        <v>45008</v>
      </c>
      <c r="E555" s="472">
        <v>6215.3</v>
      </c>
    </row>
    <row r="556" spans="1:5" x14ac:dyDescent="0.35">
      <c r="A556" s="471">
        <v>45137</v>
      </c>
      <c r="B556" s="107">
        <v>286.60000000000002</v>
      </c>
      <c r="D556" s="471">
        <v>45007</v>
      </c>
      <c r="E556" s="472">
        <v>6206.64</v>
      </c>
    </row>
    <row r="557" spans="1:5" x14ac:dyDescent="0.35">
      <c r="A557" s="471">
        <v>45134</v>
      </c>
      <c r="B557" s="107">
        <v>286.60000000000002</v>
      </c>
      <c r="D557" s="471">
        <v>45006</v>
      </c>
      <c r="E557" s="472">
        <v>6222.9</v>
      </c>
    </row>
    <row r="558" spans="1:5" x14ac:dyDescent="0.35">
      <c r="A558" s="471">
        <v>45133</v>
      </c>
      <c r="B558" s="107">
        <v>286.60000000000002</v>
      </c>
      <c r="D558" s="471">
        <v>45005</v>
      </c>
      <c r="E558" s="472">
        <v>6204.18</v>
      </c>
    </row>
    <row r="559" spans="1:5" x14ac:dyDescent="0.35">
      <c r="A559" s="471">
        <v>45132</v>
      </c>
      <c r="B559" s="107">
        <v>286.60000000000002</v>
      </c>
      <c r="D559" s="471">
        <v>45001</v>
      </c>
      <c r="E559" s="472">
        <v>6220.24</v>
      </c>
    </row>
    <row r="560" spans="1:5" x14ac:dyDescent="0.35">
      <c r="A560" s="471">
        <v>45131</v>
      </c>
      <c r="B560" s="107">
        <v>286.60000000000002</v>
      </c>
      <c r="D560" s="471">
        <v>45000</v>
      </c>
      <c r="E560" s="472">
        <v>6213.37</v>
      </c>
    </row>
    <row r="561" spans="1:5" x14ac:dyDescent="0.35">
      <c r="A561" s="471">
        <v>45130</v>
      </c>
      <c r="B561" s="107">
        <v>286.60000000000002</v>
      </c>
      <c r="D561" s="471">
        <v>44999</v>
      </c>
      <c r="E561" s="472">
        <v>6231.96</v>
      </c>
    </row>
    <row r="562" spans="1:5" x14ac:dyDescent="0.35">
      <c r="A562" s="471">
        <v>45127</v>
      </c>
      <c r="B562" s="107">
        <v>286.60000000000002</v>
      </c>
      <c r="D562" s="471">
        <v>44998</v>
      </c>
      <c r="E562" s="472">
        <v>6243.57</v>
      </c>
    </row>
    <row r="563" spans="1:5" x14ac:dyDescent="0.35">
      <c r="A563" s="471">
        <v>45126</v>
      </c>
      <c r="B563" s="107">
        <v>286.60000000000002</v>
      </c>
      <c r="D563" s="471">
        <v>44994</v>
      </c>
      <c r="E563" s="472">
        <v>6260.18</v>
      </c>
    </row>
    <row r="564" spans="1:5" x14ac:dyDescent="0.35">
      <c r="A564" s="471">
        <v>45125</v>
      </c>
      <c r="B564" s="107">
        <v>286.60000000000002</v>
      </c>
      <c r="D564" s="471">
        <v>44992</v>
      </c>
      <c r="E564" s="472">
        <v>6262.31</v>
      </c>
    </row>
    <row r="565" spans="1:5" x14ac:dyDescent="0.35">
      <c r="A565" s="471">
        <v>45124</v>
      </c>
      <c r="B565" s="107">
        <v>286.60000000000002</v>
      </c>
      <c r="D565" s="471">
        <v>44991</v>
      </c>
      <c r="E565" s="472">
        <v>6259.48</v>
      </c>
    </row>
    <row r="566" spans="1:5" x14ac:dyDescent="0.35">
      <c r="A566" s="471">
        <v>45123</v>
      </c>
      <c r="B566" s="107">
        <v>286.60000000000002</v>
      </c>
      <c r="D566" s="471">
        <v>44987</v>
      </c>
      <c r="E566" s="472">
        <v>6213.74</v>
      </c>
    </row>
    <row r="567" spans="1:5" x14ac:dyDescent="0.35">
      <c r="A567" s="471">
        <v>45120</v>
      </c>
      <c r="B567" s="107">
        <v>286.60000000000002</v>
      </c>
      <c r="D567" s="471">
        <v>44986</v>
      </c>
      <c r="E567" s="472">
        <v>6214.69</v>
      </c>
    </row>
    <row r="568" spans="1:5" x14ac:dyDescent="0.35">
      <c r="A568" s="471">
        <v>45119</v>
      </c>
      <c r="B568" s="107">
        <v>286.60000000000002</v>
      </c>
      <c r="D568" s="471">
        <v>44985</v>
      </c>
      <c r="E568" s="472">
        <v>6216.95</v>
      </c>
    </row>
    <row r="569" spans="1:5" x14ac:dyDescent="0.35">
      <c r="A569" s="471">
        <v>45118</v>
      </c>
      <c r="B569" s="107">
        <v>286.60000000000002</v>
      </c>
      <c r="D569" s="471">
        <v>44984</v>
      </c>
      <c r="E569" s="472">
        <v>6199.2</v>
      </c>
    </row>
    <row r="570" spans="1:5" x14ac:dyDescent="0.35">
      <c r="A570" s="471">
        <v>45117</v>
      </c>
      <c r="B570" s="107">
        <v>286.60000000000002</v>
      </c>
      <c r="D570" s="471">
        <v>44980</v>
      </c>
      <c r="E570" s="472">
        <v>6205.12</v>
      </c>
    </row>
    <row r="571" spans="1:5" x14ac:dyDescent="0.35">
      <c r="A571" s="471">
        <v>45116</v>
      </c>
      <c r="B571" s="107">
        <v>286.60000000000002</v>
      </c>
      <c r="D571" s="471">
        <v>44979</v>
      </c>
      <c r="E571" s="472">
        <v>6218.3</v>
      </c>
    </row>
    <row r="572" spans="1:5" x14ac:dyDescent="0.35">
      <c r="A572" s="471">
        <v>45113</v>
      </c>
      <c r="B572" s="107">
        <v>286.60000000000002</v>
      </c>
      <c r="D572" s="471">
        <v>44977</v>
      </c>
      <c r="E572" s="472">
        <v>6218.84</v>
      </c>
    </row>
    <row r="573" spans="1:5" x14ac:dyDescent="0.35">
      <c r="A573" s="471">
        <v>45112</v>
      </c>
      <c r="B573" s="107">
        <v>286.60000000000002</v>
      </c>
      <c r="D573" s="471">
        <v>44973</v>
      </c>
      <c r="E573" s="472">
        <v>6246.21</v>
      </c>
    </row>
    <row r="574" spans="1:5" x14ac:dyDescent="0.35">
      <c r="A574" s="471">
        <v>45111</v>
      </c>
      <c r="B574" s="107">
        <v>286.60000000000002</v>
      </c>
      <c r="D574" s="471">
        <v>44972</v>
      </c>
      <c r="E574" s="472">
        <v>6245.02</v>
      </c>
    </row>
    <row r="575" spans="1:5" x14ac:dyDescent="0.35">
      <c r="A575" s="471">
        <v>45110</v>
      </c>
      <c r="B575" s="107">
        <v>286.60000000000002</v>
      </c>
      <c r="D575" s="471">
        <v>44971</v>
      </c>
      <c r="E575" s="472">
        <v>6256.17</v>
      </c>
    </row>
    <row r="576" spans="1:5" x14ac:dyDescent="0.35">
      <c r="A576" s="471">
        <v>45109</v>
      </c>
      <c r="B576" s="107">
        <v>286.60000000000002</v>
      </c>
      <c r="D576" s="471">
        <v>44970</v>
      </c>
      <c r="E576" s="472">
        <v>6270.87</v>
      </c>
    </row>
    <row r="577" spans="1:5" x14ac:dyDescent="0.35">
      <c r="A577" s="471">
        <v>45103</v>
      </c>
      <c r="B577" s="107">
        <v>286.60000000000002</v>
      </c>
      <c r="D577" s="471">
        <v>44966</v>
      </c>
      <c r="E577" s="472">
        <v>6283.31</v>
      </c>
    </row>
    <row r="578" spans="1:5" x14ac:dyDescent="0.35">
      <c r="A578" s="471">
        <v>45102</v>
      </c>
      <c r="B578" s="107">
        <v>286.60000000000002</v>
      </c>
      <c r="D578" s="471">
        <v>44965</v>
      </c>
      <c r="E578" s="472">
        <v>6295.66</v>
      </c>
    </row>
    <row r="579" spans="1:5" x14ac:dyDescent="0.35">
      <c r="A579" s="471">
        <v>45099</v>
      </c>
      <c r="B579" s="107">
        <v>286.60000000000002</v>
      </c>
      <c r="D579" s="471">
        <v>44964</v>
      </c>
      <c r="E579" s="472">
        <v>6285.4</v>
      </c>
    </row>
    <row r="580" spans="1:5" x14ac:dyDescent="0.35">
      <c r="A580" s="471">
        <v>45098</v>
      </c>
      <c r="B580" s="107">
        <v>286.60000000000002</v>
      </c>
      <c r="D580" s="471">
        <v>44963</v>
      </c>
      <c r="E580" s="472">
        <v>6280.72</v>
      </c>
    </row>
    <row r="581" spans="1:5" x14ac:dyDescent="0.35">
      <c r="A581" s="471">
        <v>45097</v>
      </c>
      <c r="B581" s="107">
        <v>286.60000000000002</v>
      </c>
      <c r="D581" s="471">
        <v>44959</v>
      </c>
      <c r="E581" s="472">
        <v>6294.73</v>
      </c>
    </row>
    <row r="582" spans="1:5" x14ac:dyDescent="0.35">
      <c r="A582" s="471">
        <v>45096</v>
      </c>
      <c r="B582" s="107">
        <v>286.60000000000002</v>
      </c>
      <c r="D582" s="471">
        <v>44958</v>
      </c>
      <c r="E582" s="472">
        <v>6277.18</v>
      </c>
    </row>
    <row r="583" spans="1:5" x14ac:dyDescent="0.35">
      <c r="A583" s="471">
        <v>45095</v>
      </c>
      <c r="B583" s="107">
        <v>286.60000000000002</v>
      </c>
      <c r="D583" s="471">
        <v>44957</v>
      </c>
      <c r="E583" s="472">
        <v>6267.05</v>
      </c>
    </row>
    <row r="584" spans="1:5" x14ac:dyDescent="0.35">
      <c r="A584" s="471">
        <v>45092</v>
      </c>
      <c r="B584" s="107">
        <v>286.60000000000002</v>
      </c>
      <c r="D584" s="471">
        <v>44956</v>
      </c>
      <c r="E584" s="472">
        <v>6278.84</v>
      </c>
    </row>
    <row r="585" spans="1:5" x14ac:dyDescent="0.35">
      <c r="A585" s="471">
        <v>45091</v>
      </c>
      <c r="B585" s="107">
        <v>286.60000000000002</v>
      </c>
      <c r="D585" s="471">
        <v>44952</v>
      </c>
      <c r="E585" s="472">
        <v>6296.26</v>
      </c>
    </row>
    <row r="586" spans="1:5" x14ac:dyDescent="0.35">
      <c r="A586" s="471">
        <v>45090</v>
      </c>
      <c r="B586" s="107">
        <v>286.60000000000002</v>
      </c>
      <c r="D586" s="471">
        <v>44951</v>
      </c>
      <c r="E586" s="472">
        <v>6293.4</v>
      </c>
    </row>
    <row r="587" spans="1:5" x14ac:dyDescent="0.35">
      <c r="A587" s="471">
        <v>45089</v>
      </c>
      <c r="B587" s="107">
        <v>286.60000000000002</v>
      </c>
      <c r="D587" s="471">
        <v>44950</v>
      </c>
      <c r="E587" s="472">
        <v>6291.3</v>
      </c>
    </row>
    <row r="588" spans="1:5" x14ac:dyDescent="0.35">
      <c r="A588" s="471">
        <v>45088</v>
      </c>
      <c r="B588" s="107">
        <v>286.60000000000002</v>
      </c>
      <c r="D588" s="471">
        <v>44949</v>
      </c>
      <c r="E588" s="472">
        <v>6263.51</v>
      </c>
    </row>
    <row r="589" spans="1:5" x14ac:dyDescent="0.35">
      <c r="A589" s="471">
        <v>45085</v>
      </c>
      <c r="B589" s="107">
        <v>286.60000000000002</v>
      </c>
      <c r="D589" s="471">
        <v>44945</v>
      </c>
      <c r="E589" s="472">
        <v>6265.44</v>
      </c>
    </row>
    <row r="590" spans="1:5" x14ac:dyDescent="0.35">
      <c r="A590" s="471">
        <v>45084</v>
      </c>
      <c r="B590" s="107">
        <v>286.60000000000002</v>
      </c>
      <c r="D590" s="471">
        <v>44944</v>
      </c>
      <c r="E590" s="472">
        <v>6258.17</v>
      </c>
    </row>
    <row r="591" spans="1:5" x14ac:dyDescent="0.35">
      <c r="A591" s="471">
        <v>45083</v>
      </c>
      <c r="B591" s="107">
        <v>286.60000000000002</v>
      </c>
      <c r="D591" s="471">
        <v>44943</v>
      </c>
      <c r="E591" s="472">
        <v>6281.74</v>
      </c>
    </row>
    <row r="592" spans="1:5" x14ac:dyDescent="0.35">
      <c r="A592" s="471">
        <v>45082</v>
      </c>
      <c r="B592" s="107">
        <v>286.60000000000002</v>
      </c>
      <c r="D592" s="471">
        <v>44942</v>
      </c>
      <c r="E592" s="472">
        <v>6246.07</v>
      </c>
    </row>
    <row r="593" spans="1:5" x14ac:dyDescent="0.35">
      <c r="A593" s="471">
        <v>45081</v>
      </c>
      <c r="B593" s="107">
        <v>286.60000000000002</v>
      </c>
      <c r="D593" s="471">
        <v>44938</v>
      </c>
      <c r="E593" s="472">
        <v>6207.29</v>
      </c>
    </row>
    <row r="594" spans="1:5" x14ac:dyDescent="0.35">
      <c r="A594" s="471">
        <v>45078</v>
      </c>
      <c r="B594" s="107">
        <v>286.60000000000002</v>
      </c>
      <c r="D594" s="471">
        <v>44937</v>
      </c>
      <c r="E594" s="472">
        <v>6209.52</v>
      </c>
    </row>
    <row r="595" spans="1:5" x14ac:dyDescent="0.35">
      <c r="A595" s="471">
        <v>45077</v>
      </c>
      <c r="B595" s="107">
        <v>286.60000000000002</v>
      </c>
      <c r="D595" s="471">
        <v>44936</v>
      </c>
      <c r="E595" s="472">
        <v>6205.28</v>
      </c>
    </row>
    <row r="596" spans="1:5" x14ac:dyDescent="0.35">
      <c r="A596" s="471">
        <v>45076</v>
      </c>
      <c r="B596" s="107">
        <v>286.60000000000002</v>
      </c>
      <c r="D596" s="471">
        <v>44935</v>
      </c>
      <c r="E596" s="472">
        <v>6191.55</v>
      </c>
    </row>
    <row r="597" spans="1:5" x14ac:dyDescent="0.35">
      <c r="A597" s="471">
        <v>45075</v>
      </c>
      <c r="B597" s="107">
        <v>286.60000000000002</v>
      </c>
      <c r="D597" s="471">
        <v>44931</v>
      </c>
      <c r="E597" s="472">
        <v>6193.96</v>
      </c>
    </row>
    <row r="598" spans="1:5" x14ac:dyDescent="0.35">
      <c r="A598" s="471">
        <v>45074</v>
      </c>
      <c r="B598" s="107">
        <v>286.60000000000002</v>
      </c>
      <c r="D598" s="471">
        <v>44930</v>
      </c>
      <c r="E598" s="472">
        <v>6202.63</v>
      </c>
    </row>
    <row r="599" spans="1:5" x14ac:dyDescent="0.35">
      <c r="A599" s="471">
        <v>45071</v>
      </c>
      <c r="B599" s="107">
        <v>286.60000000000002</v>
      </c>
      <c r="D599" s="471">
        <v>44929</v>
      </c>
      <c r="E599" s="472">
        <v>6185.06</v>
      </c>
    </row>
    <row r="600" spans="1:5" x14ac:dyDescent="0.35">
      <c r="A600" s="471">
        <v>45070</v>
      </c>
      <c r="B600" s="107">
        <v>286.60000000000002</v>
      </c>
      <c r="D600" s="471">
        <v>44928</v>
      </c>
      <c r="E600" s="472">
        <v>6177.88</v>
      </c>
    </row>
    <row r="601" spans="1:5" x14ac:dyDescent="0.35">
      <c r="A601" s="471">
        <v>45069</v>
      </c>
      <c r="B601" s="107">
        <v>286.60000000000002</v>
      </c>
      <c r="D601" s="471">
        <v>44924</v>
      </c>
      <c r="E601" s="472">
        <v>6206.81</v>
      </c>
    </row>
    <row r="602" spans="1:5" x14ac:dyDescent="0.35">
      <c r="A602" s="471">
        <v>45068</v>
      </c>
      <c r="B602" s="107">
        <v>286.60000000000002</v>
      </c>
      <c r="D602" s="471">
        <v>44923</v>
      </c>
      <c r="E602" s="472">
        <v>6195.82</v>
      </c>
    </row>
    <row r="603" spans="1:5" x14ac:dyDescent="0.35">
      <c r="A603" s="471">
        <v>45067</v>
      </c>
      <c r="B603" s="107">
        <v>286.60000000000002</v>
      </c>
      <c r="D603" s="471">
        <v>44922</v>
      </c>
      <c r="E603" s="472">
        <v>6180.27</v>
      </c>
    </row>
    <row r="604" spans="1:5" x14ac:dyDescent="0.35">
      <c r="A604" s="471">
        <v>45064</v>
      </c>
      <c r="B604" s="107">
        <v>286.60000000000002</v>
      </c>
      <c r="D604" s="471">
        <v>44921</v>
      </c>
      <c r="E604" s="472">
        <v>6189.7</v>
      </c>
    </row>
    <row r="605" spans="1:5" x14ac:dyDescent="0.35">
      <c r="A605" s="471">
        <v>45063</v>
      </c>
      <c r="B605" s="107">
        <v>286.60000000000002</v>
      </c>
      <c r="D605" s="471">
        <v>44917</v>
      </c>
      <c r="E605" s="472">
        <v>6202.21</v>
      </c>
    </row>
    <row r="606" spans="1:5" x14ac:dyDescent="0.35">
      <c r="A606" s="471">
        <v>45062</v>
      </c>
      <c r="B606" s="107">
        <v>286.60000000000002</v>
      </c>
      <c r="D606" s="471">
        <v>44916</v>
      </c>
      <c r="E606" s="472">
        <v>6198.82</v>
      </c>
    </row>
    <row r="607" spans="1:5" x14ac:dyDescent="0.35">
      <c r="A607" s="471">
        <v>45061</v>
      </c>
      <c r="B607" s="107">
        <v>286.60000000000002</v>
      </c>
      <c r="D607" s="471">
        <v>44915</v>
      </c>
      <c r="E607" s="472">
        <v>6226.5</v>
      </c>
    </row>
    <row r="608" spans="1:5" x14ac:dyDescent="0.35">
      <c r="A608" s="471">
        <v>45060</v>
      </c>
      <c r="B608" s="107">
        <v>286.60000000000002</v>
      </c>
      <c r="D608" s="471">
        <v>44914</v>
      </c>
      <c r="E608" s="472">
        <v>6238.99</v>
      </c>
    </row>
    <row r="609" spans="1:5" x14ac:dyDescent="0.35">
      <c r="A609" s="471">
        <v>45057</v>
      </c>
      <c r="B609" s="107">
        <v>286.60000000000002</v>
      </c>
      <c r="D609" s="471">
        <v>44910</v>
      </c>
      <c r="E609" s="472">
        <v>6256.83</v>
      </c>
    </row>
    <row r="610" spans="1:5" x14ac:dyDescent="0.35">
      <c r="A610" s="471">
        <v>45056</v>
      </c>
      <c r="B610" s="107">
        <v>286.60000000000002</v>
      </c>
      <c r="D610" s="471">
        <v>44909</v>
      </c>
      <c r="E610" s="472">
        <v>6260.77</v>
      </c>
    </row>
    <row r="611" spans="1:5" x14ac:dyDescent="0.35">
      <c r="A611" s="471">
        <v>45055</v>
      </c>
      <c r="B611" s="107">
        <v>286.60000000000002</v>
      </c>
      <c r="D611" s="471">
        <v>44908</v>
      </c>
      <c r="E611" s="472">
        <v>6271.41</v>
      </c>
    </row>
    <row r="612" spans="1:5" x14ac:dyDescent="0.35">
      <c r="A612" s="471">
        <v>45054</v>
      </c>
      <c r="B612" s="107">
        <v>286.60000000000002</v>
      </c>
      <c r="D612" s="471">
        <v>44907</v>
      </c>
      <c r="E612" s="472">
        <v>6266.96</v>
      </c>
    </row>
    <row r="613" spans="1:5" x14ac:dyDescent="0.35">
      <c r="A613" s="471">
        <v>45053</v>
      </c>
      <c r="B613" s="107">
        <v>286.60000000000002</v>
      </c>
      <c r="D613" s="471">
        <v>44903</v>
      </c>
      <c r="E613" s="472">
        <v>6227.82</v>
      </c>
    </row>
    <row r="614" spans="1:5" x14ac:dyDescent="0.35">
      <c r="A614" s="471">
        <v>45049</v>
      </c>
      <c r="B614" s="107">
        <v>286.60000000000002</v>
      </c>
      <c r="D614" s="471">
        <v>44902</v>
      </c>
      <c r="E614" s="472">
        <v>6233.68</v>
      </c>
    </row>
    <row r="615" spans="1:5" x14ac:dyDescent="0.35">
      <c r="A615" s="471">
        <v>45048</v>
      </c>
      <c r="B615" s="107">
        <v>286.60000000000002</v>
      </c>
      <c r="D615" s="471">
        <v>44901</v>
      </c>
      <c r="E615" s="472">
        <v>6229.01</v>
      </c>
    </row>
    <row r="616" spans="1:5" x14ac:dyDescent="0.35">
      <c r="A616" s="471">
        <v>45046</v>
      </c>
      <c r="B616" s="107">
        <v>286.60000000000002</v>
      </c>
      <c r="D616" s="471">
        <v>44900</v>
      </c>
      <c r="E616" s="472">
        <v>6212.55</v>
      </c>
    </row>
    <row r="617" spans="1:5" x14ac:dyDescent="0.35">
      <c r="A617" s="471">
        <v>45043</v>
      </c>
      <c r="B617" s="107">
        <v>286.60000000000002</v>
      </c>
      <c r="D617" s="471">
        <v>44896</v>
      </c>
      <c r="E617" s="472">
        <v>6245.38</v>
      </c>
    </row>
    <row r="618" spans="1:5" x14ac:dyDescent="0.35">
      <c r="A618" s="471">
        <v>45042</v>
      </c>
      <c r="B618" s="107">
        <v>286.60000000000002</v>
      </c>
      <c r="D618" s="471">
        <v>44895</v>
      </c>
      <c r="E618" s="472">
        <v>6235.95</v>
      </c>
    </row>
    <row r="619" spans="1:5" x14ac:dyDescent="0.35">
      <c r="A619" s="471">
        <v>45041</v>
      </c>
      <c r="B619" s="107">
        <v>286.60000000000002</v>
      </c>
      <c r="D619" s="471">
        <v>44894</v>
      </c>
      <c r="E619" s="472">
        <v>6212.46</v>
      </c>
    </row>
    <row r="620" spans="1:5" x14ac:dyDescent="0.35">
      <c r="A620" s="471">
        <v>45040</v>
      </c>
      <c r="B620" s="107">
        <v>286.60000000000002</v>
      </c>
      <c r="D620" s="471">
        <v>44893</v>
      </c>
      <c r="E620" s="472">
        <v>6197.94</v>
      </c>
    </row>
    <row r="621" spans="1:5" x14ac:dyDescent="0.35">
      <c r="A621" s="471">
        <v>45034</v>
      </c>
      <c r="B621" s="107">
        <v>286.60000000000002</v>
      </c>
      <c r="D621" s="471">
        <v>44889</v>
      </c>
      <c r="E621" s="472">
        <v>6215.12</v>
      </c>
    </row>
    <row r="622" spans="1:5" x14ac:dyDescent="0.35">
      <c r="A622" s="471">
        <v>45033</v>
      </c>
      <c r="B622" s="107">
        <v>286.60000000000002</v>
      </c>
      <c r="D622" s="471">
        <v>44888</v>
      </c>
      <c r="E622" s="472">
        <v>6207.73</v>
      </c>
    </row>
    <row r="623" spans="1:5" x14ac:dyDescent="0.35">
      <c r="A623" s="471">
        <v>45032</v>
      </c>
      <c r="B623" s="107">
        <v>286.60000000000002</v>
      </c>
      <c r="D623" s="471">
        <v>44887</v>
      </c>
      <c r="E623" s="472">
        <v>6230.51</v>
      </c>
    </row>
    <row r="624" spans="1:5" x14ac:dyDescent="0.35">
      <c r="A624" s="471">
        <v>45029</v>
      </c>
      <c r="B624" s="107">
        <v>286.60000000000002</v>
      </c>
      <c r="D624" s="471">
        <v>44886</v>
      </c>
      <c r="E624" s="472">
        <v>6190.99</v>
      </c>
    </row>
    <row r="625" spans="1:5" x14ac:dyDescent="0.35">
      <c r="A625" s="471">
        <v>45028</v>
      </c>
      <c r="B625" s="107">
        <v>286.60000000000002</v>
      </c>
      <c r="D625" s="471">
        <v>44882</v>
      </c>
      <c r="E625" s="472">
        <v>6265.99</v>
      </c>
    </row>
    <row r="626" spans="1:5" x14ac:dyDescent="0.35">
      <c r="A626" s="471">
        <v>45027</v>
      </c>
      <c r="B626" s="107">
        <v>286.60000000000002</v>
      </c>
      <c r="D626" s="471">
        <v>44881</v>
      </c>
      <c r="E626" s="472">
        <v>6253.35</v>
      </c>
    </row>
    <row r="627" spans="1:5" x14ac:dyDescent="0.35">
      <c r="A627" s="471">
        <v>45026</v>
      </c>
      <c r="B627" s="107">
        <v>286.60000000000002</v>
      </c>
      <c r="D627" s="471">
        <v>44880</v>
      </c>
      <c r="E627" s="472">
        <v>6218.32</v>
      </c>
    </row>
    <row r="628" spans="1:5" x14ac:dyDescent="0.35">
      <c r="A628" s="471">
        <v>45025</v>
      </c>
      <c r="B628" s="107">
        <v>286.60000000000002</v>
      </c>
      <c r="D628" s="471">
        <v>44879</v>
      </c>
      <c r="E628" s="472">
        <v>6253.49</v>
      </c>
    </row>
    <row r="629" spans="1:5" x14ac:dyDescent="0.35">
      <c r="A629" s="471">
        <v>45022</v>
      </c>
      <c r="B629" s="107">
        <v>286.60000000000002</v>
      </c>
      <c r="D629" s="471">
        <v>44875</v>
      </c>
      <c r="E629" s="472">
        <v>6353.77</v>
      </c>
    </row>
    <row r="630" spans="1:5" x14ac:dyDescent="0.35">
      <c r="A630" s="471">
        <v>45021</v>
      </c>
      <c r="B630" s="107">
        <v>286.60000000000002</v>
      </c>
      <c r="D630" s="471">
        <v>44874</v>
      </c>
      <c r="E630" s="472">
        <v>6350.14</v>
      </c>
    </row>
    <row r="631" spans="1:5" x14ac:dyDescent="0.35">
      <c r="A631" s="471">
        <v>45020</v>
      </c>
      <c r="B631" s="107">
        <v>286.60000000000002</v>
      </c>
      <c r="D631" s="471">
        <v>44873</v>
      </c>
      <c r="E631" s="472">
        <v>6384.1</v>
      </c>
    </row>
    <row r="632" spans="1:5" x14ac:dyDescent="0.35">
      <c r="A632" s="471">
        <v>45019</v>
      </c>
      <c r="B632" s="107">
        <v>286.60000000000002</v>
      </c>
      <c r="D632" s="471">
        <v>44872</v>
      </c>
      <c r="E632" s="472">
        <v>6393.03</v>
      </c>
    </row>
    <row r="633" spans="1:5" x14ac:dyDescent="0.35">
      <c r="A633" s="471">
        <v>45018</v>
      </c>
      <c r="B633" s="107">
        <v>286.60000000000002</v>
      </c>
      <c r="D633" s="471">
        <v>44868</v>
      </c>
      <c r="E633" s="472">
        <v>6410.67</v>
      </c>
    </row>
    <row r="634" spans="1:5" x14ac:dyDescent="0.35">
      <c r="A634" s="471">
        <v>45015</v>
      </c>
      <c r="B634" s="107">
        <v>286.60000000000002</v>
      </c>
      <c r="D634" s="471">
        <v>44867</v>
      </c>
      <c r="E634" s="472">
        <v>6388.56</v>
      </c>
    </row>
    <row r="635" spans="1:5" x14ac:dyDescent="0.35">
      <c r="A635" s="471">
        <v>45014</v>
      </c>
      <c r="B635" s="107">
        <v>286.60000000000002</v>
      </c>
      <c r="D635" s="471">
        <v>44866</v>
      </c>
      <c r="E635" s="472">
        <v>6352.9</v>
      </c>
    </row>
    <row r="636" spans="1:5" x14ac:dyDescent="0.35">
      <c r="A636" s="471">
        <v>45013</v>
      </c>
      <c r="B636" s="107">
        <v>286.60000000000002</v>
      </c>
      <c r="D636" s="471">
        <v>44865</v>
      </c>
      <c r="E636" s="472">
        <v>6307.34</v>
      </c>
    </row>
    <row r="637" spans="1:5" x14ac:dyDescent="0.35">
      <c r="A637" s="471">
        <v>45012</v>
      </c>
      <c r="B637" s="107">
        <v>286.60000000000002</v>
      </c>
      <c r="D637" s="471">
        <v>44861</v>
      </c>
      <c r="E637" s="472">
        <v>6378</v>
      </c>
    </row>
    <row r="638" spans="1:5" x14ac:dyDescent="0.35">
      <c r="A638" s="471">
        <v>45008</v>
      </c>
      <c r="B638" s="107">
        <v>286.60000000000002</v>
      </c>
      <c r="D638" s="471">
        <v>44860</v>
      </c>
      <c r="E638" s="472">
        <v>6344.35</v>
      </c>
    </row>
    <row r="639" spans="1:5" x14ac:dyDescent="0.35">
      <c r="A639" s="471">
        <v>45007</v>
      </c>
      <c r="B639" s="107">
        <v>286.60000000000002</v>
      </c>
      <c r="D639" s="471">
        <v>44859</v>
      </c>
      <c r="E639" s="472">
        <v>6328.2</v>
      </c>
    </row>
    <row r="640" spans="1:5" x14ac:dyDescent="0.35">
      <c r="A640" s="471">
        <v>45006</v>
      </c>
      <c r="B640" s="107">
        <v>286.60000000000002</v>
      </c>
      <c r="D640" s="471">
        <v>44858</v>
      </c>
      <c r="E640" s="472">
        <v>6311.38</v>
      </c>
    </row>
    <row r="641" spans="1:5" x14ac:dyDescent="0.35">
      <c r="A641" s="471">
        <v>45005</v>
      </c>
      <c r="B641" s="107">
        <v>286.60000000000002</v>
      </c>
      <c r="D641" s="471">
        <v>44854</v>
      </c>
      <c r="E641" s="472">
        <v>6392.3</v>
      </c>
    </row>
    <row r="642" spans="1:5" x14ac:dyDescent="0.35">
      <c r="A642" s="471">
        <v>45004</v>
      </c>
      <c r="B642" s="107">
        <v>286.60000000000002</v>
      </c>
      <c r="D642" s="471">
        <v>44853</v>
      </c>
      <c r="E642" s="472">
        <v>6390.18</v>
      </c>
    </row>
    <row r="643" spans="1:5" x14ac:dyDescent="0.35">
      <c r="A643" s="471">
        <v>45001</v>
      </c>
      <c r="B643" s="107">
        <v>286.60000000000002</v>
      </c>
      <c r="D643" s="471">
        <v>44852</v>
      </c>
      <c r="E643" s="472">
        <v>6400.71</v>
      </c>
    </row>
    <row r="644" spans="1:5" x14ac:dyDescent="0.35">
      <c r="A644" s="471">
        <v>45000</v>
      </c>
      <c r="B644" s="107">
        <v>286.60000000000002</v>
      </c>
      <c r="D644" s="471">
        <v>44851</v>
      </c>
      <c r="E644" s="472">
        <v>6413.02</v>
      </c>
    </row>
    <row r="645" spans="1:5" x14ac:dyDescent="0.35">
      <c r="A645" s="471">
        <v>44999</v>
      </c>
      <c r="B645" s="107">
        <v>286.60000000000002</v>
      </c>
      <c r="D645" s="471">
        <v>44847</v>
      </c>
      <c r="E645" s="472">
        <v>6494.25</v>
      </c>
    </row>
    <row r="646" spans="1:5" x14ac:dyDescent="0.35">
      <c r="A646" s="471">
        <v>44998</v>
      </c>
      <c r="B646" s="107">
        <v>286.60000000000002</v>
      </c>
      <c r="D646" s="471">
        <v>44846</v>
      </c>
      <c r="E646" s="472">
        <v>6500.85</v>
      </c>
    </row>
    <row r="647" spans="1:5" x14ac:dyDescent="0.35">
      <c r="A647" s="471">
        <v>44997</v>
      </c>
      <c r="B647" s="107">
        <v>286.60000000000002</v>
      </c>
      <c r="D647" s="471">
        <v>44845</v>
      </c>
      <c r="E647" s="472">
        <v>6449.92</v>
      </c>
    </row>
    <row r="648" spans="1:5" x14ac:dyDescent="0.35">
      <c r="A648" s="471">
        <v>44994</v>
      </c>
      <c r="B648" s="107">
        <v>286.60000000000002</v>
      </c>
      <c r="D648" s="471">
        <v>44844</v>
      </c>
      <c r="E648" s="472">
        <v>6449.63</v>
      </c>
    </row>
    <row r="649" spans="1:5" x14ac:dyDescent="0.35">
      <c r="A649" s="471">
        <v>44992</v>
      </c>
      <c r="B649" s="107">
        <v>286.60000000000002</v>
      </c>
      <c r="D649" s="471">
        <v>44840</v>
      </c>
      <c r="E649" s="472">
        <v>6569.51</v>
      </c>
    </row>
    <row r="650" spans="1:5" x14ac:dyDescent="0.35">
      <c r="A650" s="471">
        <v>44991</v>
      </c>
      <c r="B650" s="107">
        <v>286.60000000000002</v>
      </c>
      <c r="D650" s="471">
        <v>44838</v>
      </c>
      <c r="E650" s="472">
        <v>6544.83</v>
      </c>
    </row>
    <row r="651" spans="1:5" x14ac:dyDescent="0.35">
      <c r="A651" s="471">
        <v>44990</v>
      </c>
      <c r="B651" s="107">
        <v>286.60000000000002</v>
      </c>
      <c r="D651" s="471">
        <v>44837</v>
      </c>
      <c r="E651" s="472">
        <v>6518.35</v>
      </c>
    </row>
    <row r="652" spans="1:5" x14ac:dyDescent="0.35">
      <c r="A652" s="471">
        <v>44987</v>
      </c>
      <c r="B652" s="107">
        <v>286.60000000000002</v>
      </c>
      <c r="D652" s="471">
        <v>44833</v>
      </c>
      <c r="E652" s="472">
        <v>6515.11</v>
      </c>
    </row>
    <row r="653" spans="1:5" x14ac:dyDescent="0.35">
      <c r="A653" s="471">
        <v>44986</v>
      </c>
      <c r="B653" s="107">
        <v>286.60000000000002</v>
      </c>
      <c r="D653" s="471">
        <v>44832</v>
      </c>
      <c r="E653" s="472">
        <v>6496.39</v>
      </c>
    </row>
    <row r="654" spans="1:5" x14ac:dyDescent="0.35">
      <c r="A654" s="471">
        <v>44985</v>
      </c>
      <c r="B654" s="107">
        <v>286.60000000000002</v>
      </c>
      <c r="D654" s="471">
        <v>44831</v>
      </c>
      <c r="E654" s="472">
        <v>6489.05</v>
      </c>
    </row>
    <row r="655" spans="1:5" x14ac:dyDescent="0.35">
      <c r="A655" s="471">
        <v>44984</v>
      </c>
      <c r="B655" s="107">
        <v>286.60000000000002</v>
      </c>
      <c r="D655" s="471">
        <v>44830</v>
      </c>
      <c r="E655" s="472">
        <v>6510.98</v>
      </c>
    </row>
    <row r="656" spans="1:5" x14ac:dyDescent="0.35">
      <c r="A656" s="471">
        <v>44980</v>
      </c>
      <c r="B656" s="107">
        <v>286.60000000000002</v>
      </c>
      <c r="D656" s="471">
        <v>44826</v>
      </c>
      <c r="E656" s="472">
        <v>6564</v>
      </c>
    </row>
    <row r="657" spans="1:5" x14ac:dyDescent="0.35">
      <c r="A657" s="471">
        <v>44979</v>
      </c>
      <c r="B657" s="107">
        <v>286.60000000000002</v>
      </c>
      <c r="D657" s="471">
        <v>44825</v>
      </c>
      <c r="E657" s="472">
        <v>6551.44</v>
      </c>
    </row>
    <row r="658" spans="1:5" x14ac:dyDescent="0.35">
      <c r="A658" s="471">
        <v>44977</v>
      </c>
      <c r="B658" s="107">
        <v>286.60000000000002</v>
      </c>
      <c r="D658" s="471">
        <v>44824</v>
      </c>
      <c r="E658" s="472">
        <v>6596.66</v>
      </c>
    </row>
    <row r="659" spans="1:5" x14ac:dyDescent="0.35">
      <c r="A659" s="471">
        <v>44976</v>
      </c>
      <c r="B659" s="107">
        <v>286.60000000000002</v>
      </c>
      <c r="D659" s="471">
        <v>44823</v>
      </c>
      <c r="E659" s="472">
        <v>6600.88</v>
      </c>
    </row>
    <row r="660" spans="1:5" x14ac:dyDescent="0.35">
      <c r="A660" s="471">
        <v>44973</v>
      </c>
      <c r="B660" s="107">
        <v>286.60000000000002</v>
      </c>
      <c r="D660" s="471">
        <v>44819</v>
      </c>
      <c r="E660" s="472">
        <v>6515.01</v>
      </c>
    </row>
    <row r="661" spans="1:5" x14ac:dyDescent="0.35">
      <c r="A661" s="471">
        <v>44972</v>
      </c>
      <c r="B661" s="107">
        <v>286.60000000000002</v>
      </c>
      <c r="D661" s="471">
        <v>44818</v>
      </c>
      <c r="E661" s="472">
        <v>6487.18</v>
      </c>
    </row>
    <row r="662" spans="1:5" x14ac:dyDescent="0.35">
      <c r="A662" s="471">
        <v>44971</v>
      </c>
      <c r="B662" s="107">
        <v>286.60000000000002</v>
      </c>
      <c r="D662" s="471">
        <v>44817</v>
      </c>
      <c r="E662" s="472">
        <v>6537.6</v>
      </c>
    </row>
    <row r="663" spans="1:5" x14ac:dyDescent="0.35">
      <c r="A663" s="471">
        <v>44970</v>
      </c>
      <c r="B663" s="107">
        <v>286.60000000000002</v>
      </c>
      <c r="D663" s="471">
        <v>44816</v>
      </c>
      <c r="E663" s="472">
        <v>6528.31</v>
      </c>
    </row>
    <row r="664" spans="1:5" x14ac:dyDescent="0.35">
      <c r="A664" s="471">
        <v>44969</v>
      </c>
      <c r="B664" s="107">
        <v>286.60000000000002</v>
      </c>
      <c r="D664" s="471">
        <v>44812</v>
      </c>
      <c r="E664" s="472">
        <v>6560.02</v>
      </c>
    </row>
    <row r="665" spans="1:5" x14ac:dyDescent="0.35">
      <c r="A665" s="471">
        <v>44966</v>
      </c>
      <c r="B665" s="107">
        <v>286.60000000000002</v>
      </c>
      <c r="D665" s="471">
        <v>44811</v>
      </c>
      <c r="E665" s="472">
        <v>6547.46</v>
      </c>
    </row>
    <row r="666" spans="1:5" x14ac:dyDescent="0.35">
      <c r="A666" s="471">
        <v>44965</v>
      </c>
      <c r="B666" s="107">
        <v>286.60000000000002</v>
      </c>
      <c r="D666" s="471">
        <v>44810</v>
      </c>
      <c r="E666" s="472">
        <v>6471</v>
      </c>
    </row>
    <row r="667" spans="1:5" x14ac:dyDescent="0.35">
      <c r="A667" s="471">
        <v>44964</v>
      </c>
      <c r="B667" s="107">
        <v>286.60000000000002</v>
      </c>
      <c r="D667" s="471">
        <v>44809</v>
      </c>
      <c r="E667" s="472">
        <v>6431.35</v>
      </c>
    </row>
    <row r="668" spans="1:5" x14ac:dyDescent="0.35">
      <c r="A668" s="471">
        <v>44963</v>
      </c>
      <c r="B668" s="107">
        <v>286.60000000000002</v>
      </c>
      <c r="D668" s="471">
        <v>44805</v>
      </c>
      <c r="E668" s="472">
        <v>6508.61</v>
      </c>
    </row>
    <row r="669" spans="1:5" x14ac:dyDescent="0.35">
      <c r="A669" s="471">
        <v>44962</v>
      </c>
      <c r="B669" s="107">
        <v>286.60000000000002</v>
      </c>
      <c r="D669" s="471">
        <v>44804</v>
      </c>
      <c r="E669" s="472">
        <v>6457.22</v>
      </c>
    </row>
    <row r="670" spans="1:5" x14ac:dyDescent="0.35">
      <c r="A670" s="471">
        <v>44959</v>
      </c>
      <c r="B670" s="107">
        <v>286.60000000000002</v>
      </c>
      <c r="D670" s="471">
        <v>44803</v>
      </c>
      <c r="E670" s="472">
        <v>6432.83</v>
      </c>
    </row>
    <row r="671" spans="1:5" x14ac:dyDescent="0.35">
      <c r="A671" s="471">
        <v>44958</v>
      </c>
      <c r="B671" s="107">
        <v>286.60000000000002</v>
      </c>
      <c r="D671" s="471">
        <v>44802</v>
      </c>
      <c r="E671" s="472">
        <v>6407.98</v>
      </c>
    </row>
    <row r="672" spans="1:5" x14ac:dyDescent="0.35">
      <c r="A672" s="471">
        <v>44957</v>
      </c>
      <c r="B672" s="107">
        <v>286.60000000000002</v>
      </c>
      <c r="D672" s="471">
        <v>44798</v>
      </c>
      <c r="E672" s="472">
        <v>6355.07</v>
      </c>
    </row>
    <row r="673" spans="1:5" x14ac:dyDescent="0.35">
      <c r="A673" s="471">
        <v>44956</v>
      </c>
      <c r="B673" s="107">
        <v>286.60000000000002</v>
      </c>
      <c r="D673" s="471">
        <v>44797</v>
      </c>
      <c r="E673" s="472">
        <v>6280.35</v>
      </c>
    </row>
    <row r="674" spans="1:5" x14ac:dyDescent="0.35">
      <c r="A674" s="471">
        <v>44955</v>
      </c>
      <c r="B674" s="107">
        <v>286.60000000000002</v>
      </c>
      <c r="D674" s="471">
        <v>44796</v>
      </c>
      <c r="E674" s="472">
        <v>6315.83</v>
      </c>
    </row>
    <row r="675" spans="1:5" x14ac:dyDescent="0.35">
      <c r="A675" s="471">
        <v>44952</v>
      </c>
      <c r="B675" s="107">
        <v>286.60000000000002</v>
      </c>
      <c r="D675" s="471">
        <v>44795</v>
      </c>
      <c r="E675" s="472">
        <v>6300.14</v>
      </c>
    </row>
    <row r="676" spans="1:5" x14ac:dyDescent="0.35">
      <c r="A676" s="471">
        <v>44951</v>
      </c>
      <c r="B676" s="107">
        <v>286.60000000000002</v>
      </c>
      <c r="D676" s="471">
        <v>44790</v>
      </c>
      <c r="E676" s="472">
        <v>6241.44</v>
      </c>
    </row>
    <row r="677" spans="1:5" x14ac:dyDescent="0.35">
      <c r="A677" s="471">
        <v>44950</v>
      </c>
      <c r="B677" s="107">
        <v>286.60000000000002</v>
      </c>
      <c r="D677" s="471">
        <v>44789</v>
      </c>
      <c r="E677" s="472">
        <v>6225.91</v>
      </c>
    </row>
    <row r="678" spans="1:5" x14ac:dyDescent="0.35">
      <c r="A678" s="471">
        <v>44949</v>
      </c>
      <c r="B678" s="107">
        <v>286.60000000000002</v>
      </c>
      <c r="D678" s="471">
        <v>44784</v>
      </c>
      <c r="E678" s="472">
        <v>6148.77</v>
      </c>
    </row>
    <row r="679" spans="1:5" x14ac:dyDescent="0.35">
      <c r="A679" s="471">
        <v>44948</v>
      </c>
      <c r="B679" s="107">
        <v>286.60000000000002</v>
      </c>
      <c r="D679" s="471">
        <v>44783</v>
      </c>
      <c r="E679" s="472">
        <v>6180.9</v>
      </c>
    </row>
    <row r="680" spans="1:5" x14ac:dyDescent="0.35">
      <c r="A680" s="471">
        <v>44945</v>
      </c>
      <c r="B680" s="107">
        <v>286.60000000000002</v>
      </c>
      <c r="D680" s="471">
        <v>44781</v>
      </c>
      <c r="E680" s="472">
        <v>6258.95</v>
      </c>
    </row>
    <row r="681" spans="1:5" x14ac:dyDescent="0.35">
      <c r="A681" s="471">
        <v>44944</v>
      </c>
      <c r="B681" s="107">
        <v>286.60000000000002</v>
      </c>
      <c r="D681" s="471">
        <v>44777</v>
      </c>
      <c r="E681" s="472">
        <v>6312.25</v>
      </c>
    </row>
    <row r="682" spans="1:5" x14ac:dyDescent="0.35">
      <c r="A682" s="471">
        <v>44943</v>
      </c>
      <c r="B682" s="107">
        <v>286.60000000000002</v>
      </c>
      <c r="D682" s="471">
        <v>44776</v>
      </c>
      <c r="E682" s="472">
        <v>6300.11</v>
      </c>
    </row>
    <row r="683" spans="1:5" x14ac:dyDescent="0.35">
      <c r="A683" s="471">
        <v>44942</v>
      </c>
      <c r="B683" s="107">
        <v>286.60000000000002</v>
      </c>
      <c r="D683" s="471">
        <v>44775</v>
      </c>
      <c r="E683" s="472">
        <v>6249.23</v>
      </c>
    </row>
    <row r="684" spans="1:5" x14ac:dyDescent="0.35">
      <c r="A684" s="471">
        <v>44941</v>
      </c>
      <c r="B684" s="107">
        <v>286.60000000000002</v>
      </c>
      <c r="D684" s="471">
        <v>44774</v>
      </c>
      <c r="E684" s="472">
        <v>6163.99</v>
      </c>
    </row>
    <row r="685" spans="1:5" x14ac:dyDescent="0.35">
      <c r="A685" s="471">
        <v>44938</v>
      </c>
      <c r="B685" s="107">
        <v>286.60000000000002</v>
      </c>
      <c r="D685" s="471">
        <v>44770</v>
      </c>
      <c r="E685" s="472">
        <v>5980.51</v>
      </c>
    </row>
    <row r="686" spans="1:5" x14ac:dyDescent="0.35">
      <c r="A686" s="471">
        <v>44937</v>
      </c>
      <c r="B686" s="107">
        <v>286.60000000000002</v>
      </c>
      <c r="D686" s="471">
        <v>44769</v>
      </c>
      <c r="E686" s="472">
        <v>6038</v>
      </c>
    </row>
    <row r="687" spans="1:5" x14ac:dyDescent="0.35">
      <c r="A687" s="471">
        <v>44936</v>
      </c>
      <c r="B687" s="107">
        <v>286.60000000000002</v>
      </c>
      <c r="D687" s="471">
        <v>44768</v>
      </c>
      <c r="E687" s="472">
        <v>6112.25</v>
      </c>
    </row>
    <row r="688" spans="1:5" x14ac:dyDescent="0.35">
      <c r="A688" s="471">
        <v>44935</v>
      </c>
      <c r="B688" s="107">
        <v>286.60000000000002</v>
      </c>
      <c r="D688" s="471">
        <v>44767</v>
      </c>
      <c r="E688" s="472">
        <v>6082.9</v>
      </c>
    </row>
    <row r="689" spans="1:5" x14ac:dyDescent="0.35">
      <c r="A689" s="471">
        <v>44934</v>
      </c>
      <c r="B689" s="107">
        <v>286.60000000000002</v>
      </c>
      <c r="D689" s="471">
        <v>44763</v>
      </c>
      <c r="E689" s="472">
        <v>6126.52</v>
      </c>
    </row>
    <row r="690" spans="1:5" x14ac:dyDescent="0.35">
      <c r="A690" s="471">
        <v>44931</v>
      </c>
      <c r="B690" s="107">
        <v>286.60000000000002</v>
      </c>
      <c r="D690" s="471">
        <v>44762</v>
      </c>
      <c r="E690" s="472">
        <v>6138.79</v>
      </c>
    </row>
    <row r="691" spans="1:5" x14ac:dyDescent="0.35">
      <c r="A691" s="471">
        <v>44930</v>
      </c>
      <c r="B691" s="107">
        <v>286.60000000000002</v>
      </c>
      <c r="D691" s="471">
        <v>44761</v>
      </c>
      <c r="E691" s="472">
        <v>6153.18</v>
      </c>
    </row>
    <row r="692" spans="1:5" x14ac:dyDescent="0.35">
      <c r="A692" s="471">
        <v>44929</v>
      </c>
      <c r="B692" s="107">
        <v>286.60000000000002</v>
      </c>
      <c r="D692" s="471">
        <v>44760</v>
      </c>
      <c r="E692" s="472">
        <v>6216.89</v>
      </c>
    </row>
    <row r="693" spans="1:5" x14ac:dyDescent="0.35">
      <c r="A693" s="471">
        <v>44928</v>
      </c>
      <c r="B693" s="107">
        <v>286.60000000000002</v>
      </c>
      <c r="D693" s="471">
        <v>44756</v>
      </c>
      <c r="E693" s="472">
        <v>6324.5</v>
      </c>
    </row>
    <row r="694" spans="1:5" x14ac:dyDescent="0.35">
      <c r="A694" s="471">
        <v>44927</v>
      </c>
      <c r="B694" s="107">
        <v>286.60000000000002</v>
      </c>
      <c r="D694" s="471">
        <v>44755</v>
      </c>
      <c r="E694" s="472">
        <v>6324.81</v>
      </c>
    </row>
    <row r="695" spans="1:5" x14ac:dyDescent="0.35">
      <c r="A695" s="471">
        <v>44924</v>
      </c>
      <c r="B695" s="107">
        <v>286.60000000000002</v>
      </c>
      <c r="D695" s="471">
        <v>44754</v>
      </c>
      <c r="E695" s="472">
        <v>6355.49</v>
      </c>
    </row>
    <row r="696" spans="1:5" x14ac:dyDescent="0.35">
      <c r="A696" s="471">
        <v>44923</v>
      </c>
      <c r="B696" s="107">
        <v>286.60000000000002</v>
      </c>
      <c r="D696" s="471">
        <v>44749</v>
      </c>
      <c r="E696" s="472">
        <v>6366.95</v>
      </c>
    </row>
    <row r="697" spans="1:5" x14ac:dyDescent="0.35">
      <c r="A697" s="471">
        <v>44922</v>
      </c>
      <c r="B697" s="107">
        <v>286.60000000000002</v>
      </c>
      <c r="D697" s="471">
        <v>44748</v>
      </c>
      <c r="E697" s="472">
        <v>6366.05</v>
      </c>
    </row>
    <row r="698" spans="1:5" x14ac:dyDescent="0.35">
      <c r="A698" s="471">
        <v>44921</v>
      </c>
      <c r="B698" s="107">
        <v>286.60000000000002</v>
      </c>
      <c r="D698" s="471">
        <v>44747</v>
      </c>
      <c r="E698" s="472">
        <v>6372.13</v>
      </c>
    </row>
    <row r="699" spans="1:5" x14ac:dyDescent="0.35">
      <c r="A699" s="471">
        <v>44917</v>
      </c>
      <c r="B699" s="107">
        <v>286.60000000000002</v>
      </c>
      <c r="D699" s="471">
        <v>44746</v>
      </c>
      <c r="E699" s="472">
        <v>6346.88</v>
      </c>
    </row>
    <row r="700" spans="1:5" x14ac:dyDescent="0.35">
      <c r="A700" s="471">
        <v>44916</v>
      </c>
      <c r="B700" s="107">
        <v>286.60000000000002</v>
      </c>
      <c r="D700" s="471">
        <v>44745</v>
      </c>
      <c r="E700" s="472">
        <v>6359.77</v>
      </c>
    </row>
    <row r="701" spans="1:5" x14ac:dyDescent="0.35">
      <c r="A701" s="471">
        <v>44915</v>
      </c>
      <c r="B701" s="107">
        <v>286.60000000000002</v>
      </c>
      <c r="D701" s="471">
        <v>44742</v>
      </c>
      <c r="E701" s="472">
        <v>6376.94</v>
      </c>
    </row>
    <row r="702" spans="1:5" x14ac:dyDescent="0.35">
      <c r="A702" s="471">
        <v>44914</v>
      </c>
      <c r="B702" s="107">
        <v>286.60000000000002</v>
      </c>
      <c r="D702" s="471">
        <v>44741</v>
      </c>
      <c r="E702" s="472">
        <v>6350.46</v>
      </c>
    </row>
    <row r="703" spans="1:5" x14ac:dyDescent="0.35">
      <c r="A703" s="471">
        <v>44913</v>
      </c>
      <c r="B703" s="107">
        <v>286.60000000000002</v>
      </c>
      <c r="D703" s="471">
        <v>44740</v>
      </c>
      <c r="E703" s="472">
        <v>6342.59</v>
      </c>
    </row>
    <row r="704" spans="1:5" x14ac:dyDescent="0.35">
      <c r="A704" s="471">
        <v>44910</v>
      </c>
      <c r="B704" s="107">
        <v>286.60000000000002</v>
      </c>
      <c r="D704" s="471">
        <v>44739</v>
      </c>
      <c r="E704" s="472">
        <v>6320.33</v>
      </c>
    </row>
    <row r="705" spans="1:5" x14ac:dyDescent="0.35">
      <c r="A705" s="471">
        <v>44909</v>
      </c>
      <c r="B705" s="107">
        <v>286.60000000000002</v>
      </c>
      <c r="D705" s="471">
        <v>44738</v>
      </c>
      <c r="E705" s="472">
        <v>6301.08</v>
      </c>
    </row>
    <row r="706" spans="1:5" x14ac:dyDescent="0.35">
      <c r="A706" s="471">
        <v>44908</v>
      </c>
      <c r="B706" s="107">
        <v>286.60000000000002</v>
      </c>
      <c r="D706" s="471">
        <v>44735</v>
      </c>
      <c r="E706" s="472">
        <v>6327.65</v>
      </c>
    </row>
    <row r="707" spans="1:5" x14ac:dyDescent="0.35">
      <c r="A707" s="471">
        <v>44907</v>
      </c>
      <c r="B707" s="107">
        <v>286.60000000000002</v>
      </c>
      <c r="D707" s="471">
        <v>44734</v>
      </c>
      <c r="E707" s="472">
        <v>6317.8</v>
      </c>
    </row>
    <row r="708" spans="1:5" x14ac:dyDescent="0.35">
      <c r="A708" s="471">
        <v>44906</v>
      </c>
      <c r="B708" s="107">
        <v>286.60000000000002</v>
      </c>
      <c r="D708" s="471">
        <v>44733</v>
      </c>
      <c r="E708" s="472">
        <v>6311.65</v>
      </c>
    </row>
    <row r="709" spans="1:5" x14ac:dyDescent="0.35">
      <c r="A709" s="471">
        <v>44903</v>
      </c>
      <c r="B709" s="107">
        <v>286.60000000000002</v>
      </c>
      <c r="D709" s="471">
        <v>44732</v>
      </c>
      <c r="E709" s="472">
        <v>6357.38</v>
      </c>
    </row>
    <row r="710" spans="1:5" x14ac:dyDescent="0.35">
      <c r="A710" s="471">
        <v>44902</v>
      </c>
      <c r="B710" s="107">
        <v>286.60000000000002</v>
      </c>
      <c r="D710" s="471">
        <v>44731</v>
      </c>
      <c r="E710" s="472">
        <v>6407.37</v>
      </c>
    </row>
    <row r="711" spans="1:5" x14ac:dyDescent="0.35">
      <c r="A711" s="471">
        <v>44901</v>
      </c>
      <c r="B711" s="107">
        <v>286.60000000000002</v>
      </c>
      <c r="D711" s="471">
        <v>44728</v>
      </c>
      <c r="E711" s="472">
        <v>6425.73</v>
      </c>
    </row>
    <row r="712" spans="1:5" x14ac:dyDescent="0.35">
      <c r="A712" s="471">
        <v>44900</v>
      </c>
      <c r="B712" s="107">
        <v>286.60000000000002</v>
      </c>
      <c r="D712" s="471">
        <v>44727</v>
      </c>
      <c r="E712" s="472">
        <v>6374.51</v>
      </c>
    </row>
    <row r="713" spans="1:5" x14ac:dyDescent="0.35">
      <c r="A713" s="471">
        <v>44899</v>
      </c>
      <c r="B713" s="107">
        <v>286.60000000000002</v>
      </c>
      <c r="D713" s="471">
        <v>44726</v>
      </c>
      <c r="E713" s="472">
        <v>6361.39</v>
      </c>
    </row>
    <row r="714" spans="1:5" x14ac:dyDescent="0.35">
      <c r="A714" s="471">
        <v>44896</v>
      </c>
      <c r="B714" s="107">
        <v>286.60000000000002</v>
      </c>
      <c r="D714" s="471">
        <v>44725</v>
      </c>
      <c r="E714" s="472">
        <v>6391.99</v>
      </c>
    </row>
    <row r="715" spans="1:5" x14ac:dyDescent="0.35">
      <c r="A715" s="471">
        <v>44895</v>
      </c>
      <c r="B715" s="107">
        <v>286.60000000000002</v>
      </c>
      <c r="D715" s="471">
        <v>44724</v>
      </c>
      <c r="E715" s="472">
        <v>6431.46</v>
      </c>
    </row>
    <row r="716" spans="1:5" x14ac:dyDescent="0.35">
      <c r="A716" s="471">
        <v>44894</v>
      </c>
      <c r="B716" s="107">
        <v>286.60000000000002</v>
      </c>
      <c r="D716" s="471">
        <v>44721</v>
      </c>
      <c r="E716" s="472">
        <v>6480.3</v>
      </c>
    </row>
    <row r="717" spans="1:5" x14ac:dyDescent="0.35">
      <c r="A717" s="471">
        <v>44893</v>
      </c>
      <c r="B717" s="107">
        <v>286.60000000000002</v>
      </c>
      <c r="D717" s="471">
        <v>44720</v>
      </c>
      <c r="E717" s="472">
        <v>6484.24</v>
      </c>
    </row>
    <row r="718" spans="1:5" x14ac:dyDescent="0.35">
      <c r="A718" s="471">
        <v>44892</v>
      </c>
      <c r="B718" s="107">
        <v>286.60000000000002</v>
      </c>
      <c r="D718" s="471">
        <v>44719</v>
      </c>
      <c r="E718" s="472">
        <v>6468.6</v>
      </c>
    </row>
    <row r="719" spans="1:5" x14ac:dyDescent="0.35">
      <c r="A719" s="471">
        <v>44889</v>
      </c>
      <c r="B719" s="107">
        <v>286.60000000000002</v>
      </c>
      <c r="D719" s="471">
        <v>44718</v>
      </c>
      <c r="E719" s="472">
        <v>6489.17</v>
      </c>
    </row>
    <row r="720" spans="1:5" x14ac:dyDescent="0.35">
      <c r="A720" s="471">
        <v>44888</v>
      </c>
      <c r="B720" s="107">
        <v>286.60000000000002</v>
      </c>
      <c r="D720" s="471">
        <v>44717</v>
      </c>
      <c r="E720" s="472">
        <v>6497.39</v>
      </c>
    </row>
    <row r="721" spans="1:5" x14ac:dyDescent="0.35">
      <c r="A721" s="471">
        <v>44887</v>
      </c>
      <c r="B721" s="107">
        <v>286.60000000000002</v>
      </c>
      <c r="D721" s="471">
        <v>44714</v>
      </c>
      <c r="E721" s="472">
        <v>6451.53</v>
      </c>
    </row>
    <row r="722" spans="1:5" x14ac:dyDescent="0.35">
      <c r="A722" s="471">
        <v>44886</v>
      </c>
      <c r="B722" s="107">
        <v>286.60000000000002</v>
      </c>
      <c r="D722" s="471">
        <v>44713</v>
      </c>
      <c r="E722" s="472">
        <v>6433.17</v>
      </c>
    </row>
    <row r="723" spans="1:5" x14ac:dyDescent="0.35">
      <c r="A723" s="471">
        <v>44885</v>
      </c>
      <c r="B723" s="107">
        <v>286.60000000000002</v>
      </c>
      <c r="D723" s="471">
        <v>44712</v>
      </c>
      <c r="E723" s="472">
        <v>6392.85</v>
      </c>
    </row>
    <row r="724" spans="1:5" x14ac:dyDescent="0.35">
      <c r="A724" s="471">
        <v>44882</v>
      </c>
      <c r="B724" s="107">
        <v>286.60000000000002</v>
      </c>
      <c r="D724" s="471">
        <v>44711</v>
      </c>
      <c r="E724" s="472">
        <v>6388.65</v>
      </c>
    </row>
    <row r="725" spans="1:5" x14ac:dyDescent="0.35">
      <c r="A725" s="471">
        <v>44881</v>
      </c>
      <c r="B725" s="107">
        <v>286.60000000000002</v>
      </c>
      <c r="D725" s="471">
        <v>44710</v>
      </c>
      <c r="E725" s="472">
        <v>6369.33</v>
      </c>
    </row>
    <row r="726" spans="1:5" x14ac:dyDescent="0.35">
      <c r="A726" s="471">
        <v>44880</v>
      </c>
      <c r="B726" s="107">
        <v>286.60000000000002</v>
      </c>
      <c r="D726" s="471">
        <v>44707</v>
      </c>
      <c r="E726" s="472">
        <v>6237.97</v>
      </c>
    </row>
    <row r="727" spans="1:5" x14ac:dyDescent="0.35">
      <c r="A727" s="471">
        <v>44879</v>
      </c>
      <c r="B727" s="107">
        <v>286.60000000000002</v>
      </c>
      <c r="D727" s="471">
        <v>44706</v>
      </c>
      <c r="E727" s="472">
        <v>6187.64</v>
      </c>
    </row>
    <row r="728" spans="1:5" x14ac:dyDescent="0.35">
      <c r="A728" s="471">
        <v>44878</v>
      </c>
      <c r="B728" s="107">
        <v>286.60000000000002</v>
      </c>
      <c r="D728" s="471">
        <v>44705</v>
      </c>
      <c r="E728" s="472">
        <v>6211.46</v>
      </c>
    </row>
    <row r="729" spans="1:5" x14ac:dyDescent="0.35">
      <c r="A729" s="471">
        <v>44875</v>
      </c>
      <c r="B729" s="107">
        <v>286.60000000000002</v>
      </c>
      <c r="D729" s="471">
        <v>44704</v>
      </c>
      <c r="E729" s="472">
        <v>6261.54</v>
      </c>
    </row>
    <row r="730" spans="1:5" x14ac:dyDescent="0.35">
      <c r="A730" s="471">
        <v>44874</v>
      </c>
      <c r="B730" s="107">
        <v>286.60000000000002</v>
      </c>
      <c r="D730" s="471">
        <v>44703</v>
      </c>
      <c r="E730" s="472">
        <v>6142.68</v>
      </c>
    </row>
    <row r="731" spans="1:5" x14ac:dyDescent="0.35">
      <c r="A731" s="471">
        <v>44873</v>
      </c>
      <c r="B731" s="107">
        <v>286.60000000000002</v>
      </c>
      <c r="D731" s="471">
        <v>44700</v>
      </c>
      <c r="E731" s="472">
        <v>6258.24</v>
      </c>
    </row>
    <row r="732" spans="1:5" x14ac:dyDescent="0.35">
      <c r="A732" s="471">
        <v>44872</v>
      </c>
      <c r="B732" s="107">
        <v>286.60000000000002</v>
      </c>
      <c r="D732" s="471">
        <v>44699</v>
      </c>
      <c r="E732" s="472">
        <v>6309.91</v>
      </c>
    </row>
    <row r="733" spans="1:5" x14ac:dyDescent="0.35">
      <c r="A733" s="471">
        <v>44871</v>
      </c>
      <c r="B733" s="107">
        <v>286.60000000000002</v>
      </c>
      <c r="D733" s="471">
        <v>44698</v>
      </c>
      <c r="E733" s="472">
        <v>6403.5</v>
      </c>
    </row>
    <row r="734" spans="1:5" x14ac:dyDescent="0.35">
      <c r="A734" s="471">
        <v>44868</v>
      </c>
      <c r="B734" s="107">
        <v>286.60000000000002</v>
      </c>
      <c r="D734" s="471">
        <v>44697</v>
      </c>
      <c r="E734" s="472">
        <v>6430.93</v>
      </c>
    </row>
    <row r="735" spans="1:5" x14ac:dyDescent="0.35">
      <c r="A735" s="471">
        <v>44867</v>
      </c>
      <c r="B735" s="107">
        <v>286.60000000000002</v>
      </c>
      <c r="D735" s="471">
        <v>44693</v>
      </c>
      <c r="E735" s="472">
        <v>6565.47</v>
      </c>
    </row>
    <row r="736" spans="1:5" x14ac:dyDescent="0.35">
      <c r="A736" s="471">
        <v>44866</v>
      </c>
      <c r="B736" s="107">
        <v>286.60000000000002</v>
      </c>
      <c r="D736" s="471">
        <v>44692</v>
      </c>
      <c r="E736" s="472">
        <v>6591.99</v>
      </c>
    </row>
    <row r="737" spans="1:5" x14ac:dyDescent="0.35">
      <c r="A737" s="471">
        <v>44865</v>
      </c>
      <c r="B737" s="107">
        <v>286.60000000000002</v>
      </c>
      <c r="D737" s="471">
        <v>44691</v>
      </c>
      <c r="E737" s="472">
        <v>6665.61</v>
      </c>
    </row>
    <row r="738" spans="1:5" x14ac:dyDescent="0.35">
      <c r="A738" s="471">
        <v>44864</v>
      </c>
      <c r="B738" s="107">
        <v>286.60000000000002</v>
      </c>
      <c r="D738" s="471">
        <v>44690</v>
      </c>
      <c r="E738" s="472">
        <v>6698.08</v>
      </c>
    </row>
    <row r="739" spans="1:5" x14ac:dyDescent="0.35">
      <c r="A739" s="471">
        <v>44861</v>
      </c>
      <c r="B739" s="107">
        <v>286.60000000000002</v>
      </c>
      <c r="D739" s="471">
        <v>44689</v>
      </c>
      <c r="E739" s="472">
        <v>6669.41</v>
      </c>
    </row>
    <row r="740" spans="1:5" x14ac:dyDescent="0.35">
      <c r="A740" s="471">
        <v>44860</v>
      </c>
      <c r="B740" s="107">
        <v>286.60000000000002</v>
      </c>
      <c r="D740" s="471">
        <v>44686</v>
      </c>
      <c r="E740" s="472">
        <v>6643.16</v>
      </c>
    </row>
    <row r="741" spans="1:5" x14ac:dyDescent="0.35">
      <c r="A741" s="471">
        <v>44859</v>
      </c>
      <c r="B741" s="107">
        <v>286.60000000000002</v>
      </c>
      <c r="D741" s="471">
        <v>44679</v>
      </c>
      <c r="E741" s="472">
        <v>6655.66</v>
      </c>
    </row>
    <row r="742" spans="1:5" x14ac:dyDescent="0.35">
      <c r="A742" s="471">
        <v>44858</v>
      </c>
      <c r="B742" s="107">
        <v>286.60000000000002</v>
      </c>
      <c r="D742" s="471">
        <v>44678</v>
      </c>
      <c r="E742" s="472">
        <v>6677.64</v>
      </c>
    </row>
    <row r="743" spans="1:5" x14ac:dyDescent="0.35">
      <c r="A743" s="471">
        <v>44857</v>
      </c>
      <c r="B743" s="107">
        <v>286.60000000000002</v>
      </c>
      <c r="D743" s="471">
        <v>44677</v>
      </c>
      <c r="E743" s="472">
        <v>6677.56</v>
      </c>
    </row>
    <row r="744" spans="1:5" x14ac:dyDescent="0.35">
      <c r="A744" s="471">
        <v>44854</v>
      </c>
      <c r="B744" s="107">
        <v>286.60000000000002</v>
      </c>
      <c r="D744" s="471">
        <v>44676</v>
      </c>
      <c r="E744" s="472">
        <v>6666.91</v>
      </c>
    </row>
    <row r="745" spans="1:5" x14ac:dyDescent="0.35">
      <c r="A745" s="471">
        <v>44853</v>
      </c>
      <c r="B745" s="107">
        <v>286.60000000000002</v>
      </c>
      <c r="D745" s="471">
        <v>44675</v>
      </c>
      <c r="E745" s="472">
        <v>6683.23</v>
      </c>
    </row>
    <row r="746" spans="1:5" x14ac:dyDescent="0.35">
      <c r="A746" s="471">
        <v>44852</v>
      </c>
      <c r="B746" s="107">
        <v>286.60000000000002</v>
      </c>
      <c r="D746" s="471">
        <v>44672</v>
      </c>
      <c r="E746" s="472">
        <v>6662.36</v>
      </c>
    </row>
    <row r="747" spans="1:5" x14ac:dyDescent="0.35">
      <c r="A747" s="471">
        <v>44851</v>
      </c>
      <c r="B747" s="107">
        <v>286.60000000000002</v>
      </c>
      <c r="D747" s="471">
        <v>44671</v>
      </c>
      <c r="E747" s="472">
        <v>6606.41</v>
      </c>
    </row>
    <row r="748" spans="1:5" x14ac:dyDescent="0.35">
      <c r="A748" s="471">
        <v>44850</v>
      </c>
      <c r="B748" s="107">
        <v>286.60000000000002</v>
      </c>
      <c r="D748" s="471">
        <v>44670</v>
      </c>
      <c r="E748" s="472">
        <v>6530.06</v>
      </c>
    </row>
    <row r="749" spans="1:5" x14ac:dyDescent="0.35">
      <c r="A749" s="471">
        <v>44847</v>
      </c>
      <c r="B749" s="107">
        <v>286.60000000000002</v>
      </c>
      <c r="D749" s="471">
        <v>44669</v>
      </c>
      <c r="E749" s="472">
        <v>6482.38</v>
      </c>
    </row>
    <row r="750" spans="1:5" x14ac:dyDescent="0.35">
      <c r="A750" s="471">
        <v>44846</v>
      </c>
      <c r="B750" s="107">
        <v>286.60000000000002</v>
      </c>
      <c r="D750" s="471">
        <v>44668</v>
      </c>
      <c r="E750" s="472">
        <v>6554.87</v>
      </c>
    </row>
    <row r="751" spans="1:5" x14ac:dyDescent="0.35">
      <c r="A751" s="471">
        <v>44845</v>
      </c>
      <c r="B751" s="107">
        <v>286.60000000000002</v>
      </c>
      <c r="D751" s="471">
        <v>44664</v>
      </c>
      <c r="E751" s="472">
        <v>6584.97</v>
      </c>
    </row>
    <row r="752" spans="1:5" x14ac:dyDescent="0.35">
      <c r="A752" s="471">
        <v>44844</v>
      </c>
      <c r="B752" s="107">
        <v>286.60000000000002</v>
      </c>
      <c r="D752" s="471">
        <v>44663</v>
      </c>
      <c r="E752" s="472">
        <v>6574.07</v>
      </c>
    </row>
    <row r="753" spans="1:5" x14ac:dyDescent="0.35">
      <c r="A753" s="471">
        <v>44840</v>
      </c>
      <c r="B753" s="107">
        <v>286.60000000000002</v>
      </c>
      <c r="D753" s="471">
        <v>44662</v>
      </c>
      <c r="E753" s="472">
        <v>6638.56</v>
      </c>
    </row>
    <row r="754" spans="1:5" x14ac:dyDescent="0.35">
      <c r="A754" s="471">
        <v>44838</v>
      </c>
      <c r="B754" s="107">
        <v>286.60000000000002</v>
      </c>
      <c r="D754" s="471">
        <v>44661</v>
      </c>
      <c r="E754" s="472">
        <v>6662.45</v>
      </c>
    </row>
    <row r="755" spans="1:5" x14ac:dyDescent="0.35">
      <c r="A755" s="471">
        <v>44837</v>
      </c>
      <c r="B755" s="107">
        <v>286.60000000000002</v>
      </c>
      <c r="D755" s="471">
        <v>44658</v>
      </c>
      <c r="E755" s="472">
        <v>6641.23</v>
      </c>
    </row>
    <row r="756" spans="1:5" x14ac:dyDescent="0.35">
      <c r="A756" s="471">
        <v>44836</v>
      </c>
      <c r="B756" s="107">
        <v>286.60000000000002</v>
      </c>
      <c r="D756" s="471">
        <v>44657</v>
      </c>
      <c r="E756" s="472">
        <v>6662.48</v>
      </c>
    </row>
    <row r="757" spans="1:5" x14ac:dyDescent="0.35">
      <c r="A757" s="471">
        <v>44833</v>
      </c>
      <c r="B757" s="107">
        <v>286.60000000000002</v>
      </c>
      <c r="D757" s="471">
        <v>44656</v>
      </c>
      <c r="E757" s="472">
        <v>6694.3</v>
      </c>
    </row>
    <row r="758" spans="1:5" x14ac:dyDescent="0.35">
      <c r="A758" s="471">
        <v>44832</v>
      </c>
      <c r="B758" s="107">
        <v>286.60000000000002</v>
      </c>
      <c r="D758" s="471">
        <v>44655</v>
      </c>
      <c r="E758" s="472">
        <v>6718.91</v>
      </c>
    </row>
    <row r="759" spans="1:5" x14ac:dyDescent="0.35">
      <c r="A759" s="471">
        <v>44831</v>
      </c>
      <c r="B759" s="107">
        <v>286.60000000000002</v>
      </c>
      <c r="D759" s="471">
        <v>44654</v>
      </c>
      <c r="E759" s="472">
        <v>6771.91</v>
      </c>
    </row>
    <row r="760" spans="1:5" x14ac:dyDescent="0.35">
      <c r="A760" s="471">
        <v>44830</v>
      </c>
      <c r="B760" s="107">
        <v>286.60000000000002</v>
      </c>
      <c r="D760" s="471">
        <v>44651</v>
      </c>
      <c r="E760" s="472">
        <v>6757.83</v>
      </c>
    </row>
    <row r="761" spans="1:5" x14ac:dyDescent="0.35">
      <c r="A761" s="471">
        <v>44829</v>
      </c>
      <c r="B761" s="107">
        <v>286.60000000000002</v>
      </c>
      <c r="D761" s="471">
        <v>44650</v>
      </c>
      <c r="E761" s="472">
        <v>6753.76</v>
      </c>
    </row>
    <row r="762" spans="1:5" x14ac:dyDescent="0.35">
      <c r="A762" s="471">
        <v>44826</v>
      </c>
      <c r="B762" s="107">
        <v>286.60000000000002</v>
      </c>
      <c r="D762" s="471">
        <v>44649</v>
      </c>
      <c r="E762" s="472">
        <v>6765.3</v>
      </c>
    </row>
    <row r="763" spans="1:5" x14ac:dyDescent="0.35">
      <c r="A763" s="471">
        <v>44825</v>
      </c>
      <c r="B763" s="107">
        <v>286.60000000000002</v>
      </c>
      <c r="D763" s="471">
        <v>44648</v>
      </c>
      <c r="E763" s="472">
        <v>6758.16</v>
      </c>
    </row>
    <row r="764" spans="1:5" x14ac:dyDescent="0.35">
      <c r="A764" s="471">
        <v>44824</v>
      </c>
      <c r="B764" s="107">
        <v>286.8</v>
      </c>
      <c r="D764" s="471">
        <v>44647</v>
      </c>
      <c r="E764" s="472">
        <v>6741.55</v>
      </c>
    </row>
    <row r="765" spans="1:5" x14ac:dyDescent="0.35">
      <c r="A765" s="471">
        <v>44823</v>
      </c>
      <c r="B765" s="107">
        <v>287.2</v>
      </c>
      <c r="D765" s="471">
        <v>44644</v>
      </c>
      <c r="E765" s="472">
        <v>6752.87</v>
      </c>
    </row>
    <row r="766" spans="1:5" x14ac:dyDescent="0.35">
      <c r="A766" s="471">
        <v>44822</v>
      </c>
      <c r="B766" s="107">
        <v>286.89999999999998</v>
      </c>
      <c r="D766" s="471">
        <v>44643</v>
      </c>
      <c r="E766" s="472">
        <v>6750.4</v>
      </c>
    </row>
    <row r="767" spans="1:5" x14ac:dyDescent="0.35">
      <c r="A767" s="471">
        <v>44819</v>
      </c>
      <c r="B767" s="107">
        <v>286.60000000000002</v>
      </c>
      <c r="D767" s="471">
        <v>44642</v>
      </c>
      <c r="E767" s="472">
        <v>6771.66</v>
      </c>
    </row>
    <row r="768" spans="1:5" x14ac:dyDescent="0.35">
      <c r="A768" s="471">
        <v>44818</v>
      </c>
      <c r="B768" s="107">
        <v>286.60000000000002</v>
      </c>
      <c r="D768" s="471">
        <v>44641</v>
      </c>
      <c r="E768" s="472">
        <v>6691.77</v>
      </c>
    </row>
    <row r="769" spans="1:5" x14ac:dyDescent="0.35">
      <c r="A769" s="471">
        <v>44817</v>
      </c>
      <c r="B769" s="107">
        <v>286.60000000000002</v>
      </c>
      <c r="D769" s="471">
        <v>44640</v>
      </c>
      <c r="E769" s="472">
        <v>6698.04</v>
      </c>
    </row>
    <row r="770" spans="1:5" x14ac:dyDescent="0.35">
      <c r="A770" s="471">
        <v>44816</v>
      </c>
      <c r="B770" s="107">
        <v>287</v>
      </c>
      <c r="D770" s="471">
        <v>44636</v>
      </c>
      <c r="E770" s="472">
        <v>6765.58</v>
      </c>
    </row>
    <row r="771" spans="1:5" x14ac:dyDescent="0.35">
      <c r="A771" s="471">
        <v>44815</v>
      </c>
      <c r="B771" s="107">
        <v>286.89999999999998</v>
      </c>
      <c r="D771" s="471">
        <v>44635</v>
      </c>
      <c r="E771" s="472">
        <v>6765.47</v>
      </c>
    </row>
    <row r="772" spans="1:5" x14ac:dyDescent="0.35">
      <c r="A772" s="471">
        <v>44812</v>
      </c>
      <c r="B772" s="107">
        <v>287</v>
      </c>
      <c r="D772" s="471">
        <v>44634</v>
      </c>
      <c r="E772" s="472">
        <v>6763.93</v>
      </c>
    </row>
    <row r="773" spans="1:5" x14ac:dyDescent="0.35">
      <c r="A773" s="471">
        <v>44811</v>
      </c>
      <c r="B773" s="107">
        <v>286.8</v>
      </c>
      <c r="D773" s="471">
        <v>44633</v>
      </c>
      <c r="E773" s="472">
        <v>6765.73</v>
      </c>
    </row>
    <row r="774" spans="1:5" x14ac:dyDescent="0.35">
      <c r="A774" s="471">
        <v>44810</v>
      </c>
      <c r="B774" s="107">
        <v>286.7</v>
      </c>
      <c r="D774" s="471">
        <v>44630</v>
      </c>
      <c r="E774" s="472">
        <v>6668.14</v>
      </c>
    </row>
    <row r="775" spans="1:5" x14ac:dyDescent="0.35">
      <c r="A775" s="471">
        <v>44809</v>
      </c>
      <c r="B775" s="107">
        <v>288.10000000000002</v>
      </c>
      <c r="D775" s="471">
        <v>44629</v>
      </c>
      <c r="E775" s="472">
        <v>6630.02</v>
      </c>
    </row>
    <row r="776" spans="1:5" x14ac:dyDescent="0.35">
      <c r="A776" s="471">
        <v>44808</v>
      </c>
      <c r="B776" s="107">
        <v>288.7</v>
      </c>
      <c r="D776" s="471">
        <v>44628</v>
      </c>
      <c r="E776" s="472">
        <v>6474.28</v>
      </c>
    </row>
    <row r="777" spans="1:5" x14ac:dyDescent="0.35">
      <c r="A777" s="471">
        <v>44805</v>
      </c>
      <c r="B777" s="107">
        <v>290</v>
      </c>
      <c r="D777" s="471">
        <v>44627</v>
      </c>
      <c r="E777" s="472">
        <v>6456.51</v>
      </c>
    </row>
    <row r="778" spans="1:5" x14ac:dyDescent="0.35">
      <c r="A778" s="471">
        <v>44804</v>
      </c>
      <c r="B778" s="107">
        <v>287.8</v>
      </c>
      <c r="D778" s="471">
        <v>44626</v>
      </c>
      <c r="E778" s="472">
        <v>6638.63</v>
      </c>
    </row>
    <row r="779" spans="1:5" x14ac:dyDescent="0.35">
      <c r="A779" s="471">
        <v>44803</v>
      </c>
      <c r="B779" s="107">
        <v>288.10000000000002</v>
      </c>
      <c r="D779" s="471">
        <v>44623</v>
      </c>
      <c r="E779" s="472">
        <v>6696.52</v>
      </c>
    </row>
    <row r="780" spans="1:5" x14ac:dyDescent="0.35">
      <c r="A780" s="471">
        <v>44802</v>
      </c>
      <c r="B780" s="107">
        <v>293.2</v>
      </c>
      <c r="D780" s="471">
        <v>44622</v>
      </c>
      <c r="E780" s="472">
        <v>6699.83</v>
      </c>
    </row>
    <row r="781" spans="1:5" x14ac:dyDescent="0.35">
      <c r="A781" s="471">
        <v>44801</v>
      </c>
      <c r="B781" s="107">
        <v>288.8</v>
      </c>
      <c r="D781" s="471">
        <v>44621</v>
      </c>
      <c r="E781" s="472">
        <v>6753.78</v>
      </c>
    </row>
    <row r="782" spans="1:5" x14ac:dyDescent="0.35">
      <c r="A782" s="471">
        <v>44798</v>
      </c>
      <c r="B782" s="107">
        <v>287</v>
      </c>
      <c r="D782" s="471">
        <v>44620</v>
      </c>
      <c r="E782" s="472">
        <v>6739.44</v>
      </c>
    </row>
    <row r="783" spans="1:5" x14ac:dyDescent="0.35">
      <c r="A783" s="471">
        <v>44797</v>
      </c>
      <c r="B783" s="107">
        <v>286.60000000000002</v>
      </c>
      <c r="D783" s="471">
        <v>44619</v>
      </c>
      <c r="E783" s="472">
        <v>6676.14</v>
      </c>
    </row>
    <row r="784" spans="1:5" x14ac:dyDescent="0.35">
      <c r="A784" s="471">
        <v>44796</v>
      </c>
      <c r="B784" s="107">
        <v>286.89999999999998</v>
      </c>
      <c r="D784" s="471">
        <v>44616</v>
      </c>
      <c r="E784" s="472">
        <v>6839.44</v>
      </c>
    </row>
    <row r="785" spans="1:5" x14ac:dyDescent="0.35">
      <c r="A785" s="471">
        <v>44795</v>
      </c>
      <c r="B785" s="107">
        <v>286.7</v>
      </c>
      <c r="D785" s="471">
        <v>44615</v>
      </c>
      <c r="E785" s="472">
        <v>6948.67</v>
      </c>
    </row>
    <row r="786" spans="1:5" x14ac:dyDescent="0.35">
      <c r="A786" s="471">
        <v>44794</v>
      </c>
      <c r="B786" s="107">
        <v>287</v>
      </c>
      <c r="D786" s="471">
        <v>44614</v>
      </c>
      <c r="E786" s="472">
        <v>6917.9</v>
      </c>
    </row>
    <row r="787" spans="1:5" x14ac:dyDescent="0.35">
      <c r="A787" s="471">
        <v>44790</v>
      </c>
      <c r="B787" s="107">
        <v>286.8</v>
      </c>
      <c r="D787" s="471">
        <v>44613</v>
      </c>
      <c r="E787" s="472">
        <v>6926.62</v>
      </c>
    </row>
    <row r="788" spans="1:5" x14ac:dyDescent="0.35">
      <c r="A788" s="471">
        <v>44789</v>
      </c>
      <c r="B788" s="107">
        <v>287</v>
      </c>
      <c r="D788" s="471">
        <v>44609</v>
      </c>
      <c r="E788" s="472">
        <v>6991.35</v>
      </c>
    </row>
    <row r="789" spans="1:5" x14ac:dyDescent="0.35">
      <c r="A789" s="471">
        <v>44787</v>
      </c>
      <c r="B789" s="107">
        <v>287.2</v>
      </c>
      <c r="D789" s="471">
        <v>44608</v>
      </c>
      <c r="E789" s="472">
        <v>7043.69</v>
      </c>
    </row>
    <row r="790" spans="1:5" x14ac:dyDescent="0.35">
      <c r="A790" s="471">
        <v>44784</v>
      </c>
      <c r="B790" s="107">
        <v>287.3</v>
      </c>
      <c r="D790" s="471">
        <v>44607</v>
      </c>
      <c r="E790" s="472">
        <v>7036.77</v>
      </c>
    </row>
    <row r="791" spans="1:5" x14ac:dyDescent="0.35">
      <c r="A791" s="471">
        <v>44781</v>
      </c>
      <c r="B791" s="107">
        <v>302.7</v>
      </c>
      <c r="D791" s="471">
        <v>44606</v>
      </c>
      <c r="E791" s="472">
        <v>7060.73</v>
      </c>
    </row>
    <row r="792" spans="1:5" x14ac:dyDescent="0.35">
      <c r="A792" s="471">
        <v>44780</v>
      </c>
      <c r="B792" s="107">
        <v>303.39999999999998</v>
      </c>
      <c r="D792" s="471">
        <v>44605</v>
      </c>
      <c r="E792" s="472">
        <v>7089.52</v>
      </c>
    </row>
    <row r="793" spans="1:5" x14ac:dyDescent="0.35">
      <c r="A793" s="471">
        <v>44777</v>
      </c>
      <c r="B793" s="107">
        <v>299.7</v>
      </c>
      <c r="D793" s="471">
        <v>44602</v>
      </c>
      <c r="E793" s="472">
        <v>7085.94</v>
      </c>
    </row>
    <row r="794" spans="1:5" x14ac:dyDescent="0.35">
      <c r="A794" s="471">
        <v>44776</v>
      </c>
      <c r="B794" s="107">
        <v>297.7</v>
      </c>
      <c r="D794" s="471">
        <v>44601</v>
      </c>
      <c r="E794" s="472">
        <v>7081.38</v>
      </c>
    </row>
    <row r="795" spans="1:5" x14ac:dyDescent="0.35">
      <c r="A795" s="471">
        <v>44775</v>
      </c>
      <c r="B795" s="107">
        <v>298.60000000000002</v>
      </c>
      <c r="D795" s="471">
        <v>44600</v>
      </c>
      <c r="E795" s="472">
        <v>7072.78</v>
      </c>
    </row>
    <row r="796" spans="1:5" x14ac:dyDescent="0.35">
      <c r="A796" s="471">
        <v>44774</v>
      </c>
      <c r="B796" s="107">
        <v>297.8</v>
      </c>
      <c r="D796" s="471">
        <v>44599</v>
      </c>
      <c r="E796" s="472">
        <v>7051.8</v>
      </c>
    </row>
    <row r="797" spans="1:5" x14ac:dyDescent="0.35">
      <c r="A797" s="471">
        <v>44773</v>
      </c>
      <c r="B797" s="107">
        <v>294.3</v>
      </c>
      <c r="D797" s="471">
        <v>44598</v>
      </c>
      <c r="E797" s="472">
        <v>7064.29</v>
      </c>
    </row>
    <row r="798" spans="1:5" x14ac:dyDescent="0.35">
      <c r="A798" s="471">
        <v>44770</v>
      </c>
      <c r="B798" s="107">
        <v>285.7</v>
      </c>
      <c r="D798" s="471">
        <v>44595</v>
      </c>
      <c r="E798" s="472">
        <v>7023.52</v>
      </c>
    </row>
    <row r="799" spans="1:5" x14ac:dyDescent="0.35">
      <c r="A799" s="471">
        <v>44769</v>
      </c>
      <c r="B799" s="107">
        <v>286.3</v>
      </c>
      <c r="D799" s="471">
        <v>44594</v>
      </c>
      <c r="E799" s="472">
        <v>7016.75</v>
      </c>
    </row>
    <row r="800" spans="1:5" x14ac:dyDescent="0.35">
      <c r="A800" s="471">
        <v>44768</v>
      </c>
      <c r="B800" s="107">
        <v>286.3</v>
      </c>
      <c r="D800" s="471">
        <v>44593</v>
      </c>
      <c r="E800" s="472">
        <v>6997.6</v>
      </c>
    </row>
    <row r="801" spans="1:5" x14ac:dyDescent="0.35">
      <c r="A801" s="471">
        <v>44767</v>
      </c>
      <c r="B801" s="107">
        <v>287.10000000000002</v>
      </c>
      <c r="D801" s="471">
        <v>44592</v>
      </c>
      <c r="E801" s="472">
        <v>6926.29</v>
      </c>
    </row>
    <row r="802" spans="1:5" x14ac:dyDescent="0.35">
      <c r="A802" s="471">
        <v>44766</v>
      </c>
      <c r="B802" s="107">
        <v>287.89999999999998</v>
      </c>
      <c r="D802" s="471">
        <v>44591</v>
      </c>
      <c r="E802" s="472">
        <v>6991.55</v>
      </c>
    </row>
    <row r="803" spans="1:5" x14ac:dyDescent="0.35">
      <c r="A803" s="471">
        <v>44763</v>
      </c>
      <c r="B803" s="107">
        <v>287.10000000000002</v>
      </c>
      <c r="D803" s="471">
        <v>44588</v>
      </c>
      <c r="E803" s="472">
        <v>7027.55</v>
      </c>
    </row>
    <row r="804" spans="1:5" x14ac:dyDescent="0.35">
      <c r="A804" s="471">
        <v>44762</v>
      </c>
      <c r="B804" s="107">
        <v>286</v>
      </c>
      <c r="D804" s="471">
        <v>44587</v>
      </c>
      <c r="E804" s="472">
        <v>7032.44</v>
      </c>
    </row>
    <row r="805" spans="1:5" x14ac:dyDescent="0.35">
      <c r="A805" s="471">
        <v>44761</v>
      </c>
      <c r="B805" s="107">
        <v>286.3</v>
      </c>
      <c r="D805" s="471">
        <v>44586</v>
      </c>
      <c r="E805" s="472">
        <v>7032.57</v>
      </c>
    </row>
    <row r="806" spans="1:5" x14ac:dyDescent="0.35">
      <c r="A806" s="471">
        <v>44760</v>
      </c>
      <c r="B806" s="107">
        <v>289.5</v>
      </c>
      <c r="D806" s="471">
        <v>44585</v>
      </c>
      <c r="E806" s="472">
        <v>7019.25</v>
      </c>
    </row>
    <row r="807" spans="1:5" x14ac:dyDescent="0.35">
      <c r="A807" s="471">
        <v>44759</v>
      </c>
      <c r="B807" s="107">
        <v>289.8</v>
      </c>
      <c r="D807" s="471">
        <v>44584</v>
      </c>
      <c r="E807" s="472">
        <v>7073</v>
      </c>
    </row>
    <row r="808" spans="1:5" x14ac:dyDescent="0.35">
      <c r="A808" s="471">
        <v>44756</v>
      </c>
      <c r="B808" s="107">
        <v>288.7</v>
      </c>
      <c r="D808" s="471">
        <v>44581</v>
      </c>
      <c r="E808" s="472">
        <v>7105.69</v>
      </c>
    </row>
    <row r="809" spans="1:5" x14ac:dyDescent="0.35">
      <c r="A809" s="471">
        <v>44755</v>
      </c>
      <c r="B809" s="107">
        <v>287.8</v>
      </c>
      <c r="D809" s="471">
        <v>44580</v>
      </c>
      <c r="E809" s="472">
        <v>7089.43</v>
      </c>
    </row>
    <row r="810" spans="1:5" x14ac:dyDescent="0.35">
      <c r="A810" s="471">
        <v>44754</v>
      </c>
      <c r="B810" s="107">
        <v>289.10000000000002</v>
      </c>
      <c r="D810" s="471">
        <v>44579</v>
      </c>
      <c r="E810" s="472">
        <v>7055.7</v>
      </c>
    </row>
    <row r="811" spans="1:5" x14ac:dyDescent="0.35">
      <c r="A811" s="471">
        <v>44749</v>
      </c>
      <c r="B811" s="107">
        <v>288.3</v>
      </c>
      <c r="D811" s="471">
        <v>44578</v>
      </c>
      <c r="E811" s="472">
        <v>7055.27</v>
      </c>
    </row>
    <row r="812" spans="1:5" x14ac:dyDescent="0.35">
      <c r="A812" s="471">
        <v>44748</v>
      </c>
      <c r="B812" s="107">
        <v>293.3</v>
      </c>
      <c r="D812" s="471">
        <v>44577</v>
      </c>
      <c r="E812" s="472">
        <v>7019.59</v>
      </c>
    </row>
    <row r="813" spans="1:5" x14ac:dyDescent="0.35">
      <c r="A813" s="471">
        <v>44747</v>
      </c>
      <c r="B813" s="107">
        <v>291.10000000000002</v>
      </c>
      <c r="D813" s="471">
        <v>44574</v>
      </c>
      <c r="E813" s="472">
        <v>7017.22</v>
      </c>
    </row>
    <row r="814" spans="1:5" x14ac:dyDescent="0.35">
      <c r="A814" s="471">
        <v>44746</v>
      </c>
      <c r="B814" s="107">
        <v>282.60000000000002</v>
      </c>
      <c r="D814" s="471">
        <v>44573</v>
      </c>
      <c r="E814" s="472">
        <v>6996.06</v>
      </c>
    </row>
    <row r="815" spans="1:5" x14ac:dyDescent="0.35">
      <c r="A815" s="471">
        <v>44745</v>
      </c>
      <c r="B815" s="107">
        <v>288.3</v>
      </c>
      <c r="D815" s="471">
        <v>44572</v>
      </c>
      <c r="E815" s="472">
        <v>7049.15</v>
      </c>
    </row>
    <row r="816" spans="1:5" x14ac:dyDescent="0.35">
      <c r="A816" s="471">
        <v>44742</v>
      </c>
      <c r="B816" s="107">
        <v>294.10000000000002</v>
      </c>
      <c r="D816" s="471">
        <v>44571</v>
      </c>
      <c r="E816" s="472">
        <v>6994.15</v>
      </c>
    </row>
    <row r="817" spans="1:5" x14ac:dyDescent="0.35">
      <c r="A817" s="471">
        <v>44741</v>
      </c>
      <c r="B817" s="107">
        <v>300.10000000000002</v>
      </c>
      <c r="D817" s="471">
        <v>44567</v>
      </c>
      <c r="E817" s="472">
        <v>6987.45</v>
      </c>
    </row>
    <row r="818" spans="1:5" x14ac:dyDescent="0.35">
      <c r="A818" s="471">
        <v>44740</v>
      </c>
      <c r="B818" s="107">
        <v>302.8</v>
      </c>
      <c r="D818" s="471">
        <v>44566</v>
      </c>
      <c r="E818" s="472">
        <v>6929.93</v>
      </c>
    </row>
    <row r="819" spans="1:5" x14ac:dyDescent="0.35">
      <c r="A819" s="471">
        <v>44739</v>
      </c>
      <c r="B819" s="107">
        <v>302.89999999999998</v>
      </c>
      <c r="D819" s="471">
        <v>44565</v>
      </c>
      <c r="E819" s="472">
        <v>6892.99</v>
      </c>
    </row>
    <row r="820" spans="1:5" x14ac:dyDescent="0.35">
      <c r="A820" s="471">
        <v>44738</v>
      </c>
      <c r="B820" s="107">
        <v>305.60000000000002</v>
      </c>
      <c r="D820" s="471">
        <v>44564</v>
      </c>
      <c r="E820" s="472">
        <v>6882.3</v>
      </c>
    </row>
    <row r="821" spans="1:5" x14ac:dyDescent="0.35">
      <c r="A821" s="471">
        <v>44735</v>
      </c>
      <c r="B821" s="107">
        <v>303.7</v>
      </c>
      <c r="D821" s="471">
        <v>44563</v>
      </c>
      <c r="E821" s="472">
        <v>6853.13</v>
      </c>
    </row>
    <row r="822" spans="1:5" x14ac:dyDescent="0.35">
      <c r="A822" s="471">
        <v>44734</v>
      </c>
      <c r="B822" s="107">
        <v>303.8</v>
      </c>
      <c r="D822" s="471">
        <v>44560</v>
      </c>
      <c r="E822" s="472">
        <v>6756.65</v>
      </c>
    </row>
    <row r="823" spans="1:5" x14ac:dyDescent="0.35">
      <c r="A823" s="471">
        <v>44733</v>
      </c>
      <c r="B823" s="107">
        <v>304</v>
      </c>
      <c r="D823" s="471">
        <v>44559</v>
      </c>
      <c r="E823" s="472">
        <v>6731.14</v>
      </c>
    </row>
    <row r="824" spans="1:5" x14ac:dyDescent="0.35">
      <c r="A824" s="471">
        <v>44732</v>
      </c>
      <c r="B824" s="107">
        <v>304.3</v>
      </c>
      <c r="D824" s="471">
        <v>44558</v>
      </c>
      <c r="E824" s="472">
        <v>6742.63</v>
      </c>
    </row>
    <row r="825" spans="1:5" x14ac:dyDescent="0.35">
      <c r="A825" s="471">
        <v>44731</v>
      </c>
      <c r="B825" s="107">
        <v>307</v>
      </c>
      <c r="D825" s="471">
        <v>44557</v>
      </c>
      <c r="E825" s="472">
        <v>6669.21</v>
      </c>
    </row>
    <row r="826" spans="1:5" x14ac:dyDescent="0.35">
      <c r="A826" s="471">
        <v>44728</v>
      </c>
      <c r="B826" s="107">
        <v>305.10000000000002</v>
      </c>
      <c r="D826" s="471">
        <v>44556</v>
      </c>
      <c r="E826" s="472">
        <v>6629.87</v>
      </c>
    </row>
    <row r="827" spans="1:5" x14ac:dyDescent="0.35">
      <c r="A827" s="471">
        <v>44727</v>
      </c>
      <c r="B827" s="107">
        <v>304.5</v>
      </c>
      <c r="D827" s="471">
        <v>44553</v>
      </c>
      <c r="E827" s="472">
        <v>6702.61</v>
      </c>
    </row>
    <row r="828" spans="1:5" x14ac:dyDescent="0.35">
      <c r="A828" s="471">
        <v>44726</v>
      </c>
      <c r="B828" s="107">
        <v>304.7</v>
      </c>
      <c r="D828" s="471">
        <v>44552</v>
      </c>
      <c r="E828" s="472">
        <v>6754.44</v>
      </c>
    </row>
    <row r="829" spans="1:5" x14ac:dyDescent="0.35">
      <c r="A829" s="471">
        <v>44725</v>
      </c>
      <c r="B829" s="107">
        <v>305.8</v>
      </c>
      <c r="D829" s="471">
        <v>44551</v>
      </c>
      <c r="E829" s="472">
        <v>6757.25</v>
      </c>
    </row>
    <row r="830" spans="1:5" x14ac:dyDescent="0.35">
      <c r="A830" s="471">
        <v>44724</v>
      </c>
      <c r="B830" s="107">
        <v>307.60000000000002</v>
      </c>
      <c r="D830" s="471">
        <v>44550</v>
      </c>
      <c r="E830" s="472">
        <v>6736.55</v>
      </c>
    </row>
    <row r="831" spans="1:5" x14ac:dyDescent="0.35">
      <c r="A831" s="471">
        <v>44721</v>
      </c>
      <c r="B831" s="107">
        <v>305.60000000000002</v>
      </c>
      <c r="D831" s="471">
        <v>44549</v>
      </c>
      <c r="E831" s="472">
        <v>6783.19</v>
      </c>
    </row>
    <row r="832" spans="1:5" x14ac:dyDescent="0.35">
      <c r="A832" s="471">
        <v>44720</v>
      </c>
      <c r="B832" s="107">
        <v>304.60000000000002</v>
      </c>
      <c r="D832" s="471">
        <v>44545</v>
      </c>
      <c r="E832" s="472">
        <v>6868.17</v>
      </c>
    </row>
    <row r="833" spans="1:5" x14ac:dyDescent="0.35">
      <c r="A833" s="471">
        <v>44719</v>
      </c>
      <c r="B833" s="107">
        <v>306</v>
      </c>
      <c r="D833" s="471">
        <v>44544</v>
      </c>
      <c r="E833" s="472">
        <v>6837.8</v>
      </c>
    </row>
    <row r="834" spans="1:5" x14ac:dyDescent="0.35">
      <c r="A834" s="471">
        <v>44718</v>
      </c>
      <c r="B834" s="107">
        <v>307.2</v>
      </c>
      <c r="D834" s="471">
        <v>44543</v>
      </c>
      <c r="E834" s="472">
        <v>6882.02</v>
      </c>
    </row>
    <row r="835" spans="1:5" x14ac:dyDescent="0.35">
      <c r="A835" s="471">
        <v>44717</v>
      </c>
      <c r="B835" s="107">
        <v>313.39999999999998</v>
      </c>
      <c r="D835" s="471">
        <v>44542</v>
      </c>
      <c r="E835" s="472">
        <v>6920.35</v>
      </c>
    </row>
    <row r="836" spans="1:5" x14ac:dyDescent="0.35">
      <c r="A836" s="471">
        <v>44714</v>
      </c>
      <c r="B836" s="107">
        <v>304.39999999999998</v>
      </c>
      <c r="D836" s="471">
        <v>44539</v>
      </c>
      <c r="E836" s="472">
        <v>6984.74</v>
      </c>
    </row>
    <row r="837" spans="1:5" x14ac:dyDescent="0.35">
      <c r="A837" s="471">
        <v>44713</v>
      </c>
      <c r="B837" s="107">
        <v>306.8</v>
      </c>
      <c r="D837" s="471">
        <v>44538</v>
      </c>
      <c r="E837" s="472">
        <v>6952.13</v>
      </c>
    </row>
    <row r="838" spans="1:5" x14ac:dyDescent="0.35">
      <c r="A838" s="471">
        <v>44712</v>
      </c>
      <c r="B838" s="107">
        <v>307.10000000000002</v>
      </c>
      <c r="D838" s="471">
        <v>44537</v>
      </c>
      <c r="E838" s="472">
        <v>7048.99</v>
      </c>
    </row>
    <row r="839" spans="1:5" x14ac:dyDescent="0.35">
      <c r="A839" s="471">
        <v>44711</v>
      </c>
      <c r="B839" s="107">
        <v>307.5</v>
      </c>
      <c r="D839" s="471">
        <v>44536</v>
      </c>
      <c r="E839" s="472">
        <v>6978.53</v>
      </c>
    </row>
    <row r="840" spans="1:5" x14ac:dyDescent="0.35">
      <c r="A840" s="471">
        <v>44710</v>
      </c>
      <c r="B840" s="107">
        <v>309.3</v>
      </c>
      <c r="D840" s="471">
        <v>44535</v>
      </c>
      <c r="E840" s="472">
        <v>6965.63</v>
      </c>
    </row>
    <row r="841" spans="1:5" x14ac:dyDescent="0.35">
      <c r="A841" s="471">
        <v>44707</v>
      </c>
      <c r="B841" s="107">
        <v>300.8</v>
      </c>
      <c r="D841" s="471">
        <v>44532</v>
      </c>
      <c r="E841" s="472">
        <v>6936.2</v>
      </c>
    </row>
    <row r="842" spans="1:5" x14ac:dyDescent="0.35">
      <c r="A842" s="471">
        <v>44706</v>
      </c>
      <c r="B842" s="107">
        <v>300.89999999999998</v>
      </c>
      <c r="D842" s="471">
        <v>44531</v>
      </c>
      <c r="E842" s="472">
        <v>6847</v>
      </c>
    </row>
    <row r="843" spans="1:5" x14ac:dyDescent="0.35">
      <c r="A843" s="471">
        <v>44705</v>
      </c>
      <c r="B843" s="107">
        <v>303.3</v>
      </c>
      <c r="D843" s="471">
        <v>44530</v>
      </c>
      <c r="E843" s="472">
        <v>6703.25</v>
      </c>
    </row>
    <row r="844" spans="1:5" x14ac:dyDescent="0.35">
      <c r="A844" s="471">
        <v>44704</v>
      </c>
      <c r="B844" s="107">
        <v>305.89999999999998</v>
      </c>
      <c r="D844" s="471">
        <v>44529</v>
      </c>
      <c r="E844" s="472">
        <v>6795.51</v>
      </c>
    </row>
    <row r="845" spans="1:5" x14ac:dyDescent="0.35">
      <c r="A845" s="471">
        <v>44703</v>
      </c>
      <c r="B845" s="107">
        <v>303.89999999999998</v>
      </c>
      <c r="D845" s="471">
        <v>44528</v>
      </c>
      <c r="E845" s="472">
        <v>6773.89</v>
      </c>
    </row>
    <row r="846" spans="1:5" x14ac:dyDescent="0.35">
      <c r="A846" s="471">
        <v>44700</v>
      </c>
      <c r="B846" s="107">
        <v>302.60000000000002</v>
      </c>
      <c r="D846" s="471">
        <v>44525</v>
      </c>
      <c r="E846" s="472">
        <v>6852.08</v>
      </c>
    </row>
    <row r="847" spans="1:5" x14ac:dyDescent="0.35">
      <c r="A847" s="471">
        <v>44699</v>
      </c>
      <c r="B847" s="107">
        <v>304</v>
      </c>
      <c r="D847" s="471">
        <v>44524</v>
      </c>
      <c r="E847" s="472">
        <v>6917.91</v>
      </c>
    </row>
    <row r="848" spans="1:5" x14ac:dyDescent="0.35">
      <c r="A848" s="471">
        <v>44698</v>
      </c>
      <c r="B848" s="107">
        <v>306.89999999999998</v>
      </c>
      <c r="D848" s="471">
        <v>44523</v>
      </c>
      <c r="E848" s="472">
        <v>7013</v>
      </c>
    </row>
    <row r="849" spans="1:5" x14ac:dyDescent="0.35">
      <c r="A849" s="471">
        <v>44697</v>
      </c>
      <c r="B849" s="107">
        <v>309.60000000000002</v>
      </c>
      <c r="D849" s="471">
        <v>44522</v>
      </c>
      <c r="E849" s="472">
        <v>7022.29</v>
      </c>
    </row>
    <row r="850" spans="1:5" x14ac:dyDescent="0.35">
      <c r="A850" s="471">
        <v>44693</v>
      </c>
      <c r="B850" s="107">
        <v>310.3</v>
      </c>
      <c r="D850" s="471">
        <v>44521</v>
      </c>
      <c r="E850" s="472">
        <v>7085.67</v>
      </c>
    </row>
    <row r="851" spans="1:5" x14ac:dyDescent="0.35">
      <c r="A851" s="471">
        <v>44692</v>
      </c>
      <c r="B851" s="107">
        <v>315.39999999999998</v>
      </c>
      <c r="D851" s="471">
        <v>44518</v>
      </c>
      <c r="E851" s="472">
        <v>7091.81</v>
      </c>
    </row>
    <row r="852" spans="1:5" x14ac:dyDescent="0.35">
      <c r="A852" s="471">
        <v>44691</v>
      </c>
      <c r="B852" s="107">
        <v>318.8</v>
      </c>
      <c r="D852" s="471">
        <v>44517</v>
      </c>
      <c r="E852" s="472">
        <v>7060.77</v>
      </c>
    </row>
    <row r="853" spans="1:5" x14ac:dyDescent="0.35">
      <c r="A853" s="471">
        <v>44690</v>
      </c>
      <c r="B853" s="107">
        <v>318.89999999999998</v>
      </c>
      <c r="D853" s="471">
        <v>44516</v>
      </c>
      <c r="E853" s="472">
        <v>7056.57</v>
      </c>
    </row>
    <row r="854" spans="1:5" x14ac:dyDescent="0.35">
      <c r="A854" s="471">
        <v>44689</v>
      </c>
      <c r="B854" s="107">
        <v>320.89999999999998</v>
      </c>
      <c r="D854" s="471">
        <v>44515</v>
      </c>
      <c r="E854" s="472">
        <v>6941.36</v>
      </c>
    </row>
    <row r="855" spans="1:5" x14ac:dyDescent="0.35">
      <c r="A855" s="471">
        <v>44686</v>
      </c>
      <c r="B855" s="107">
        <v>319.8</v>
      </c>
      <c r="D855" s="471">
        <v>44514</v>
      </c>
      <c r="E855" s="472">
        <v>6930.07</v>
      </c>
    </row>
    <row r="856" spans="1:5" x14ac:dyDescent="0.35">
      <c r="A856" s="471">
        <v>44679</v>
      </c>
      <c r="B856" s="107">
        <v>319.89999999999998</v>
      </c>
      <c r="D856" s="471">
        <v>44511</v>
      </c>
      <c r="E856" s="472">
        <v>6995.92</v>
      </c>
    </row>
    <row r="857" spans="1:5" x14ac:dyDescent="0.35">
      <c r="A857" s="471">
        <v>44678</v>
      </c>
      <c r="B857" s="107">
        <v>320.5</v>
      </c>
      <c r="D857" s="471">
        <v>44510</v>
      </c>
      <c r="E857" s="472">
        <v>6982.18</v>
      </c>
    </row>
    <row r="858" spans="1:5" x14ac:dyDescent="0.35">
      <c r="A858" s="471">
        <v>44677</v>
      </c>
      <c r="B858" s="107">
        <v>326.89999999999998</v>
      </c>
      <c r="D858" s="471">
        <v>44509</v>
      </c>
      <c r="E858" s="472">
        <v>6868.08</v>
      </c>
    </row>
    <row r="859" spans="1:5" x14ac:dyDescent="0.35">
      <c r="A859" s="471">
        <v>44676</v>
      </c>
      <c r="B859" s="107">
        <v>327.10000000000002</v>
      </c>
      <c r="D859" s="471">
        <v>44508</v>
      </c>
      <c r="E859" s="472">
        <v>6799.64</v>
      </c>
    </row>
    <row r="860" spans="1:5" x14ac:dyDescent="0.35">
      <c r="A860" s="471">
        <v>44675</v>
      </c>
      <c r="B860" s="107">
        <v>327.10000000000002</v>
      </c>
      <c r="D860" s="471">
        <v>44507</v>
      </c>
      <c r="E860" s="472">
        <v>6855.87</v>
      </c>
    </row>
    <row r="861" spans="1:5" x14ac:dyDescent="0.35">
      <c r="A861" s="471">
        <v>44672</v>
      </c>
      <c r="B861" s="107">
        <v>323.89999999999998</v>
      </c>
      <c r="D861" s="471">
        <v>44504</v>
      </c>
      <c r="E861" s="472">
        <v>6906.71</v>
      </c>
    </row>
    <row r="862" spans="1:5" x14ac:dyDescent="0.35">
      <c r="A862" s="471">
        <v>44671</v>
      </c>
      <c r="B862" s="107">
        <v>321.39999999999998</v>
      </c>
      <c r="D862" s="471">
        <v>44503</v>
      </c>
      <c r="E862" s="472">
        <v>6898.27</v>
      </c>
    </row>
    <row r="863" spans="1:5" x14ac:dyDescent="0.35">
      <c r="A863" s="471">
        <v>44670</v>
      </c>
      <c r="B863" s="107">
        <v>320.10000000000002</v>
      </c>
      <c r="D863" s="471">
        <v>44502</v>
      </c>
      <c r="E863" s="472">
        <v>6954.35</v>
      </c>
    </row>
    <row r="864" spans="1:5" x14ac:dyDescent="0.35">
      <c r="A864" s="471">
        <v>44669</v>
      </c>
      <c r="B864" s="107">
        <v>319.8</v>
      </c>
      <c r="D864" s="471">
        <v>44501</v>
      </c>
      <c r="E864" s="472">
        <v>6998.03</v>
      </c>
    </row>
    <row r="865" spans="1:5" x14ac:dyDescent="0.35">
      <c r="A865" s="471">
        <v>44668</v>
      </c>
      <c r="B865" s="107">
        <v>323.10000000000002</v>
      </c>
      <c r="D865" s="471">
        <v>44500</v>
      </c>
      <c r="E865" s="472">
        <v>7000.94</v>
      </c>
    </row>
    <row r="866" spans="1:5" x14ac:dyDescent="0.35">
      <c r="A866" s="471">
        <v>44664</v>
      </c>
      <c r="B866" s="107">
        <v>319.89999999999998</v>
      </c>
      <c r="D866" s="471">
        <v>44497</v>
      </c>
      <c r="E866" s="472">
        <v>7062.35</v>
      </c>
    </row>
    <row r="867" spans="1:5" x14ac:dyDescent="0.35">
      <c r="A867" s="471">
        <v>44663</v>
      </c>
      <c r="B867" s="107">
        <v>319.10000000000002</v>
      </c>
      <c r="D867" s="471">
        <v>44496</v>
      </c>
      <c r="E867" s="472">
        <v>7011.88</v>
      </c>
    </row>
    <row r="868" spans="1:5" x14ac:dyDescent="0.35">
      <c r="A868" s="471">
        <v>44662</v>
      </c>
      <c r="B868" s="107">
        <v>322.10000000000002</v>
      </c>
      <c r="D868" s="471">
        <v>44495</v>
      </c>
      <c r="E868" s="472">
        <v>7005.78</v>
      </c>
    </row>
    <row r="869" spans="1:5" x14ac:dyDescent="0.35">
      <c r="A869" s="471">
        <v>44661</v>
      </c>
      <c r="B869" s="107">
        <v>321.89999999999998</v>
      </c>
      <c r="D869" s="471">
        <v>44494</v>
      </c>
      <c r="E869" s="472">
        <v>6885.29</v>
      </c>
    </row>
    <row r="870" spans="1:5" x14ac:dyDescent="0.35">
      <c r="A870" s="471">
        <v>44658</v>
      </c>
      <c r="B870" s="107">
        <v>321.5</v>
      </c>
      <c r="D870" s="471">
        <v>44493</v>
      </c>
      <c r="E870" s="472">
        <v>7005.7</v>
      </c>
    </row>
    <row r="871" spans="1:5" x14ac:dyDescent="0.35">
      <c r="A871" s="471">
        <v>44657</v>
      </c>
      <c r="B871" s="107">
        <v>320.3</v>
      </c>
      <c r="D871" s="471">
        <v>44490</v>
      </c>
      <c r="E871" s="472">
        <v>7076.23</v>
      </c>
    </row>
    <row r="872" spans="1:5" x14ac:dyDescent="0.35">
      <c r="A872" s="471">
        <v>44656</v>
      </c>
      <c r="B872" s="107">
        <v>325</v>
      </c>
      <c r="D872" s="471">
        <v>44488</v>
      </c>
      <c r="E872" s="472">
        <v>7020.61</v>
      </c>
    </row>
    <row r="873" spans="1:5" x14ac:dyDescent="0.35">
      <c r="A873" s="471">
        <v>44655</v>
      </c>
      <c r="B873" s="107">
        <v>324.89999999999998</v>
      </c>
      <c r="D873" s="471">
        <v>44487</v>
      </c>
      <c r="E873" s="472">
        <v>7097.27</v>
      </c>
    </row>
    <row r="874" spans="1:5" x14ac:dyDescent="0.35">
      <c r="A874" s="471">
        <v>44654</v>
      </c>
      <c r="B874" s="107">
        <v>328.7</v>
      </c>
      <c r="D874" s="471">
        <v>44486</v>
      </c>
      <c r="E874" s="472">
        <v>7186.46</v>
      </c>
    </row>
    <row r="875" spans="1:5" x14ac:dyDescent="0.35">
      <c r="A875" s="471">
        <v>44651</v>
      </c>
      <c r="B875" s="107">
        <v>328.9</v>
      </c>
      <c r="D875" s="471">
        <v>44483</v>
      </c>
      <c r="E875" s="472">
        <v>7243.26</v>
      </c>
    </row>
    <row r="876" spans="1:5" x14ac:dyDescent="0.35">
      <c r="A876" s="471">
        <v>44650</v>
      </c>
      <c r="B876" s="107">
        <v>328.7</v>
      </c>
      <c r="D876" s="471">
        <v>44482</v>
      </c>
      <c r="E876" s="472">
        <v>7248.44</v>
      </c>
    </row>
    <row r="877" spans="1:5" x14ac:dyDescent="0.35">
      <c r="A877" s="471">
        <v>44649</v>
      </c>
      <c r="B877" s="107">
        <v>328.1</v>
      </c>
      <c r="D877" s="471">
        <v>44481</v>
      </c>
      <c r="E877" s="472">
        <v>7313.98</v>
      </c>
    </row>
    <row r="878" spans="1:5" x14ac:dyDescent="0.35">
      <c r="A878" s="471">
        <v>44648</v>
      </c>
      <c r="B878" s="107">
        <v>330.9</v>
      </c>
      <c r="D878" s="471">
        <v>44480</v>
      </c>
      <c r="E878" s="472">
        <v>7345.57</v>
      </c>
    </row>
    <row r="879" spans="1:5" x14ac:dyDescent="0.35">
      <c r="A879" s="471">
        <v>44647</v>
      </c>
      <c r="B879" s="107">
        <v>328.7</v>
      </c>
      <c r="D879" s="471">
        <v>44479</v>
      </c>
      <c r="E879" s="472">
        <v>7367.99</v>
      </c>
    </row>
    <row r="880" spans="1:5" x14ac:dyDescent="0.35">
      <c r="A880" s="471">
        <v>44644</v>
      </c>
      <c r="B880" s="107">
        <v>325.60000000000002</v>
      </c>
      <c r="D880" s="471">
        <v>44476</v>
      </c>
      <c r="E880" s="472">
        <v>7342.96</v>
      </c>
    </row>
    <row r="881" spans="1:5" x14ac:dyDescent="0.35">
      <c r="A881" s="471">
        <v>44643</v>
      </c>
      <c r="B881" s="107">
        <v>325.5</v>
      </c>
      <c r="D881" s="471">
        <v>44475</v>
      </c>
      <c r="E881" s="472">
        <v>7351.04</v>
      </c>
    </row>
    <row r="882" spans="1:5" x14ac:dyDescent="0.35">
      <c r="A882" s="471">
        <v>44642</v>
      </c>
      <c r="B882" s="107">
        <v>324.7</v>
      </c>
      <c r="D882" s="471">
        <v>44474</v>
      </c>
      <c r="E882" s="472">
        <v>7331.39</v>
      </c>
    </row>
    <row r="883" spans="1:5" x14ac:dyDescent="0.35">
      <c r="A883" s="471">
        <v>44641</v>
      </c>
      <c r="B883" s="107">
        <v>325</v>
      </c>
      <c r="D883" s="471">
        <v>44473</v>
      </c>
      <c r="E883" s="472">
        <v>7327.54</v>
      </c>
    </row>
    <row r="884" spans="1:5" x14ac:dyDescent="0.35">
      <c r="A884" s="471">
        <v>44640</v>
      </c>
      <c r="B884" s="107">
        <v>326.10000000000002</v>
      </c>
      <c r="D884" s="471">
        <v>44472</v>
      </c>
      <c r="E884" s="472">
        <v>7356.04</v>
      </c>
    </row>
    <row r="885" spans="1:5" x14ac:dyDescent="0.35">
      <c r="A885" s="471">
        <v>44636</v>
      </c>
      <c r="B885" s="107">
        <v>325.89999999999998</v>
      </c>
      <c r="D885" s="471">
        <v>44469</v>
      </c>
      <c r="E885" s="472">
        <v>7329.03</v>
      </c>
    </row>
    <row r="886" spans="1:5" x14ac:dyDescent="0.35">
      <c r="A886" s="471">
        <v>44635</v>
      </c>
      <c r="B886" s="107">
        <v>332</v>
      </c>
      <c r="D886" s="471">
        <v>44468</v>
      </c>
      <c r="E886" s="472">
        <v>7302.85</v>
      </c>
    </row>
    <row r="887" spans="1:5" x14ac:dyDescent="0.35">
      <c r="A887" s="471">
        <v>44634</v>
      </c>
      <c r="B887" s="107">
        <v>330</v>
      </c>
      <c r="D887" s="471">
        <v>44467</v>
      </c>
      <c r="E887" s="472">
        <v>7297.24</v>
      </c>
    </row>
    <row r="888" spans="1:5" x14ac:dyDescent="0.35">
      <c r="A888" s="471">
        <v>44633</v>
      </c>
      <c r="B888" s="107">
        <v>327.8</v>
      </c>
      <c r="D888" s="471">
        <v>44466</v>
      </c>
      <c r="E888" s="472">
        <v>7251.71</v>
      </c>
    </row>
    <row r="889" spans="1:5" x14ac:dyDescent="0.35">
      <c r="A889" s="471">
        <v>44630</v>
      </c>
      <c r="B889" s="107">
        <v>322.2</v>
      </c>
      <c r="D889" s="471">
        <v>44465</v>
      </c>
      <c r="E889" s="472">
        <v>7237.14</v>
      </c>
    </row>
    <row r="890" spans="1:5" x14ac:dyDescent="0.35">
      <c r="A890" s="471">
        <v>44629</v>
      </c>
      <c r="B890" s="107">
        <v>320.5</v>
      </c>
      <c r="D890" s="471">
        <v>44462</v>
      </c>
      <c r="E890" s="472">
        <v>7250.6</v>
      </c>
    </row>
    <row r="891" spans="1:5" x14ac:dyDescent="0.35">
      <c r="A891" s="471">
        <v>44628</v>
      </c>
      <c r="B891" s="107">
        <v>316.39999999999998</v>
      </c>
      <c r="D891" s="471">
        <v>44461</v>
      </c>
      <c r="E891" s="472">
        <v>7241.84</v>
      </c>
    </row>
    <row r="892" spans="1:5" x14ac:dyDescent="0.35">
      <c r="A892" s="471">
        <v>44627</v>
      </c>
      <c r="B892" s="107">
        <v>317.60000000000002</v>
      </c>
      <c r="D892" s="471">
        <v>44460</v>
      </c>
      <c r="E892" s="472">
        <v>7258.57</v>
      </c>
    </row>
    <row r="893" spans="1:5" x14ac:dyDescent="0.35">
      <c r="A893" s="471">
        <v>44626</v>
      </c>
      <c r="B893" s="107">
        <v>323.10000000000002</v>
      </c>
      <c r="D893" s="471">
        <v>44459</v>
      </c>
      <c r="E893" s="472">
        <v>7205.82</v>
      </c>
    </row>
    <row r="894" spans="1:5" x14ac:dyDescent="0.35">
      <c r="A894" s="471">
        <v>44623</v>
      </c>
      <c r="B894" s="107">
        <v>328.8</v>
      </c>
      <c r="D894" s="471">
        <v>44458</v>
      </c>
      <c r="E894" s="472">
        <v>7191.8</v>
      </c>
    </row>
    <row r="895" spans="1:5" x14ac:dyDescent="0.35">
      <c r="A895" s="471">
        <v>44622</v>
      </c>
      <c r="B895" s="107">
        <v>335.1</v>
      </c>
      <c r="D895" s="471">
        <v>44455</v>
      </c>
      <c r="E895" s="472">
        <v>7228.31</v>
      </c>
    </row>
    <row r="896" spans="1:5" x14ac:dyDescent="0.35">
      <c r="A896" s="471">
        <v>44621</v>
      </c>
      <c r="B896" s="107">
        <v>340.3</v>
      </c>
      <c r="D896" s="471">
        <v>44454</v>
      </c>
      <c r="E896" s="472">
        <v>7196.55</v>
      </c>
    </row>
    <row r="897" spans="1:5" x14ac:dyDescent="0.35">
      <c r="A897" s="471">
        <v>44620</v>
      </c>
      <c r="B897" s="107">
        <v>340</v>
      </c>
      <c r="D897" s="471">
        <v>44453</v>
      </c>
      <c r="E897" s="472">
        <v>7140.5</v>
      </c>
    </row>
    <row r="898" spans="1:5" x14ac:dyDescent="0.35">
      <c r="A898" s="471">
        <v>44619</v>
      </c>
      <c r="B898" s="107">
        <v>340.9</v>
      </c>
      <c r="D898" s="471">
        <v>44452</v>
      </c>
      <c r="E898" s="472">
        <v>7218.05</v>
      </c>
    </row>
    <row r="899" spans="1:5" x14ac:dyDescent="0.35">
      <c r="A899" s="471">
        <v>44616</v>
      </c>
      <c r="B899" s="107">
        <v>341.9</v>
      </c>
      <c r="D899" s="471">
        <v>44451</v>
      </c>
      <c r="E899" s="472">
        <v>7202.09</v>
      </c>
    </row>
    <row r="900" spans="1:5" x14ac:dyDescent="0.35">
      <c r="A900" s="471">
        <v>44614</v>
      </c>
      <c r="B900" s="107">
        <v>355.4</v>
      </c>
      <c r="D900" s="471">
        <v>44448</v>
      </c>
      <c r="E900" s="472">
        <v>7258.74</v>
      </c>
    </row>
    <row r="901" spans="1:5" x14ac:dyDescent="0.35">
      <c r="A901" s="471">
        <v>44612</v>
      </c>
      <c r="B901" s="107">
        <v>354.6</v>
      </c>
      <c r="D901" s="471">
        <v>44447</v>
      </c>
      <c r="E901" s="472">
        <v>7196.32</v>
      </c>
    </row>
    <row r="902" spans="1:5" x14ac:dyDescent="0.35">
      <c r="A902" s="471">
        <v>44609</v>
      </c>
      <c r="B902" s="107">
        <v>356.8</v>
      </c>
      <c r="D902" s="471">
        <v>44446</v>
      </c>
      <c r="E902" s="472">
        <v>7140.87</v>
      </c>
    </row>
    <row r="903" spans="1:5" x14ac:dyDescent="0.35">
      <c r="A903" s="471">
        <v>44608</v>
      </c>
      <c r="B903" s="107">
        <v>357.7</v>
      </c>
      <c r="D903" s="471">
        <v>44445</v>
      </c>
      <c r="E903" s="472">
        <v>7075.49</v>
      </c>
    </row>
    <row r="904" spans="1:5" x14ac:dyDescent="0.35">
      <c r="A904" s="471">
        <v>44607</v>
      </c>
      <c r="B904" s="107">
        <v>357.9</v>
      </c>
      <c r="D904" s="471">
        <v>44444</v>
      </c>
      <c r="E904" s="472">
        <v>7052.82</v>
      </c>
    </row>
    <row r="905" spans="1:5" x14ac:dyDescent="0.35">
      <c r="A905" s="471">
        <v>44606</v>
      </c>
      <c r="B905" s="107">
        <v>357.6</v>
      </c>
      <c r="D905" s="471">
        <v>44441</v>
      </c>
      <c r="E905" s="472">
        <v>6981.05</v>
      </c>
    </row>
    <row r="906" spans="1:5" x14ac:dyDescent="0.35">
      <c r="A906" s="471">
        <v>44605</v>
      </c>
      <c r="B906" s="107">
        <v>357.9</v>
      </c>
      <c r="D906" s="471">
        <v>44440</v>
      </c>
      <c r="E906" s="472">
        <v>6916.38</v>
      </c>
    </row>
    <row r="907" spans="1:5" x14ac:dyDescent="0.35">
      <c r="A907" s="471">
        <v>44602</v>
      </c>
      <c r="B907" s="107">
        <v>358</v>
      </c>
      <c r="D907" s="471">
        <v>44439</v>
      </c>
      <c r="E907" s="472">
        <v>6869.24</v>
      </c>
    </row>
    <row r="908" spans="1:5" x14ac:dyDescent="0.35">
      <c r="A908" s="471">
        <v>44601</v>
      </c>
      <c r="B908" s="107">
        <v>357.9</v>
      </c>
      <c r="D908" s="471">
        <v>44437</v>
      </c>
      <c r="E908" s="472">
        <v>6823.6</v>
      </c>
    </row>
    <row r="909" spans="1:5" x14ac:dyDescent="0.35">
      <c r="A909" s="471">
        <v>44600</v>
      </c>
      <c r="B909" s="107">
        <v>358.2</v>
      </c>
      <c r="D909" s="471">
        <v>44434</v>
      </c>
      <c r="E909" s="472">
        <v>6851.32</v>
      </c>
    </row>
    <row r="910" spans="1:5" x14ac:dyDescent="0.35">
      <c r="A910" s="471">
        <v>44599</v>
      </c>
      <c r="B910" s="107">
        <v>355.8</v>
      </c>
      <c r="D910" s="471">
        <v>44433</v>
      </c>
      <c r="E910" s="472">
        <v>6878.75</v>
      </c>
    </row>
    <row r="911" spans="1:5" x14ac:dyDescent="0.35">
      <c r="A911" s="471">
        <v>44598</v>
      </c>
      <c r="B911" s="107">
        <v>357.9</v>
      </c>
      <c r="D911" s="471">
        <v>44432</v>
      </c>
      <c r="E911" s="472">
        <v>6884.67</v>
      </c>
    </row>
    <row r="912" spans="1:5" x14ac:dyDescent="0.35">
      <c r="A912" s="471">
        <v>44595</v>
      </c>
      <c r="B912" s="107">
        <v>355.2</v>
      </c>
      <c r="D912" s="471">
        <v>44431</v>
      </c>
      <c r="E912" s="472">
        <v>6862.41</v>
      </c>
    </row>
    <row r="913" spans="1:5" x14ac:dyDescent="0.35">
      <c r="A913" s="471">
        <v>44594</v>
      </c>
      <c r="B913" s="107">
        <v>355.2</v>
      </c>
      <c r="D913" s="471">
        <v>44430</v>
      </c>
      <c r="E913" s="472">
        <v>6842.23</v>
      </c>
    </row>
    <row r="914" spans="1:5" x14ac:dyDescent="0.35">
      <c r="A914" s="471">
        <v>44593</v>
      </c>
      <c r="B914" s="107">
        <v>354.6</v>
      </c>
      <c r="D914" s="471">
        <v>44427</v>
      </c>
      <c r="E914" s="472">
        <v>6760.61</v>
      </c>
    </row>
    <row r="915" spans="1:5" x14ac:dyDescent="0.35">
      <c r="A915" s="471">
        <v>44592</v>
      </c>
      <c r="B915" s="107">
        <v>355.9</v>
      </c>
      <c r="D915" s="471">
        <v>44426</v>
      </c>
      <c r="E915" s="472">
        <v>6771.84</v>
      </c>
    </row>
    <row r="916" spans="1:5" x14ac:dyDescent="0.35">
      <c r="A916" s="471">
        <v>44591</v>
      </c>
      <c r="B916" s="107">
        <v>354</v>
      </c>
      <c r="D916" s="471">
        <v>44425</v>
      </c>
      <c r="E916" s="472">
        <v>6787.16</v>
      </c>
    </row>
    <row r="917" spans="1:5" x14ac:dyDescent="0.35">
      <c r="A917" s="471">
        <v>44588</v>
      </c>
      <c r="B917" s="107">
        <v>351.4</v>
      </c>
      <c r="D917" s="471">
        <v>44424</v>
      </c>
      <c r="E917" s="472">
        <v>6748.92</v>
      </c>
    </row>
    <row r="918" spans="1:5" x14ac:dyDescent="0.35">
      <c r="A918" s="471">
        <v>44587</v>
      </c>
      <c r="B918" s="107">
        <v>355.4</v>
      </c>
      <c r="D918" s="471">
        <v>44420</v>
      </c>
      <c r="E918" s="472">
        <v>6699.39</v>
      </c>
    </row>
    <row r="919" spans="1:5" x14ac:dyDescent="0.35">
      <c r="A919" s="471">
        <v>44586</v>
      </c>
      <c r="B919" s="107">
        <v>355.2</v>
      </c>
      <c r="D919" s="471">
        <v>44419</v>
      </c>
      <c r="E919" s="472">
        <v>6623.31</v>
      </c>
    </row>
    <row r="920" spans="1:5" x14ac:dyDescent="0.35">
      <c r="A920" s="471">
        <v>44585</v>
      </c>
      <c r="B920" s="107">
        <v>359</v>
      </c>
      <c r="D920" s="471">
        <v>44418</v>
      </c>
      <c r="E920" s="472">
        <v>6617.83</v>
      </c>
    </row>
    <row r="921" spans="1:5" x14ac:dyDescent="0.35">
      <c r="A921" s="471">
        <v>44584</v>
      </c>
      <c r="B921" s="107">
        <v>358.8</v>
      </c>
      <c r="D921" s="471">
        <v>44417</v>
      </c>
      <c r="E921" s="472">
        <v>6628.14</v>
      </c>
    </row>
    <row r="922" spans="1:5" x14ac:dyDescent="0.35">
      <c r="A922" s="471">
        <v>44581</v>
      </c>
      <c r="B922" s="107">
        <v>357.3</v>
      </c>
      <c r="D922" s="471">
        <v>44413</v>
      </c>
      <c r="E922" s="472">
        <v>6596.07</v>
      </c>
    </row>
    <row r="923" spans="1:5" x14ac:dyDescent="0.35">
      <c r="A923" s="471">
        <v>44580</v>
      </c>
      <c r="B923" s="107">
        <v>359</v>
      </c>
      <c r="D923" s="471">
        <v>44411</v>
      </c>
      <c r="E923" s="472">
        <v>6535.87</v>
      </c>
    </row>
    <row r="924" spans="1:5" x14ac:dyDescent="0.35">
      <c r="A924" s="471">
        <v>44579</v>
      </c>
      <c r="B924" s="107">
        <v>358.6</v>
      </c>
      <c r="D924" s="471">
        <v>44410</v>
      </c>
      <c r="E924" s="472">
        <v>6481.56</v>
      </c>
    </row>
    <row r="925" spans="1:5" x14ac:dyDescent="0.35">
      <c r="A925" s="471">
        <v>44578</v>
      </c>
      <c r="B925" s="107">
        <v>359.5</v>
      </c>
      <c r="D925" s="471">
        <v>44406</v>
      </c>
      <c r="E925" s="472">
        <v>6425.25</v>
      </c>
    </row>
    <row r="926" spans="1:5" x14ac:dyDescent="0.35">
      <c r="A926" s="471">
        <v>44577</v>
      </c>
      <c r="B926" s="107">
        <v>359.4</v>
      </c>
      <c r="D926" s="471">
        <v>44405</v>
      </c>
      <c r="E926" s="472">
        <v>6417.19</v>
      </c>
    </row>
    <row r="927" spans="1:5" x14ac:dyDescent="0.35">
      <c r="A927" s="471">
        <v>44574</v>
      </c>
      <c r="B927" s="107">
        <v>359.3</v>
      </c>
      <c r="D927" s="471">
        <v>44404</v>
      </c>
      <c r="E927" s="472">
        <v>6379.67</v>
      </c>
    </row>
    <row r="928" spans="1:5" x14ac:dyDescent="0.35">
      <c r="A928" s="471">
        <v>44573</v>
      </c>
      <c r="B928" s="107">
        <v>357.1</v>
      </c>
      <c r="D928" s="471">
        <v>44403</v>
      </c>
      <c r="E928" s="472">
        <v>6404.03</v>
      </c>
    </row>
    <row r="929" spans="1:5" x14ac:dyDescent="0.35">
      <c r="A929" s="471">
        <v>44572</v>
      </c>
      <c r="B929" s="107">
        <v>353.4</v>
      </c>
      <c r="D929" s="471">
        <v>44402</v>
      </c>
      <c r="E929" s="472">
        <v>6424.21</v>
      </c>
    </row>
    <row r="930" spans="1:5" x14ac:dyDescent="0.35">
      <c r="A930" s="471">
        <v>44571</v>
      </c>
      <c r="B930" s="107">
        <v>350</v>
      </c>
      <c r="D930" s="471">
        <v>44396</v>
      </c>
      <c r="E930" s="472">
        <v>6405.04</v>
      </c>
    </row>
    <row r="931" spans="1:5" x14ac:dyDescent="0.35">
      <c r="A931" s="471">
        <v>44567</v>
      </c>
      <c r="B931" s="107">
        <v>348.3</v>
      </c>
      <c r="D931" s="471">
        <v>44395</v>
      </c>
      <c r="E931" s="472">
        <v>6346.52</v>
      </c>
    </row>
    <row r="932" spans="1:5" x14ac:dyDescent="0.35">
      <c r="A932" s="471">
        <v>44566</v>
      </c>
      <c r="B932" s="107">
        <v>346.4</v>
      </c>
      <c r="D932" s="471">
        <v>44392</v>
      </c>
      <c r="E932" s="472">
        <v>6307.35</v>
      </c>
    </row>
    <row r="933" spans="1:5" x14ac:dyDescent="0.35">
      <c r="A933" s="471">
        <v>44565</v>
      </c>
      <c r="B933" s="107">
        <v>349.2</v>
      </c>
      <c r="D933" s="471">
        <v>44391</v>
      </c>
      <c r="E933" s="472">
        <v>6273.33</v>
      </c>
    </row>
    <row r="934" spans="1:5" x14ac:dyDescent="0.35">
      <c r="A934" s="471">
        <v>44564</v>
      </c>
      <c r="B934" s="107">
        <v>347.8</v>
      </c>
      <c r="D934" s="471">
        <v>44390</v>
      </c>
      <c r="E934" s="472">
        <v>6266.01</v>
      </c>
    </row>
    <row r="935" spans="1:5" x14ac:dyDescent="0.35">
      <c r="A935" s="471">
        <v>44563</v>
      </c>
      <c r="B935" s="107">
        <v>349.6</v>
      </c>
      <c r="D935" s="471">
        <v>44389</v>
      </c>
      <c r="E935" s="472">
        <v>6208.39</v>
      </c>
    </row>
    <row r="936" spans="1:5" x14ac:dyDescent="0.35">
      <c r="A936" s="471">
        <v>44560</v>
      </c>
      <c r="B936" s="107">
        <v>349.5</v>
      </c>
      <c r="D936" s="471">
        <v>44385</v>
      </c>
      <c r="E936" s="472">
        <v>6212.76</v>
      </c>
    </row>
    <row r="937" spans="1:5" x14ac:dyDescent="0.35">
      <c r="A937" s="471">
        <v>44559</v>
      </c>
      <c r="B937" s="107">
        <v>348.4</v>
      </c>
      <c r="D937" s="471">
        <v>44384</v>
      </c>
      <c r="E937" s="472">
        <v>6177.21</v>
      </c>
    </row>
    <row r="938" spans="1:5" x14ac:dyDescent="0.35">
      <c r="A938" s="471">
        <v>44558</v>
      </c>
      <c r="B938" s="107">
        <v>350</v>
      </c>
      <c r="D938" s="471">
        <v>44383</v>
      </c>
      <c r="E938" s="472">
        <v>6196.57</v>
      </c>
    </row>
    <row r="939" spans="1:5" x14ac:dyDescent="0.35">
      <c r="A939" s="471">
        <v>44557</v>
      </c>
      <c r="B939" s="107">
        <v>349.1</v>
      </c>
      <c r="D939" s="471">
        <v>44382</v>
      </c>
      <c r="E939" s="472">
        <v>6219.94</v>
      </c>
    </row>
    <row r="940" spans="1:5" x14ac:dyDescent="0.35">
      <c r="A940" s="471">
        <v>44556</v>
      </c>
      <c r="B940" s="107">
        <v>350</v>
      </c>
      <c r="D940" s="471">
        <v>44381</v>
      </c>
      <c r="E940" s="472">
        <v>6150.48</v>
      </c>
    </row>
    <row r="941" spans="1:5" x14ac:dyDescent="0.35">
      <c r="A941" s="471">
        <v>44553</v>
      </c>
      <c r="B941" s="107">
        <v>350.3</v>
      </c>
      <c r="D941" s="471">
        <v>44377</v>
      </c>
      <c r="E941" s="472">
        <v>6150.48</v>
      </c>
    </row>
    <row r="942" spans="1:5" x14ac:dyDescent="0.35">
      <c r="A942" s="471">
        <v>44552</v>
      </c>
      <c r="B942" s="107">
        <v>349.9</v>
      </c>
      <c r="D942" s="471">
        <v>44376</v>
      </c>
      <c r="E942" s="472">
        <v>6042.49</v>
      </c>
    </row>
    <row r="943" spans="1:5" x14ac:dyDescent="0.35">
      <c r="A943" s="471">
        <v>44551</v>
      </c>
      <c r="B943" s="107">
        <v>349.4</v>
      </c>
      <c r="D943" s="471">
        <v>44375</v>
      </c>
      <c r="E943" s="472">
        <v>6026.64</v>
      </c>
    </row>
    <row r="944" spans="1:5" x14ac:dyDescent="0.35">
      <c r="A944" s="471">
        <v>44550</v>
      </c>
      <c r="B944" s="107">
        <v>349.3</v>
      </c>
      <c r="D944" s="471">
        <v>44374</v>
      </c>
      <c r="E944" s="472">
        <v>5992.73</v>
      </c>
    </row>
    <row r="945" spans="1:5" x14ac:dyDescent="0.35">
      <c r="A945" s="471">
        <v>44549</v>
      </c>
      <c r="B945" s="107">
        <v>353.2</v>
      </c>
      <c r="D945" s="471">
        <v>44371</v>
      </c>
      <c r="E945" s="472">
        <v>6092.83</v>
      </c>
    </row>
    <row r="946" spans="1:5" x14ac:dyDescent="0.35">
      <c r="A946" s="471">
        <v>44545</v>
      </c>
      <c r="B946" s="107">
        <v>355.2</v>
      </c>
      <c r="D946" s="471">
        <v>44370</v>
      </c>
      <c r="E946" s="472">
        <v>6035.84</v>
      </c>
    </row>
    <row r="947" spans="1:5" x14ac:dyDescent="0.35">
      <c r="A947" s="471">
        <v>44544</v>
      </c>
      <c r="B947" s="107">
        <v>354.6</v>
      </c>
      <c r="D947" s="471">
        <v>44369</v>
      </c>
      <c r="E947" s="472">
        <v>6105.73</v>
      </c>
    </row>
    <row r="948" spans="1:5" x14ac:dyDescent="0.35">
      <c r="A948" s="471">
        <v>44543</v>
      </c>
      <c r="B948" s="107">
        <v>358.7</v>
      </c>
      <c r="D948" s="471">
        <v>44368</v>
      </c>
      <c r="E948" s="472">
        <v>6125.41</v>
      </c>
    </row>
    <row r="949" spans="1:5" x14ac:dyDescent="0.35">
      <c r="A949" s="471">
        <v>44542</v>
      </c>
      <c r="B949" s="107">
        <v>358.8</v>
      </c>
      <c r="D949" s="471">
        <v>44367</v>
      </c>
      <c r="E949" s="472">
        <v>6069.4</v>
      </c>
    </row>
    <row r="950" spans="1:5" x14ac:dyDescent="0.35">
      <c r="A950" s="471">
        <v>44539</v>
      </c>
      <c r="B950" s="107">
        <v>359.3</v>
      </c>
      <c r="D950" s="471">
        <v>44364</v>
      </c>
      <c r="E950" s="472">
        <v>6052.75</v>
      </c>
    </row>
    <row r="951" spans="1:5" x14ac:dyDescent="0.35">
      <c r="A951" s="471">
        <v>44538</v>
      </c>
      <c r="B951" s="107">
        <v>359.8</v>
      </c>
      <c r="D951" s="471">
        <v>44363</v>
      </c>
      <c r="E951" s="472">
        <v>6051.73</v>
      </c>
    </row>
    <row r="952" spans="1:5" x14ac:dyDescent="0.35">
      <c r="A952" s="471">
        <v>44537</v>
      </c>
      <c r="B952" s="107">
        <v>360.9</v>
      </c>
      <c r="D952" s="471">
        <v>44362</v>
      </c>
      <c r="E952" s="472">
        <v>6022.31</v>
      </c>
    </row>
    <row r="953" spans="1:5" x14ac:dyDescent="0.35">
      <c r="A953" s="471">
        <v>44536</v>
      </c>
      <c r="B953" s="107">
        <v>360.7</v>
      </c>
      <c r="D953" s="471">
        <v>44361</v>
      </c>
      <c r="E953" s="472">
        <v>6013.61</v>
      </c>
    </row>
    <row r="954" spans="1:5" x14ac:dyDescent="0.35">
      <c r="A954" s="471">
        <v>44535</v>
      </c>
      <c r="B954" s="107">
        <v>362</v>
      </c>
      <c r="D954" s="471">
        <v>44360</v>
      </c>
      <c r="E954" s="472">
        <v>6036.05</v>
      </c>
    </row>
    <row r="955" spans="1:5" x14ac:dyDescent="0.35">
      <c r="A955" s="471">
        <v>44532</v>
      </c>
      <c r="B955" s="107">
        <v>358.7</v>
      </c>
      <c r="D955" s="471">
        <v>44357</v>
      </c>
      <c r="E955" s="472">
        <v>6066.64</v>
      </c>
    </row>
    <row r="956" spans="1:5" x14ac:dyDescent="0.35">
      <c r="A956" s="471">
        <v>44531</v>
      </c>
      <c r="B956" s="107">
        <v>355.8</v>
      </c>
      <c r="D956" s="471">
        <v>44356</v>
      </c>
      <c r="E956" s="472">
        <v>6055.05</v>
      </c>
    </row>
    <row r="957" spans="1:5" x14ac:dyDescent="0.35">
      <c r="A957" s="471">
        <v>44530</v>
      </c>
      <c r="B957" s="107">
        <v>348.3</v>
      </c>
      <c r="D957" s="471">
        <v>44355</v>
      </c>
      <c r="E957" s="472">
        <v>6023.15</v>
      </c>
    </row>
    <row r="958" spans="1:5" x14ac:dyDescent="0.35">
      <c r="A958" s="471">
        <v>44529</v>
      </c>
      <c r="B958" s="107">
        <v>359.9</v>
      </c>
      <c r="D958" s="471">
        <v>44354</v>
      </c>
      <c r="E958" s="472">
        <v>5975.89</v>
      </c>
    </row>
    <row r="959" spans="1:5" x14ac:dyDescent="0.35">
      <c r="A959" s="471">
        <v>44528</v>
      </c>
      <c r="B959" s="107">
        <v>360.3</v>
      </c>
      <c r="D959" s="471">
        <v>44353</v>
      </c>
      <c r="E959" s="472">
        <v>6038.29</v>
      </c>
    </row>
    <row r="960" spans="1:5" x14ac:dyDescent="0.35">
      <c r="A960" s="471">
        <v>44525</v>
      </c>
      <c r="B960" s="107">
        <v>360.6</v>
      </c>
      <c r="D960" s="471">
        <v>44350</v>
      </c>
      <c r="E960" s="472">
        <v>6053.42</v>
      </c>
    </row>
    <row r="961" spans="1:5" x14ac:dyDescent="0.35">
      <c r="A961" s="471">
        <v>44524</v>
      </c>
      <c r="B961" s="107">
        <v>360.3</v>
      </c>
      <c r="D961" s="471">
        <v>44349</v>
      </c>
      <c r="E961" s="472">
        <v>6019</v>
      </c>
    </row>
    <row r="962" spans="1:5" x14ac:dyDescent="0.35">
      <c r="A962" s="471">
        <v>44523</v>
      </c>
      <c r="B962" s="107">
        <v>361.1</v>
      </c>
      <c r="D962" s="471">
        <v>44348</v>
      </c>
      <c r="E962" s="472">
        <v>5993.33</v>
      </c>
    </row>
    <row r="963" spans="1:5" x14ac:dyDescent="0.35">
      <c r="A963" s="471">
        <v>44522</v>
      </c>
      <c r="B963" s="107">
        <v>359.9</v>
      </c>
      <c r="D963" s="471">
        <v>44347</v>
      </c>
      <c r="E963" s="472">
        <v>5990.98</v>
      </c>
    </row>
    <row r="964" spans="1:5" x14ac:dyDescent="0.35">
      <c r="A964" s="471">
        <v>44521</v>
      </c>
      <c r="B964" s="107">
        <v>359.8</v>
      </c>
      <c r="D964" s="471">
        <v>44346</v>
      </c>
      <c r="E964" s="472">
        <v>6008.69</v>
      </c>
    </row>
    <row r="965" spans="1:5" x14ac:dyDescent="0.35">
      <c r="A965" s="471">
        <v>44518</v>
      </c>
      <c r="B965" s="107">
        <v>360.6</v>
      </c>
      <c r="D965" s="471">
        <v>44343</v>
      </c>
      <c r="E965" s="472">
        <v>5985.81</v>
      </c>
    </row>
    <row r="966" spans="1:5" x14ac:dyDescent="0.35">
      <c r="A966" s="471">
        <v>44517</v>
      </c>
      <c r="B966" s="107">
        <v>360.5</v>
      </c>
      <c r="D966" s="471">
        <v>44341</v>
      </c>
      <c r="E966" s="472">
        <v>5884.78</v>
      </c>
    </row>
    <row r="967" spans="1:5" x14ac:dyDescent="0.35">
      <c r="A967" s="471">
        <v>44516</v>
      </c>
      <c r="B967" s="107">
        <v>361.7</v>
      </c>
      <c r="D967" s="471">
        <v>44340</v>
      </c>
      <c r="E967" s="472">
        <v>5842.91</v>
      </c>
    </row>
    <row r="968" spans="1:5" x14ac:dyDescent="0.35">
      <c r="A968" s="471">
        <v>44515</v>
      </c>
      <c r="B968" s="107">
        <v>359.3</v>
      </c>
      <c r="D968" s="471">
        <v>44339</v>
      </c>
      <c r="E968" s="472">
        <v>5787.59</v>
      </c>
    </row>
    <row r="969" spans="1:5" x14ac:dyDescent="0.35">
      <c r="A969" s="471">
        <v>44514</v>
      </c>
      <c r="B969" s="107">
        <v>360.2</v>
      </c>
      <c r="D969" s="471">
        <v>44336</v>
      </c>
      <c r="E969" s="472">
        <v>5813.06</v>
      </c>
    </row>
    <row r="970" spans="1:5" x14ac:dyDescent="0.35">
      <c r="A970" s="471">
        <v>44511</v>
      </c>
      <c r="B970" s="107">
        <v>359.1</v>
      </c>
      <c r="D970" s="471">
        <v>44335</v>
      </c>
      <c r="E970" s="472">
        <v>5873.13</v>
      </c>
    </row>
    <row r="971" spans="1:5" x14ac:dyDescent="0.35">
      <c r="A971" s="471">
        <v>44510</v>
      </c>
      <c r="B971" s="107">
        <v>355.1</v>
      </c>
      <c r="D971" s="471">
        <v>44334</v>
      </c>
      <c r="E971" s="472">
        <v>5829.23</v>
      </c>
    </row>
    <row r="972" spans="1:5" x14ac:dyDescent="0.35">
      <c r="A972" s="471">
        <v>44509</v>
      </c>
      <c r="B972" s="107">
        <v>354.8</v>
      </c>
      <c r="D972" s="471">
        <v>44333</v>
      </c>
      <c r="E972" s="472">
        <v>5840.08</v>
      </c>
    </row>
    <row r="973" spans="1:5" x14ac:dyDescent="0.35">
      <c r="A973" s="471">
        <v>44508</v>
      </c>
      <c r="B973" s="107">
        <v>355.9</v>
      </c>
      <c r="D973" s="471">
        <v>44332</v>
      </c>
      <c r="E973" s="472">
        <v>5813.16</v>
      </c>
    </row>
    <row r="974" spans="1:5" x14ac:dyDescent="0.35">
      <c r="A974" s="471">
        <v>44507</v>
      </c>
      <c r="B974" s="107">
        <v>355.1</v>
      </c>
      <c r="D974" s="471">
        <v>44328</v>
      </c>
      <c r="E974" s="472">
        <v>5750.49</v>
      </c>
    </row>
    <row r="975" spans="1:5" x14ac:dyDescent="0.35">
      <c r="A975" s="471">
        <v>44504</v>
      </c>
      <c r="B975" s="107">
        <v>354.7</v>
      </c>
      <c r="D975" s="471">
        <v>44327</v>
      </c>
      <c r="E975" s="472">
        <v>5724.36</v>
      </c>
    </row>
    <row r="976" spans="1:5" x14ac:dyDescent="0.35">
      <c r="A976" s="471">
        <v>44503</v>
      </c>
      <c r="B976" s="107">
        <v>353.4</v>
      </c>
      <c r="D976" s="471">
        <v>44325</v>
      </c>
      <c r="E976" s="472">
        <v>5645.69</v>
      </c>
    </row>
    <row r="977" spans="1:5" x14ac:dyDescent="0.35">
      <c r="A977" s="471">
        <v>44502</v>
      </c>
      <c r="B977" s="107">
        <v>356.6</v>
      </c>
      <c r="D977" s="471">
        <v>44322</v>
      </c>
      <c r="E977" s="472">
        <v>5606.01</v>
      </c>
    </row>
    <row r="978" spans="1:5" x14ac:dyDescent="0.35">
      <c r="A978" s="471">
        <v>44501</v>
      </c>
      <c r="B978" s="107">
        <v>353.9</v>
      </c>
      <c r="D978" s="471">
        <v>44321</v>
      </c>
      <c r="E978" s="472">
        <v>5588.83</v>
      </c>
    </row>
    <row r="979" spans="1:5" x14ac:dyDescent="0.35">
      <c r="A979" s="471">
        <v>44500</v>
      </c>
      <c r="B979" s="107">
        <v>358.5</v>
      </c>
      <c r="D979" s="471">
        <v>44320</v>
      </c>
      <c r="E979" s="472">
        <v>5535.48</v>
      </c>
    </row>
    <row r="980" spans="1:5" x14ac:dyDescent="0.35">
      <c r="A980" s="471">
        <v>44497</v>
      </c>
      <c r="B980" s="107">
        <v>355.2</v>
      </c>
      <c r="D980" s="471">
        <v>44319</v>
      </c>
      <c r="E980" s="472">
        <v>5511.36</v>
      </c>
    </row>
    <row r="981" spans="1:5" x14ac:dyDescent="0.35">
      <c r="A981" s="471">
        <v>44496</v>
      </c>
      <c r="B981" s="107">
        <v>353.7</v>
      </c>
      <c r="D981" s="471">
        <v>44318</v>
      </c>
      <c r="E981" s="472">
        <v>5517.01</v>
      </c>
    </row>
    <row r="982" spans="1:5" x14ac:dyDescent="0.35">
      <c r="A982" s="471">
        <v>44495</v>
      </c>
      <c r="B982" s="107">
        <v>351.5</v>
      </c>
      <c r="D982" s="471">
        <v>44315</v>
      </c>
      <c r="E982" s="472">
        <v>5479.61</v>
      </c>
    </row>
    <row r="983" spans="1:5" x14ac:dyDescent="0.35">
      <c r="A983" s="471">
        <v>44494</v>
      </c>
      <c r="B983" s="107">
        <v>357.4</v>
      </c>
      <c r="D983" s="471">
        <v>44314</v>
      </c>
      <c r="E983" s="472">
        <v>5461.34</v>
      </c>
    </row>
    <row r="984" spans="1:5" x14ac:dyDescent="0.35">
      <c r="A984" s="471">
        <v>44493</v>
      </c>
      <c r="B984" s="107">
        <v>360</v>
      </c>
      <c r="D984" s="471">
        <v>44313</v>
      </c>
      <c r="E984" s="472">
        <v>5422.38</v>
      </c>
    </row>
    <row r="985" spans="1:5" x14ac:dyDescent="0.35">
      <c r="A985" s="471">
        <v>44490</v>
      </c>
      <c r="B985" s="107">
        <v>365.5</v>
      </c>
      <c r="D985" s="471">
        <v>44312</v>
      </c>
      <c r="E985" s="472">
        <v>5485.86</v>
      </c>
    </row>
    <row r="986" spans="1:5" x14ac:dyDescent="0.35">
      <c r="A986" s="471">
        <v>44488</v>
      </c>
      <c r="B986" s="107">
        <v>361.7</v>
      </c>
      <c r="D986" s="471">
        <v>44311</v>
      </c>
      <c r="E986" s="472">
        <v>5498.21</v>
      </c>
    </row>
    <row r="987" spans="1:5" x14ac:dyDescent="0.35">
      <c r="A987" s="471">
        <v>44487</v>
      </c>
      <c r="B987" s="107">
        <v>363.5</v>
      </c>
      <c r="D987" s="471">
        <v>44308</v>
      </c>
      <c r="E987" s="472">
        <v>5435.03</v>
      </c>
    </row>
    <row r="988" spans="1:5" x14ac:dyDescent="0.35">
      <c r="A988" s="471">
        <v>44486</v>
      </c>
      <c r="B988" s="107">
        <v>368.6</v>
      </c>
      <c r="D988" s="471">
        <v>44307</v>
      </c>
      <c r="E988" s="472">
        <v>5423.22</v>
      </c>
    </row>
    <row r="989" spans="1:5" x14ac:dyDescent="0.35">
      <c r="A989" s="471">
        <v>44483</v>
      </c>
      <c r="B989" s="107">
        <v>366.9</v>
      </c>
      <c r="D989" s="471">
        <v>44306</v>
      </c>
      <c r="E989" s="472">
        <v>5421.78</v>
      </c>
    </row>
    <row r="990" spans="1:5" x14ac:dyDescent="0.35">
      <c r="A990" s="471">
        <v>44482</v>
      </c>
      <c r="B990" s="107">
        <v>366.2</v>
      </c>
      <c r="D990" s="471">
        <v>44305</v>
      </c>
      <c r="E990" s="472">
        <v>5349.91</v>
      </c>
    </row>
    <row r="991" spans="1:5" x14ac:dyDescent="0.35">
      <c r="A991" s="471">
        <v>44481</v>
      </c>
      <c r="B991" s="107">
        <v>368.3</v>
      </c>
      <c r="D991" s="471">
        <v>44304</v>
      </c>
      <c r="E991" s="472">
        <v>5331.42</v>
      </c>
    </row>
    <row r="992" spans="1:5" x14ac:dyDescent="0.35">
      <c r="A992" s="471">
        <v>44480</v>
      </c>
      <c r="B992" s="107">
        <v>370.5</v>
      </c>
      <c r="D992" s="471">
        <v>44301</v>
      </c>
      <c r="E992" s="472">
        <v>5310.18</v>
      </c>
    </row>
    <row r="993" spans="1:5" x14ac:dyDescent="0.35">
      <c r="A993" s="471">
        <v>44479</v>
      </c>
      <c r="B993" s="107">
        <v>372.3</v>
      </c>
      <c r="D993" s="471">
        <v>44299</v>
      </c>
      <c r="E993" s="472">
        <v>5258.5</v>
      </c>
    </row>
    <row r="994" spans="1:5" x14ac:dyDescent="0.35">
      <c r="A994" s="471">
        <v>44476</v>
      </c>
      <c r="B994" s="107">
        <v>373.5</v>
      </c>
      <c r="D994" s="471">
        <v>44298</v>
      </c>
      <c r="E994" s="472">
        <v>5188.2700000000004</v>
      </c>
    </row>
    <row r="995" spans="1:5" x14ac:dyDescent="0.35">
      <c r="A995" s="471">
        <v>44475</v>
      </c>
      <c r="B995" s="107">
        <v>374.9</v>
      </c>
      <c r="D995" s="471">
        <v>44297</v>
      </c>
      <c r="E995" s="472">
        <v>5164.6899999999996</v>
      </c>
    </row>
    <row r="996" spans="1:5" x14ac:dyDescent="0.35">
      <c r="A996" s="471">
        <v>44474</v>
      </c>
      <c r="B996" s="107">
        <v>379</v>
      </c>
      <c r="D996" s="471">
        <v>44294</v>
      </c>
      <c r="E996" s="472">
        <v>5254.77</v>
      </c>
    </row>
    <row r="997" spans="1:5" x14ac:dyDescent="0.35">
      <c r="A997" s="471">
        <v>44473</v>
      </c>
      <c r="B997" s="107">
        <v>378.1</v>
      </c>
      <c r="D997" s="471">
        <v>44293</v>
      </c>
      <c r="E997" s="472">
        <v>5337.33</v>
      </c>
    </row>
    <row r="998" spans="1:5" x14ac:dyDescent="0.35">
      <c r="A998" s="471">
        <v>44472</v>
      </c>
      <c r="B998" s="107">
        <v>377.9</v>
      </c>
      <c r="D998" s="471">
        <v>44292</v>
      </c>
      <c r="E998" s="472">
        <v>5281.37</v>
      </c>
    </row>
    <row r="999" spans="1:5" x14ac:dyDescent="0.35">
      <c r="A999" s="471">
        <v>44469</v>
      </c>
      <c r="B999" s="107">
        <v>380.2</v>
      </c>
      <c r="D999" s="471">
        <v>44291</v>
      </c>
      <c r="E999" s="472">
        <v>5177.4799999999996</v>
      </c>
    </row>
    <row r="1000" spans="1:5" x14ac:dyDescent="0.35">
      <c r="A1000" s="471">
        <v>44468</v>
      </c>
      <c r="B1000" s="107">
        <v>380.6</v>
      </c>
      <c r="D1000" s="471">
        <v>44290</v>
      </c>
      <c r="E1000" s="472">
        <v>5088.9799999999996</v>
      </c>
    </row>
    <row r="1001" spans="1:5" x14ac:dyDescent="0.35">
      <c r="A1001" s="471">
        <v>44467</v>
      </c>
      <c r="B1001" s="107">
        <v>381.8</v>
      </c>
      <c r="D1001" s="471">
        <v>44287</v>
      </c>
      <c r="E1001" s="472">
        <v>5270.53</v>
      </c>
    </row>
    <row r="1002" spans="1:5" x14ac:dyDescent="0.35">
      <c r="A1002" s="471">
        <v>44466</v>
      </c>
      <c r="B1002" s="107">
        <v>383</v>
      </c>
      <c r="D1002" s="471">
        <v>44286</v>
      </c>
      <c r="E1002" s="472">
        <v>5278.16</v>
      </c>
    </row>
    <row r="1003" spans="1:5" x14ac:dyDescent="0.35">
      <c r="A1003" s="471">
        <v>44465</v>
      </c>
      <c r="B1003" s="107">
        <v>380.9</v>
      </c>
      <c r="D1003" s="471">
        <v>44284</v>
      </c>
      <c r="E1003" s="472">
        <v>5373.12</v>
      </c>
    </row>
    <row r="1004" spans="1:5" x14ac:dyDescent="0.35">
      <c r="A1004" s="471">
        <v>44462</v>
      </c>
      <c r="B1004" s="107">
        <v>381.4</v>
      </c>
      <c r="D1004" s="471">
        <v>44283</v>
      </c>
      <c r="E1004" s="472">
        <v>5343.94</v>
      </c>
    </row>
    <row r="1005" spans="1:5" x14ac:dyDescent="0.35">
      <c r="A1005" s="471">
        <v>44461</v>
      </c>
      <c r="B1005" s="107">
        <v>383.3</v>
      </c>
      <c r="D1005" s="471">
        <v>44280</v>
      </c>
      <c r="E1005" s="472">
        <v>5327.21</v>
      </c>
    </row>
    <row r="1006" spans="1:5" x14ac:dyDescent="0.35">
      <c r="A1006" s="471">
        <v>44460</v>
      </c>
      <c r="B1006" s="107">
        <v>383.7</v>
      </c>
      <c r="D1006" s="471">
        <v>44279</v>
      </c>
      <c r="E1006" s="472">
        <v>5330.12</v>
      </c>
    </row>
    <row r="1007" spans="1:5" x14ac:dyDescent="0.35">
      <c r="A1007" s="471">
        <v>44459</v>
      </c>
      <c r="B1007" s="107">
        <v>380.4</v>
      </c>
      <c r="D1007" s="471">
        <v>44278</v>
      </c>
      <c r="E1007" s="472">
        <v>5413.73</v>
      </c>
    </row>
    <row r="1008" spans="1:5" x14ac:dyDescent="0.35">
      <c r="A1008" s="471">
        <v>44458</v>
      </c>
      <c r="B1008" s="107">
        <v>382</v>
      </c>
      <c r="D1008" s="471">
        <v>44277</v>
      </c>
      <c r="E1008" s="472">
        <v>5412.19</v>
      </c>
    </row>
    <row r="1009" spans="1:5" x14ac:dyDescent="0.35">
      <c r="A1009" s="471">
        <v>44455</v>
      </c>
      <c r="B1009" s="107">
        <v>384.5</v>
      </c>
      <c r="D1009" s="471">
        <v>44276</v>
      </c>
      <c r="E1009" s="472">
        <v>5349.77</v>
      </c>
    </row>
    <row r="1010" spans="1:5" x14ac:dyDescent="0.35">
      <c r="A1010" s="471">
        <v>44454</v>
      </c>
      <c r="B1010" s="107">
        <v>379.2</v>
      </c>
      <c r="D1010" s="471">
        <v>44273</v>
      </c>
      <c r="E1010" s="472">
        <v>5434.69</v>
      </c>
    </row>
    <row r="1011" spans="1:5" x14ac:dyDescent="0.35">
      <c r="A1011" s="471">
        <v>44453</v>
      </c>
      <c r="B1011" s="107">
        <v>379.7</v>
      </c>
      <c r="D1011" s="471">
        <v>44271</v>
      </c>
      <c r="E1011" s="472">
        <v>5516.4</v>
      </c>
    </row>
    <row r="1012" spans="1:5" x14ac:dyDescent="0.35">
      <c r="A1012" s="471">
        <v>44452</v>
      </c>
      <c r="B1012" s="107">
        <v>386.2</v>
      </c>
      <c r="D1012" s="471">
        <v>44270</v>
      </c>
      <c r="E1012" s="472">
        <v>5532.97</v>
      </c>
    </row>
    <row r="1013" spans="1:5" x14ac:dyDescent="0.35">
      <c r="A1013" s="471">
        <v>44451</v>
      </c>
      <c r="B1013" s="107">
        <v>387.8</v>
      </c>
      <c r="D1013" s="471">
        <v>44269</v>
      </c>
      <c r="E1013" s="472">
        <v>5519.15</v>
      </c>
    </row>
    <row r="1014" spans="1:5" x14ac:dyDescent="0.35">
      <c r="A1014" s="471">
        <v>44448</v>
      </c>
      <c r="B1014" s="107">
        <v>386.5</v>
      </c>
      <c r="D1014" s="471">
        <v>44266</v>
      </c>
      <c r="E1014" s="472">
        <v>5568.85</v>
      </c>
    </row>
    <row r="1015" spans="1:5" x14ac:dyDescent="0.35">
      <c r="A1015" s="471">
        <v>44447</v>
      </c>
      <c r="B1015" s="107">
        <v>384.3</v>
      </c>
      <c r="D1015" s="471">
        <v>44265</v>
      </c>
      <c r="E1015" s="472">
        <v>5563.66</v>
      </c>
    </row>
    <row r="1016" spans="1:5" x14ac:dyDescent="0.35">
      <c r="A1016" s="471">
        <v>44446</v>
      </c>
      <c r="B1016" s="107">
        <v>380.5</v>
      </c>
      <c r="D1016" s="471">
        <v>44264</v>
      </c>
      <c r="E1016" s="472">
        <v>5591.38</v>
      </c>
    </row>
    <row r="1017" spans="1:5" x14ac:dyDescent="0.35">
      <c r="A1017" s="471">
        <v>44445</v>
      </c>
      <c r="B1017" s="107">
        <v>372.5</v>
      </c>
      <c r="D1017" s="471">
        <v>44263</v>
      </c>
      <c r="E1017" s="472">
        <v>5604.38</v>
      </c>
    </row>
    <row r="1018" spans="1:5" x14ac:dyDescent="0.35">
      <c r="A1018" s="471">
        <v>44444</v>
      </c>
      <c r="B1018" s="107">
        <v>367.2</v>
      </c>
      <c r="D1018" s="471">
        <v>44262</v>
      </c>
      <c r="E1018" s="472">
        <v>5584.29</v>
      </c>
    </row>
    <row r="1019" spans="1:5" x14ac:dyDescent="0.35">
      <c r="A1019" s="471">
        <v>44441</v>
      </c>
      <c r="B1019" s="107">
        <v>362.3</v>
      </c>
      <c r="D1019" s="471">
        <v>44259</v>
      </c>
      <c r="E1019" s="472">
        <v>5515.78</v>
      </c>
    </row>
    <row r="1020" spans="1:5" x14ac:dyDescent="0.35">
      <c r="A1020" s="471">
        <v>44440</v>
      </c>
      <c r="B1020" s="107">
        <v>362.1</v>
      </c>
      <c r="D1020" s="471">
        <v>44258</v>
      </c>
      <c r="E1020" s="472">
        <v>5488.07</v>
      </c>
    </row>
    <row r="1021" spans="1:5" x14ac:dyDescent="0.35">
      <c r="A1021" s="471">
        <v>44439</v>
      </c>
      <c r="B1021" s="107">
        <v>362.6</v>
      </c>
      <c r="D1021" s="471">
        <v>44257</v>
      </c>
      <c r="E1021" s="472">
        <v>5508.26</v>
      </c>
    </row>
    <row r="1022" spans="1:5" x14ac:dyDescent="0.35">
      <c r="A1022" s="471">
        <v>44437</v>
      </c>
      <c r="B1022" s="107">
        <v>360.5</v>
      </c>
      <c r="D1022" s="471">
        <v>44256</v>
      </c>
      <c r="E1022" s="472">
        <v>5426.82</v>
      </c>
    </row>
    <row r="1023" spans="1:5" x14ac:dyDescent="0.35">
      <c r="A1023" s="471">
        <v>44434</v>
      </c>
      <c r="B1023" s="107">
        <v>364.9</v>
      </c>
      <c r="D1023" s="471">
        <v>44255</v>
      </c>
      <c r="E1023" s="472">
        <v>5404.79</v>
      </c>
    </row>
    <row r="1024" spans="1:5" x14ac:dyDescent="0.35">
      <c r="A1024" s="471">
        <v>44433</v>
      </c>
      <c r="B1024" s="107">
        <v>367.5</v>
      </c>
      <c r="D1024" s="471">
        <v>44252</v>
      </c>
      <c r="E1024" s="472">
        <v>5416.39</v>
      </c>
    </row>
    <row r="1025" spans="1:5" x14ac:dyDescent="0.35">
      <c r="A1025" s="471">
        <v>44432</v>
      </c>
      <c r="B1025" s="107">
        <v>369.3</v>
      </c>
      <c r="D1025" s="471">
        <v>44251</v>
      </c>
      <c r="E1025" s="472">
        <v>5385.64</v>
      </c>
    </row>
    <row r="1026" spans="1:5" x14ac:dyDescent="0.35">
      <c r="A1026" s="471">
        <v>44431</v>
      </c>
      <c r="B1026" s="107">
        <v>365.8</v>
      </c>
      <c r="D1026" s="471">
        <v>44250</v>
      </c>
      <c r="E1026" s="472">
        <v>5317.71</v>
      </c>
    </row>
    <row r="1027" spans="1:5" x14ac:dyDescent="0.35">
      <c r="A1027" s="471">
        <v>44430</v>
      </c>
      <c r="B1027" s="107">
        <v>363.9</v>
      </c>
      <c r="D1027" s="471">
        <v>44249</v>
      </c>
      <c r="E1027" s="472">
        <v>5385.21</v>
      </c>
    </row>
    <row r="1028" spans="1:5" x14ac:dyDescent="0.35">
      <c r="A1028" s="471">
        <v>44427</v>
      </c>
      <c r="B1028" s="107">
        <v>359.4</v>
      </c>
      <c r="D1028" s="471">
        <v>44245</v>
      </c>
      <c r="E1028" s="472">
        <v>5475.98</v>
      </c>
    </row>
    <row r="1029" spans="1:5" x14ac:dyDescent="0.35">
      <c r="A1029" s="471">
        <v>44426</v>
      </c>
      <c r="B1029" s="107">
        <v>359.7</v>
      </c>
      <c r="D1029" s="471">
        <v>44244</v>
      </c>
      <c r="E1029" s="472">
        <v>5503.67</v>
      </c>
    </row>
    <row r="1030" spans="1:5" x14ac:dyDescent="0.35">
      <c r="A1030" s="471">
        <v>44425</v>
      </c>
      <c r="B1030" s="107">
        <v>359.1</v>
      </c>
      <c r="D1030" s="471">
        <v>44243</v>
      </c>
      <c r="E1030" s="472">
        <v>5527.39</v>
      </c>
    </row>
    <row r="1031" spans="1:5" x14ac:dyDescent="0.35">
      <c r="A1031" s="471">
        <v>44424</v>
      </c>
      <c r="B1031" s="107">
        <v>360.8</v>
      </c>
      <c r="D1031" s="471">
        <v>44242</v>
      </c>
      <c r="E1031" s="472">
        <v>5545.09</v>
      </c>
    </row>
    <row r="1032" spans="1:5" x14ac:dyDescent="0.35">
      <c r="A1032" s="471">
        <v>44420</v>
      </c>
      <c r="B1032" s="107">
        <v>363</v>
      </c>
      <c r="D1032" s="471">
        <v>44241</v>
      </c>
      <c r="E1032" s="472">
        <v>5447.64</v>
      </c>
    </row>
    <row r="1033" spans="1:5" x14ac:dyDescent="0.35">
      <c r="A1033" s="471">
        <v>44419</v>
      </c>
      <c r="B1033" s="107">
        <v>366</v>
      </c>
      <c r="D1033" s="471">
        <v>44238</v>
      </c>
      <c r="E1033" s="472">
        <v>5485.01</v>
      </c>
    </row>
    <row r="1034" spans="1:5" x14ac:dyDescent="0.35">
      <c r="A1034" s="471">
        <v>44418</v>
      </c>
      <c r="B1034" s="107">
        <v>360.9</v>
      </c>
      <c r="D1034" s="471">
        <v>44237</v>
      </c>
      <c r="E1034" s="472">
        <v>5509.4</v>
      </c>
    </row>
    <row r="1035" spans="1:5" x14ac:dyDescent="0.35">
      <c r="A1035" s="471">
        <v>44413</v>
      </c>
      <c r="B1035" s="107">
        <v>369.6</v>
      </c>
      <c r="D1035" s="471">
        <v>44236</v>
      </c>
      <c r="E1035" s="472">
        <v>5498.54</v>
      </c>
    </row>
    <row r="1036" spans="1:5" x14ac:dyDescent="0.35">
      <c r="A1036" s="471">
        <v>44411</v>
      </c>
      <c r="B1036" s="107">
        <v>368.3</v>
      </c>
      <c r="D1036" s="471">
        <v>44235</v>
      </c>
      <c r="E1036" s="472">
        <v>5376.45</v>
      </c>
    </row>
    <row r="1037" spans="1:5" x14ac:dyDescent="0.35">
      <c r="A1037" s="471">
        <v>44410</v>
      </c>
      <c r="B1037" s="107">
        <v>370.7</v>
      </c>
      <c r="D1037" s="471">
        <v>44234</v>
      </c>
      <c r="E1037" s="472">
        <v>5504.78</v>
      </c>
    </row>
    <row r="1038" spans="1:5" x14ac:dyDescent="0.35">
      <c r="A1038" s="471">
        <v>44406</v>
      </c>
      <c r="B1038" s="107">
        <v>379.3</v>
      </c>
      <c r="D1038" s="471">
        <v>44231</v>
      </c>
      <c r="E1038" s="472">
        <v>5647.67</v>
      </c>
    </row>
    <row r="1039" spans="1:5" x14ac:dyDescent="0.35">
      <c r="A1039" s="471">
        <v>44405</v>
      </c>
      <c r="B1039" s="107">
        <v>374.6</v>
      </c>
      <c r="D1039" s="471">
        <v>44230</v>
      </c>
      <c r="E1039" s="472">
        <v>5581.86</v>
      </c>
    </row>
    <row r="1040" spans="1:5" x14ac:dyDescent="0.35">
      <c r="A1040" s="471">
        <v>44404</v>
      </c>
      <c r="B1040" s="107">
        <v>369.2</v>
      </c>
      <c r="D1040" s="471">
        <v>44229</v>
      </c>
      <c r="E1040" s="472">
        <v>5564.69</v>
      </c>
    </row>
    <row r="1041" spans="1:5" x14ac:dyDescent="0.35">
      <c r="A1041" s="471">
        <v>44403</v>
      </c>
      <c r="B1041" s="107">
        <v>366.5</v>
      </c>
      <c r="D1041" s="471">
        <v>44228</v>
      </c>
      <c r="E1041" s="472">
        <v>5599.8</v>
      </c>
    </row>
    <row r="1042" spans="1:5" x14ac:dyDescent="0.35">
      <c r="A1042" s="471">
        <v>44402</v>
      </c>
      <c r="B1042" s="107">
        <v>363.7</v>
      </c>
      <c r="D1042" s="471">
        <v>44227</v>
      </c>
      <c r="E1042" s="472">
        <v>5649.86</v>
      </c>
    </row>
    <row r="1043" spans="1:5" x14ac:dyDescent="0.35">
      <c r="A1043" s="471">
        <v>44396</v>
      </c>
      <c r="B1043" s="107">
        <v>365.7</v>
      </c>
      <c r="D1043" s="471">
        <v>44224</v>
      </c>
      <c r="E1043" s="472">
        <v>5724.35</v>
      </c>
    </row>
    <row r="1044" spans="1:5" x14ac:dyDescent="0.35">
      <c r="A1044" s="471">
        <v>44395</v>
      </c>
      <c r="B1044" s="107">
        <v>361.9</v>
      </c>
      <c r="D1044" s="471">
        <v>44223</v>
      </c>
      <c r="E1044" s="472">
        <v>5714.74</v>
      </c>
    </row>
    <row r="1045" spans="1:5" x14ac:dyDescent="0.35">
      <c r="A1045" s="471">
        <v>44392</v>
      </c>
      <c r="B1045" s="107">
        <v>356.6</v>
      </c>
      <c r="D1045" s="471">
        <v>44222</v>
      </c>
      <c r="E1045" s="472">
        <v>5695.37</v>
      </c>
    </row>
    <row r="1046" spans="1:5" x14ac:dyDescent="0.35">
      <c r="A1046" s="471">
        <v>44391</v>
      </c>
      <c r="B1046" s="107">
        <v>355.2</v>
      </c>
      <c r="D1046" s="471">
        <v>44221</v>
      </c>
      <c r="E1046" s="472">
        <v>5789.92</v>
      </c>
    </row>
    <row r="1047" spans="1:5" x14ac:dyDescent="0.35">
      <c r="A1047" s="471">
        <v>44390</v>
      </c>
      <c r="B1047" s="107">
        <v>358.2</v>
      </c>
      <c r="D1047" s="471">
        <v>44220</v>
      </c>
      <c r="E1047" s="472">
        <v>5815.54</v>
      </c>
    </row>
    <row r="1048" spans="1:5" x14ac:dyDescent="0.35">
      <c r="A1048" s="471">
        <v>44389</v>
      </c>
      <c r="B1048" s="107">
        <v>355.4</v>
      </c>
      <c r="D1048" s="471">
        <v>44217</v>
      </c>
      <c r="E1048" s="472">
        <v>5836.18</v>
      </c>
    </row>
    <row r="1049" spans="1:5" x14ac:dyDescent="0.35">
      <c r="A1049" s="471">
        <v>44385</v>
      </c>
      <c r="B1049" s="107">
        <v>351.8</v>
      </c>
      <c r="D1049" s="471">
        <v>44216</v>
      </c>
      <c r="E1049" s="472">
        <v>5827.56</v>
      </c>
    </row>
    <row r="1050" spans="1:5" x14ac:dyDescent="0.35">
      <c r="A1050" s="471">
        <v>44384</v>
      </c>
      <c r="B1050" s="107">
        <v>349.5</v>
      </c>
      <c r="D1050" s="471">
        <v>44215</v>
      </c>
      <c r="E1050" s="472">
        <v>5820.8</v>
      </c>
    </row>
    <row r="1051" spans="1:5" x14ac:dyDescent="0.35">
      <c r="A1051" s="471">
        <v>44383</v>
      </c>
      <c r="B1051" s="107">
        <v>347.9</v>
      </c>
      <c r="D1051" s="471">
        <v>44214</v>
      </c>
      <c r="E1051" s="472">
        <v>5801.72</v>
      </c>
    </row>
    <row r="1052" spans="1:5" x14ac:dyDescent="0.35">
      <c r="A1052" s="471">
        <v>44382</v>
      </c>
      <c r="B1052" s="107">
        <v>348.4</v>
      </c>
      <c r="D1052" s="471">
        <v>44213</v>
      </c>
      <c r="E1052" s="472">
        <v>5850.43</v>
      </c>
    </row>
    <row r="1053" spans="1:5" x14ac:dyDescent="0.35">
      <c r="A1053" s="471">
        <v>44381</v>
      </c>
      <c r="B1053" s="107">
        <v>349.4</v>
      </c>
      <c r="D1053" s="471">
        <v>44210</v>
      </c>
      <c r="E1053" s="472">
        <v>5909.3</v>
      </c>
    </row>
    <row r="1054" spans="1:5" x14ac:dyDescent="0.35">
      <c r="A1054" s="471">
        <v>44377</v>
      </c>
      <c r="B1054" s="107">
        <v>349.4</v>
      </c>
      <c r="D1054" s="471">
        <v>44209</v>
      </c>
      <c r="E1054" s="472">
        <v>5770</v>
      </c>
    </row>
    <row r="1055" spans="1:5" x14ac:dyDescent="0.35">
      <c r="A1055" s="471">
        <v>44376</v>
      </c>
      <c r="B1055" s="107">
        <v>347.5</v>
      </c>
      <c r="D1055" s="471">
        <v>44208</v>
      </c>
      <c r="E1055" s="472">
        <v>5861.02</v>
      </c>
    </row>
    <row r="1056" spans="1:5" x14ac:dyDescent="0.35">
      <c r="A1056" s="471">
        <v>44375</v>
      </c>
      <c r="B1056" s="107">
        <v>346.3</v>
      </c>
      <c r="D1056" s="471">
        <v>44207</v>
      </c>
      <c r="E1056" s="472">
        <v>5718.75</v>
      </c>
    </row>
    <row r="1057" spans="1:5" x14ac:dyDescent="0.35">
      <c r="A1057" s="471">
        <v>44374</v>
      </c>
      <c r="B1057" s="107">
        <v>345.9</v>
      </c>
      <c r="D1057" s="471">
        <v>44206</v>
      </c>
      <c r="E1057" s="472">
        <v>5634.04</v>
      </c>
    </row>
    <row r="1058" spans="1:5" x14ac:dyDescent="0.35">
      <c r="A1058" s="471">
        <v>44371</v>
      </c>
      <c r="B1058" s="107">
        <v>346.2</v>
      </c>
      <c r="D1058" s="471">
        <v>44203</v>
      </c>
      <c r="E1058" s="472">
        <v>5621.76</v>
      </c>
    </row>
    <row r="1059" spans="1:5" x14ac:dyDescent="0.35">
      <c r="A1059" s="471">
        <v>44370</v>
      </c>
      <c r="B1059" s="107">
        <v>346.9</v>
      </c>
      <c r="D1059" s="471">
        <v>44202</v>
      </c>
      <c r="E1059" s="472">
        <v>5640.19</v>
      </c>
    </row>
    <row r="1060" spans="1:5" x14ac:dyDescent="0.35">
      <c r="A1060" s="471">
        <v>44369</v>
      </c>
      <c r="B1060" s="107">
        <v>345.2</v>
      </c>
      <c r="D1060" s="471">
        <v>44201</v>
      </c>
      <c r="E1060" s="472">
        <v>5609.7</v>
      </c>
    </row>
    <row r="1061" spans="1:5" x14ac:dyDescent="0.35">
      <c r="A1061" s="471">
        <v>44368</v>
      </c>
      <c r="B1061" s="107">
        <v>343.1</v>
      </c>
      <c r="D1061" s="471">
        <v>44200</v>
      </c>
      <c r="E1061" s="472">
        <v>5652.32</v>
      </c>
    </row>
    <row r="1062" spans="1:5" x14ac:dyDescent="0.35">
      <c r="A1062" s="471">
        <v>44367</v>
      </c>
      <c r="B1062" s="107">
        <v>343.3</v>
      </c>
      <c r="D1062" s="471">
        <v>44199</v>
      </c>
      <c r="E1062" s="472">
        <v>5618.95</v>
      </c>
    </row>
    <row r="1063" spans="1:5" x14ac:dyDescent="0.35">
      <c r="A1063" s="471">
        <v>44364</v>
      </c>
      <c r="B1063" s="107">
        <v>344.1</v>
      </c>
      <c r="D1063" s="471">
        <v>44195</v>
      </c>
      <c r="E1063" s="472">
        <v>5402.06</v>
      </c>
    </row>
    <row r="1064" spans="1:5" x14ac:dyDescent="0.35">
      <c r="A1064" s="471">
        <v>44363</v>
      </c>
      <c r="B1064" s="107">
        <v>343.2</v>
      </c>
      <c r="D1064" s="471">
        <v>44194</v>
      </c>
      <c r="E1064" s="472">
        <v>5358.25</v>
      </c>
    </row>
    <row r="1065" spans="1:5" x14ac:dyDescent="0.35">
      <c r="A1065" s="471">
        <v>44362</v>
      </c>
      <c r="B1065" s="107">
        <v>344.1</v>
      </c>
      <c r="D1065" s="471">
        <v>44193</v>
      </c>
      <c r="E1065" s="472">
        <v>5344.01</v>
      </c>
    </row>
    <row r="1066" spans="1:5" x14ac:dyDescent="0.35">
      <c r="A1066" s="471">
        <v>44361</v>
      </c>
      <c r="B1066" s="107">
        <v>347.4</v>
      </c>
      <c r="D1066" s="471">
        <v>44192</v>
      </c>
      <c r="E1066" s="472">
        <v>5328.27</v>
      </c>
    </row>
    <row r="1067" spans="1:5" x14ac:dyDescent="0.35">
      <c r="A1067" s="471">
        <v>44360</v>
      </c>
      <c r="B1067" s="107">
        <v>352.6</v>
      </c>
      <c r="D1067" s="471">
        <v>44189</v>
      </c>
      <c r="E1067" s="472">
        <v>5218.3599999999997</v>
      </c>
    </row>
    <row r="1068" spans="1:5" x14ac:dyDescent="0.35">
      <c r="A1068" s="471">
        <v>44357</v>
      </c>
      <c r="B1068" s="107">
        <v>352.6</v>
      </c>
      <c r="D1068" s="471">
        <v>44188</v>
      </c>
      <c r="E1068" s="472">
        <v>5133.29</v>
      </c>
    </row>
    <row r="1069" spans="1:5" x14ac:dyDescent="0.35">
      <c r="A1069" s="471">
        <v>44356</v>
      </c>
      <c r="B1069" s="107">
        <v>349</v>
      </c>
      <c r="D1069" s="471">
        <v>44187</v>
      </c>
      <c r="E1069" s="472">
        <v>5098.4799999999996</v>
      </c>
    </row>
    <row r="1070" spans="1:5" x14ac:dyDescent="0.35">
      <c r="A1070" s="471">
        <v>44355</v>
      </c>
      <c r="B1070" s="107">
        <v>346.9</v>
      </c>
      <c r="D1070" s="471">
        <v>44186</v>
      </c>
      <c r="E1070" s="472">
        <v>5115.1899999999996</v>
      </c>
    </row>
    <row r="1071" spans="1:5" x14ac:dyDescent="0.35">
      <c r="A1071" s="471">
        <v>44354</v>
      </c>
      <c r="B1071" s="107">
        <v>346.7</v>
      </c>
      <c r="D1071" s="471">
        <v>44185</v>
      </c>
      <c r="E1071" s="472">
        <v>5074.58</v>
      </c>
    </row>
    <row r="1072" spans="1:5" x14ac:dyDescent="0.35">
      <c r="A1072" s="471">
        <v>44353</v>
      </c>
      <c r="B1072" s="107">
        <v>350.3</v>
      </c>
      <c r="D1072" s="471">
        <v>44182</v>
      </c>
      <c r="E1072" s="472">
        <v>5108.03</v>
      </c>
    </row>
    <row r="1073" spans="1:5" x14ac:dyDescent="0.35">
      <c r="A1073" s="471">
        <v>44350</v>
      </c>
      <c r="B1073" s="107">
        <v>352.5</v>
      </c>
      <c r="D1073" s="471">
        <v>44180</v>
      </c>
      <c r="E1073" s="472">
        <v>5123.0600000000004</v>
      </c>
    </row>
    <row r="1074" spans="1:5" x14ac:dyDescent="0.35">
      <c r="A1074" s="471">
        <v>44349</v>
      </c>
      <c r="B1074" s="107">
        <v>346.8</v>
      </c>
      <c r="D1074" s="471">
        <v>44179</v>
      </c>
      <c r="E1074" s="472">
        <v>5147.0200000000004</v>
      </c>
    </row>
    <row r="1075" spans="1:5" x14ac:dyDescent="0.35">
      <c r="A1075" s="471">
        <v>44348</v>
      </c>
      <c r="B1075" s="107">
        <v>346.4</v>
      </c>
      <c r="D1075" s="471">
        <v>44178</v>
      </c>
      <c r="E1075" s="472">
        <v>5126.43</v>
      </c>
    </row>
    <row r="1076" spans="1:5" x14ac:dyDescent="0.35">
      <c r="A1076" s="471">
        <v>44347</v>
      </c>
      <c r="B1076" s="107">
        <v>346.3</v>
      </c>
      <c r="D1076" s="471">
        <v>44175</v>
      </c>
      <c r="E1076" s="472">
        <v>5094.66</v>
      </c>
    </row>
    <row r="1077" spans="1:5" x14ac:dyDescent="0.35">
      <c r="A1077" s="471">
        <v>44346</v>
      </c>
      <c r="B1077" s="107">
        <v>345</v>
      </c>
      <c r="D1077" s="471">
        <v>44174</v>
      </c>
      <c r="E1077" s="472">
        <v>5069.88</v>
      </c>
    </row>
    <row r="1078" spans="1:5" x14ac:dyDescent="0.35">
      <c r="A1078" s="471">
        <v>44343</v>
      </c>
      <c r="B1078" s="107">
        <v>346.7</v>
      </c>
      <c r="D1078" s="471">
        <v>44173</v>
      </c>
      <c r="E1078" s="472">
        <v>5049.8</v>
      </c>
    </row>
    <row r="1079" spans="1:5" x14ac:dyDescent="0.35">
      <c r="A1079" s="471">
        <v>44341</v>
      </c>
      <c r="B1079" s="107">
        <v>341.1</v>
      </c>
      <c r="D1079" s="471">
        <v>44172</v>
      </c>
      <c r="E1079" s="472">
        <v>5053.49</v>
      </c>
    </row>
    <row r="1080" spans="1:5" x14ac:dyDescent="0.35">
      <c r="A1080" s="471">
        <v>44340</v>
      </c>
      <c r="B1080" s="107">
        <v>343.1</v>
      </c>
      <c r="D1080" s="471">
        <v>44171</v>
      </c>
      <c r="E1080" s="472">
        <v>5024.38</v>
      </c>
    </row>
    <row r="1081" spans="1:5" x14ac:dyDescent="0.35">
      <c r="A1081" s="471">
        <v>44339</v>
      </c>
      <c r="B1081" s="107">
        <v>340</v>
      </c>
      <c r="D1081" s="471">
        <v>44168</v>
      </c>
      <c r="E1081" s="472">
        <v>4974.83</v>
      </c>
    </row>
    <row r="1082" spans="1:5" x14ac:dyDescent="0.35">
      <c r="A1082" s="471">
        <v>44336</v>
      </c>
      <c r="B1082" s="107">
        <v>339.1</v>
      </c>
      <c r="D1082" s="471">
        <v>44167</v>
      </c>
      <c r="E1082" s="472">
        <v>4934.8599999999997</v>
      </c>
    </row>
    <row r="1083" spans="1:5" x14ac:dyDescent="0.35">
      <c r="A1083" s="471">
        <v>44335</v>
      </c>
      <c r="B1083" s="107">
        <v>342.6</v>
      </c>
      <c r="D1083" s="471">
        <v>44166</v>
      </c>
      <c r="E1083" s="472">
        <v>4903.95</v>
      </c>
    </row>
    <row r="1084" spans="1:5" x14ac:dyDescent="0.35">
      <c r="A1084" s="471">
        <v>44334</v>
      </c>
      <c r="B1084" s="107">
        <v>344</v>
      </c>
      <c r="D1084" s="471">
        <v>44165</v>
      </c>
      <c r="E1084" s="472">
        <v>4866.84</v>
      </c>
    </row>
    <row r="1085" spans="1:5" x14ac:dyDescent="0.35">
      <c r="A1085" s="471">
        <v>44333</v>
      </c>
      <c r="B1085" s="107">
        <v>344.2</v>
      </c>
      <c r="D1085" s="471">
        <v>44164</v>
      </c>
      <c r="E1085" s="472">
        <v>4881.82</v>
      </c>
    </row>
    <row r="1086" spans="1:5" x14ac:dyDescent="0.35">
      <c r="A1086" s="471">
        <v>44332</v>
      </c>
      <c r="B1086" s="107">
        <v>343.4</v>
      </c>
      <c r="D1086" s="471">
        <v>44161</v>
      </c>
      <c r="E1086" s="472">
        <v>4869.09</v>
      </c>
    </row>
    <row r="1087" spans="1:5" x14ac:dyDescent="0.35">
      <c r="A1087" s="471">
        <v>44328</v>
      </c>
      <c r="B1087" s="107">
        <v>346.6</v>
      </c>
      <c r="D1087" s="471">
        <v>44160</v>
      </c>
      <c r="E1087" s="472">
        <v>4861.87</v>
      </c>
    </row>
    <row r="1088" spans="1:5" x14ac:dyDescent="0.35">
      <c r="A1088" s="471">
        <v>44327</v>
      </c>
      <c r="B1088" s="107">
        <v>346.2</v>
      </c>
      <c r="D1088" s="471">
        <v>44159</v>
      </c>
      <c r="E1088" s="472">
        <v>4833.1899999999996</v>
      </c>
    </row>
    <row r="1089" spans="1:5" x14ac:dyDescent="0.35">
      <c r="A1089" s="471">
        <v>44325</v>
      </c>
      <c r="B1089" s="107">
        <v>338.7</v>
      </c>
      <c r="D1089" s="471">
        <v>44158</v>
      </c>
      <c r="E1089" s="472">
        <v>4817.7</v>
      </c>
    </row>
    <row r="1090" spans="1:5" x14ac:dyDescent="0.35">
      <c r="A1090" s="471">
        <v>44322</v>
      </c>
      <c r="B1090" s="107">
        <v>333.2</v>
      </c>
      <c r="D1090" s="471">
        <v>44157</v>
      </c>
      <c r="E1090" s="472">
        <v>4845.09</v>
      </c>
    </row>
    <row r="1091" spans="1:5" x14ac:dyDescent="0.35">
      <c r="A1091" s="471">
        <v>44321</v>
      </c>
      <c r="B1091" s="107">
        <v>334.7</v>
      </c>
      <c r="D1091" s="471">
        <v>44154</v>
      </c>
      <c r="E1091" s="472">
        <v>4879.96</v>
      </c>
    </row>
    <row r="1092" spans="1:5" x14ac:dyDescent="0.35">
      <c r="A1092" s="471">
        <v>44320</v>
      </c>
      <c r="B1092" s="107">
        <v>337</v>
      </c>
      <c r="D1092" s="471">
        <v>44153</v>
      </c>
      <c r="E1092" s="472">
        <v>4887.12</v>
      </c>
    </row>
    <row r="1093" spans="1:5" x14ac:dyDescent="0.35">
      <c r="A1093" s="471">
        <v>44319</v>
      </c>
      <c r="B1093" s="107">
        <v>339.5</v>
      </c>
      <c r="D1093" s="471">
        <v>44152</v>
      </c>
      <c r="E1093" s="472">
        <v>4905.09</v>
      </c>
    </row>
    <row r="1094" spans="1:5" x14ac:dyDescent="0.35">
      <c r="A1094" s="471">
        <v>44318</v>
      </c>
      <c r="B1094" s="107">
        <v>341</v>
      </c>
      <c r="D1094" s="471">
        <v>44151</v>
      </c>
      <c r="E1094" s="472">
        <v>4871.41</v>
      </c>
    </row>
    <row r="1095" spans="1:5" x14ac:dyDescent="0.35">
      <c r="A1095" s="471">
        <v>44315</v>
      </c>
      <c r="B1095" s="107">
        <v>339</v>
      </c>
      <c r="D1095" s="471">
        <v>44150</v>
      </c>
      <c r="E1095" s="472">
        <v>4867.7299999999996</v>
      </c>
    </row>
    <row r="1096" spans="1:5" x14ac:dyDescent="0.35">
      <c r="A1096" s="471">
        <v>44314</v>
      </c>
      <c r="B1096" s="107">
        <v>339.8</v>
      </c>
      <c r="D1096" s="471">
        <v>44147</v>
      </c>
      <c r="E1096" s="472">
        <v>4905.03</v>
      </c>
    </row>
    <row r="1097" spans="1:5" x14ac:dyDescent="0.35">
      <c r="A1097" s="471">
        <v>44313</v>
      </c>
      <c r="B1097" s="107">
        <v>338.8</v>
      </c>
      <c r="D1097" s="471">
        <v>44146</v>
      </c>
      <c r="E1097" s="472">
        <v>4883.6899999999996</v>
      </c>
    </row>
    <row r="1098" spans="1:5" x14ac:dyDescent="0.35">
      <c r="A1098" s="471">
        <v>44312</v>
      </c>
      <c r="B1098" s="107">
        <v>340.2</v>
      </c>
      <c r="D1098" s="471">
        <v>44145</v>
      </c>
      <c r="E1098" s="472">
        <v>4899.6400000000003</v>
      </c>
    </row>
    <row r="1099" spans="1:5" x14ac:dyDescent="0.35">
      <c r="A1099" s="471">
        <v>44311</v>
      </c>
      <c r="B1099" s="107">
        <v>339.2</v>
      </c>
      <c r="D1099" s="471">
        <v>44144</v>
      </c>
      <c r="E1099" s="472">
        <v>4928.07</v>
      </c>
    </row>
    <row r="1100" spans="1:5" x14ac:dyDescent="0.35">
      <c r="A1100" s="471">
        <v>44308</v>
      </c>
      <c r="B1100" s="107">
        <v>337</v>
      </c>
      <c r="D1100" s="471">
        <v>44143</v>
      </c>
      <c r="E1100" s="472">
        <v>4923.6499999999996</v>
      </c>
    </row>
    <row r="1101" spans="1:5" x14ac:dyDescent="0.35">
      <c r="A1101" s="471">
        <v>44307</v>
      </c>
      <c r="B1101" s="107">
        <v>336.9</v>
      </c>
      <c r="D1101" s="471">
        <v>44140</v>
      </c>
      <c r="E1101" s="472">
        <v>4942.12</v>
      </c>
    </row>
    <row r="1102" spans="1:5" x14ac:dyDescent="0.35">
      <c r="A1102" s="471">
        <v>44306</v>
      </c>
      <c r="B1102" s="107">
        <v>339.4</v>
      </c>
      <c r="D1102" s="471">
        <v>44139</v>
      </c>
      <c r="E1102" s="472">
        <v>4919.6000000000004</v>
      </c>
    </row>
    <row r="1103" spans="1:5" x14ac:dyDescent="0.35">
      <c r="A1103" s="471">
        <v>44305</v>
      </c>
      <c r="B1103" s="107">
        <v>343.9</v>
      </c>
      <c r="D1103" s="471">
        <v>44138</v>
      </c>
      <c r="E1103" s="472">
        <v>4928.01</v>
      </c>
    </row>
    <row r="1104" spans="1:5" x14ac:dyDescent="0.35">
      <c r="A1104" s="471">
        <v>44304</v>
      </c>
      <c r="B1104" s="107">
        <v>342</v>
      </c>
      <c r="D1104" s="471">
        <v>44137</v>
      </c>
      <c r="E1104" s="472">
        <v>4918.38</v>
      </c>
    </row>
    <row r="1105" spans="1:5" x14ac:dyDescent="0.35">
      <c r="A1105" s="471">
        <v>44301</v>
      </c>
      <c r="B1105" s="107">
        <v>338.2</v>
      </c>
      <c r="D1105" s="471">
        <v>44136</v>
      </c>
      <c r="E1105" s="472">
        <v>4896.68</v>
      </c>
    </row>
    <row r="1106" spans="1:5" x14ac:dyDescent="0.35">
      <c r="A1106" s="471">
        <v>44299</v>
      </c>
      <c r="B1106" s="107">
        <v>335.1</v>
      </c>
      <c r="D1106" s="471">
        <v>44133</v>
      </c>
      <c r="E1106" s="472">
        <v>4846.1000000000004</v>
      </c>
    </row>
    <row r="1107" spans="1:5" x14ac:dyDescent="0.35">
      <c r="A1107" s="471">
        <v>44298</v>
      </c>
      <c r="B1107" s="107">
        <v>331.1</v>
      </c>
      <c r="D1107" s="471">
        <v>44132</v>
      </c>
      <c r="E1107" s="472">
        <v>4838.5200000000004</v>
      </c>
    </row>
    <row r="1108" spans="1:5" x14ac:dyDescent="0.35">
      <c r="A1108" s="471">
        <v>44297</v>
      </c>
      <c r="B1108" s="107">
        <v>326.8</v>
      </c>
      <c r="D1108" s="471">
        <v>44131</v>
      </c>
      <c r="E1108" s="472">
        <v>4867.96</v>
      </c>
    </row>
    <row r="1109" spans="1:5" x14ac:dyDescent="0.35">
      <c r="A1109" s="471">
        <v>44294</v>
      </c>
      <c r="B1109" s="107">
        <v>333.6</v>
      </c>
      <c r="D1109" s="471">
        <v>44129</v>
      </c>
      <c r="E1109" s="472">
        <v>4892.01</v>
      </c>
    </row>
    <row r="1110" spans="1:5" x14ac:dyDescent="0.35">
      <c r="A1110" s="471">
        <v>44293</v>
      </c>
      <c r="B1110" s="107">
        <v>335.2</v>
      </c>
      <c r="D1110" s="471">
        <v>44126</v>
      </c>
      <c r="E1110" s="472">
        <v>4914.03</v>
      </c>
    </row>
    <row r="1111" spans="1:5" x14ac:dyDescent="0.35">
      <c r="A1111" s="471">
        <v>44292</v>
      </c>
      <c r="B1111" s="107">
        <v>331.4</v>
      </c>
      <c r="D1111" s="471">
        <v>44125</v>
      </c>
      <c r="E1111" s="472">
        <v>4916.8500000000004</v>
      </c>
    </row>
    <row r="1112" spans="1:5" x14ac:dyDescent="0.35">
      <c r="A1112" s="471">
        <v>44291</v>
      </c>
      <c r="B1112" s="107">
        <v>319.7</v>
      </c>
      <c r="D1112" s="471">
        <v>44124</v>
      </c>
      <c r="E1112" s="472">
        <v>4917.25</v>
      </c>
    </row>
    <row r="1113" spans="1:5" x14ac:dyDescent="0.35">
      <c r="A1113" s="471">
        <v>44290</v>
      </c>
      <c r="B1113" s="107">
        <v>319.10000000000002</v>
      </c>
      <c r="D1113" s="471">
        <v>44123</v>
      </c>
      <c r="E1113" s="472">
        <v>4902.1499999999996</v>
      </c>
    </row>
    <row r="1114" spans="1:5" x14ac:dyDescent="0.35">
      <c r="A1114" s="471">
        <v>44287</v>
      </c>
      <c r="B1114" s="107">
        <v>325.5</v>
      </c>
      <c r="D1114" s="471">
        <v>44122</v>
      </c>
      <c r="E1114" s="472">
        <v>4877.6499999999996</v>
      </c>
    </row>
    <row r="1115" spans="1:5" x14ac:dyDescent="0.35">
      <c r="A1115" s="471">
        <v>44286</v>
      </c>
      <c r="B1115" s="107">
        <v>328.5</v>
      </c>
      <c r="D1115" s="471">
        <v>44119</v>
      </c>
      <c r="E1115" s="472">
        <v>4872.29</v>
      </c>
    </row>
    <row r="1116" spans="1:5" x14ac:dyDescent="0.35">
      <c r="A1116" s="471">
        <v>44284</v>
      </c>
      <c r="B1116" s="107">
        <v>336.5</v>
      </c>
      <c r="D1116" s="471">
        <v>44118</v>
      </c>
      <c r="E1116" s="472">
        <v>4839.05</v>
      </c>
    </row>
    <row r="1117" spans="1:5" x14ac:dyDescent="0.35">
      <c r="A1117" s="471">
        <v>44283</v>
      </c>
      <c r="B1117" s="107">
        <v>337.7</v>
      </c>
      <c r="D1117" s="471">
        <v>44117</v>
      </c>
      <c r="E1117" s="472">
        <v>4839.8500000000004</v>
      </c>
    </row>
    <row r="1118" spans="1:5" x14ac:dyDescent="0.35">
      <c r="A1118" s="471">
        <v>44280</v>
      </c>
      <c r="B1118" s="107">
        <v>337.7</v>
      </c>
      <c r="D1118" s="471">
        <v>44116</v>
      </c>
      <c r="E1118" s="472">
        <v>4809.7</v>
      </c>
    </row>
    <row r="1119" spans="1:5" x14ac:dyDescent="0.35">
      <c r="A1119" s="471">
        <v>44279</v>
      </c>
      <c r="B1119" s="107">
        <v>339.6</v>
      </c>
      <c r="D1119" s="471">
        <v>44115</v>
      </c>
      <c r="E1119" s="472">
        <v>4858.3599999999997</v>
      </c>
    </row>
    <row r="1120" spans="1:5" x14ac:dyDescent="0.35">
      <c r="A1120" s="471">
        <v>44278</v>
      </c>
      <c r="B1120" s="107">
        <v>341.8</v>
      </c>
      <c r="D1120" s="471">
        <v>44112</v>
      </c>
      <c r="E1120" s="472">
        <v>4916.97</v>
      </c>
    </row>
    <row r="1121" spans="1:5" x14ac:dyDescent="0.35">
      <c r="A1121" s="471">
        <v>44277</v>
      </c>
      <c r="B1121" s="107">
        <v>341.7</v>
      </c>
      <c r="D1121" s="471">
        <v>44111</v>
      </c>
      <c r="E1121" s="472">
        <v>4934.46</v>
      </c>
    </row>
    <row r="1122" spans="1:5" x14ac:dyDescent="0.35">
      <c r="A1122" s="471">
        <v>44276</v>
      </c>
      <c r="B1122" s="107">
        <v>339.5</v>
      </c>
      <c r="D1122" s="471">
        <v>44110</v>
      </c>
      <c r="E1122" s="472">
        <v>4928.8599999999997</v>
      </c>
    </row>
    <row r="1123" spans="1:5" x14ac:dyDescent="0.35">
      <c r="A1123" s="471">
        <v>44273</v>
      </c>
      <c r="B1123" s="107">
        <v>344.1</v>
      </c>
      <c r="D1123" s="471">
        <v>44109</v>
      </c>
      <c r="E1123" s="472">
        <v>4946.67</v>
      </c>
    </row>
    <row r="1124" spans="1:5" x14ac:dyDescent="0.35">
      <c r="A1124" s="471">
        <v>44271</v>
      </c>
      <c r="B1124" s="107">
        <v>345.5</v>
      </c>
      <c r="D1124" s="471">
        <v>44108</v>
      </c>
      <c r="E1124" s="472">
        <v>4997.99</v>
      </c>
    </row>
    <row r="1125" spans="1:5" x14ac:dyDescent="0.35">
      <c r="A1125" s="471">
        <v>44270</v>
      </c>
      <c r="B1125" s="107">
        <v>346.8</v>
      </c>
      <c r="D1125" s="471">
        <v>44105</v>
      </c>
      <c r="E1125" s="472">
        <v>4995.3100000000004</v>
      </c>
    </row>
    <row r="1126" spans="1:5" x14ac:dyDescent="0.35">
      <c r="A1126" s="471">
        <v>44269</v>
      </c>
      <c r="B1126" s="107">
        <v>348.9</v>
      </c>
      <c r="D1126" s="471">
        <v>44104</v>
      </c>
      <c r="E1126" s="472">
        <v>4963.29</v>
      </c>
    </row>
    <row r="1127" spans="1:5" x14ac:dyDescent="0.35">
      <c r="A1127" s="471">
        <v>44266</v>
      </c>
      <c r="B1127" s="107">
        <v>346.6</v>
      </c>
      <c r="D1127" s="471">
        <v>44103</v>
      </c>
      <c r="E1127" s="472">
        <v>4982.37</v>
      </c>
    </row>
    <row r="1128" spans="1:5" x14ac:dyDescent="0.35">
      <c r="A1128" s="471">
        <v>44265</v>
      </c>
      <c r="B1128" s="107">
        <v>345.6</v>
      </c>
      <c r="D1128" s="471">
        <v>44102</v>
      </c>
      <c r="E1128" s="472">
        <v>5003.62</v>
      </c>
    </row>
    <row r="1129" spans="1:5" x14ac:dyDescent="0.35">
      <c r="A1129" s="471">
        <v>44264</v>
      </c>
      <c r="B1129" s="107">
        <v>349.4</v>
      </c>
      <c r="D1129" s="471">
        <v>44101</v>
      </c>
      <c r="E1129" s="472">
        <v>4971.6099999999997</v>
      </c>
    </row>
    <row r="1130" spans="1:5" x14ac:dyDescent="0.35">
      <c r="A1130" s="471">
        <v>44263</v>
      </c>
      <c r="B1130" s="107">
        <v>352.3</v>
      </c>
      <c r="D1130" s="471">
        <v>44098</v>
      </c>
      <c r="E1130" s="472">
        <v>4978.7700000000004</v>
      </c>
    </row>
    <row r="1131" spans="1:5" x14ac:dyDescent="0.35">
      <c r="A1131" s="471">
        <v>44262</v>
      </c>
      <c r="B1131" s="107">
        <v>343.8</v>
      </c>
      <c r="D1131" s="471">
        <v>44097</v>
      </c>
      <c r="E1131" s="472">
        <v>4972.13</v>
      </c>
    </row>
    <row r="1132" spans="1:5" x14ac:dyDescent="0.35">
      <c r="A1132" s="471">
        <v>44259</v>
      </c>
      <c r="B1132" s="107">
        <v>340.3</v>
      </c>
      <c r="D1132" s="471">
        <v>44096</v>
      </c>
      <c r="E1132" s="472">
        <v>4970.1000000000004</v>
      </c>
    </row>
    <row r="1133" spans="1:5" x14ac:dyDescent="0.35">
      <c r="A1133" s="471">
        <v>44258</v>
      </c>
      <c r="B1133" s="107">
        <v>341.1</v>
      </c>
      <c r="D1133" s="471">
        <v>44095</v>
      </c>
      <c r="E1133" s="472">
        <v>5012.12</v>
      </c>
    </row>
    <row r="1134" spans="1:5" x14ac:dyDescent="0.35">
      <c r="A1134" s="471">
        <v>44257</v>
      </c>
      <c r="B1134" s="107">
        <v>340.7</v>
      </c>
      <c r="D1134" s="471">
        <v>44094</v>
      </c>
      <c r="E1134" s="472">
        <v>5088.87</v>
      </c>
    </row>
    <row r="1135" spans="1:5" x14ac:dyDescent="0.35">
      <c r="A1135" s="471">
        <v>44256</v>
      </c>
      <c r="B1135" s="107">
        <v>336.7</v>
      </c>
      <c r="D1135" s="471">
        <v>44091</v>
      </c>
      <c r="E1135" s="472">
        <v>5104.6499999999996</v>
      </c>
    </row>
    <row r="1136" spans="1:5" x14ac:dyDescent="0.35">
      <c r="A1136" s="471">
        <v>44255</v>
      </c>
      <c r="B1136" s="107">
        <v>338.3</v>
      </c>
      <c r="D1136" s="471">
        <v>44090</v>
      </c>
      <c r="E1136" s="472">
        <v>5116.8100000000004</v>
      </c>
    </row>
    <row r="1137" spans="1:5" x14ac:dyDescent="0.35">
      <c r="A1137" s="471">
        <v>44252</v>
      </c>
      <c r="B1137" s="107">
        <v>338.8</v>
      </c>
      <c r="D1137" s="471">
        <v>44089</v>
      </c>
      <c r="E1137" s="472">
        <v>5100.54</v>
      </c>
    </row>
    <row r="1138" spans="1:5" x14ac:dyDescent="0.35">
      <c r="A1138" s="471">
        <v>44251</v>
      </c>
      <c r="B1138" s="107">
        <v>341.6</v>
      </c>
      <c r="D1138" s="471">
        <v>44088</v>
      </c>
      <c r="E1138" s="472">
        <v>5092.1400000000003</v>
      </c>
    </row>
    <row r="1139" spans="1:5" x14ac:dyDescent="0.35">
      <c r="A1139" s="471">
        <v>44250</v>
      </c>
      <c r="B1139" s="107">
        <v>340.6</v>
      </c>
      <c r="D1139" s="471">
        <v>44087</v>
      </c>
      <c r="E1139" s="472">
        <v>5094.05</v>
      </c>
    </row>
    <row r="1140" spans="1:5" x14ac:dyDescent="0.35">
      <c r="A1140" s="471">
        <v>44249</v>
      </c>
      <c r="B1140" s="107">
        <v>343.6</v>
      </c>
      <c r="D1140" s="471">
        <v>44084</v>
      </c>
      <c r="E1140" s="472">
        <v>5011.29</v>
      </c>
    </row>
    <row r="1141" spans="1:5" x14ac:dyDescent="0.35">
      <c r="A1141" s="471">
        <v>44245</v>
      </c>
      <c r="B1141" s="107">
        <v>354.5</v>
      </c>
      <c r="D1141" s="471">
        <v>44083</v>
      </c>
      <c r="E1141" s="472">
        <v>4971.68</v>
      </c>
    </row>
    <row r="1142" spans="1:5" x14ac:dyDescent="0.35">
      <c r="A1142" s="471">
        <v>44243</v>
      </c>
      <c r="B1142" s="107">
        <v>371.6</v>
      </c>
      <c r="D1142" s="471">
        <v>44082</v>
      </c>
      <c r="E1142" s="472">
        <v>4978.32</v>
      </c>
    </row>
    <row r="1143" spans="1:5" x14ac:dyDescent="0.35">
      <c r="A1143" s="471">
        <v>44242</v>
      </c>
      <c r="B1143" s="107">
        <v>375</v>
      </c>
      <c r="D1143" s="471">
        <v>44081</v>
      </c>
      <c r="E1143" s="472">
        <v>4959.18</v>
      </c>
    </row>
    <row r="1144" spans="1:5" x14ac:dyDescent="0.35">
      <c r="A1144" s="471">
        <v>44241</v>
      </c>
      <c r="B1144" s="107">
        <v>371.6</v>
      </c>
      <c r="D1144" s="471">
        <v>44080</v>
      </c>
      <c r="E1144" s="472">
        <v>4948.5600000000004</v>
      </c>
    </row>
    <row r="1145" spans="1:5" x14ac:dyDescent="0.35">
      <c r="A1145" s="471">
        <v>44238</v>
      </c>
      <c r="B1145" s="107">
        <v>372.8</v>
      </c>
      <c r="D1145" s="471">
        <v>44077</v>
      </c>
      <c r="E1145" s="472">
        <v>4927.82</v>
      </c>
    </row>
    <row r="1146" spans="1:5" x14ac:dyDescent="0.35">
      <c r="A1146" s="471">
        <v>44237</v>
      </c>
      <c r="B1146" s="107">
        <v>378.9</v>
      </c>
      <c r="D1146" s="471">
        <v>44076</v>
      </c>
      <c r="E1146" s="472">
        <v>4891.53</v>
      </c>
    </row>
    <row r="1147" spans="1:5" x14ac:dyDescent="0.35">
      <c r="A1147" s="471">
        <v>44236</v>
      </c>
      <c r="B1147" s="107">
        <v>375.3</v>
      </c>
      <c r="D1147" s="471">
        <v>44075</v>
      </c>
      <c r="E1147" s="472">
        <v>4862.22</v>
      </c>
    </row>
    <row r="1148" spans="1:5" x14ac:dyDescent="0.35">
      <c r="A1148" s="471">
        <v>44235</v>
      </c>
      <c r="B1148" s="107">
        <v>367.7</v>
      </c>
      <c r="D1148" s="471">
        <v>44074</v>
      </c>
      <c r="E1148" s="472">
        <v>4879.1400000000003</v>
      </c>
    </row>
    <row r="1149" spans="1:5" x14ac:dyDescent="0.35">
      <c r="A1149" s="471">
        <v>44234</v>
      </c>
      <c r="B1149" s="107">
        <v>379</v>
      </c>
      <c r="D1149" s="471">
        <v>44070</v>
      </c>
      <c r="E1149" s="472">
        <v>4873.17</v>
      </c>
    </row>
    <row r="1150" spans="1:5" x14ac:dyDescent="0.35">
      <c r="A1150" s="471">
        <v>44231</v>
      </c>
      <c r="B1150" s="107">
        <v>383.2</v>
      </c>
      <c r="D1150" s="471">
        <v>44069</v>
      </c>
      <c r="E1150" s="472">
        <v>4827.57</v>
      </c>
    </row>
    <row r="1151" spans="1:5" x14ac:dyDescent="0.35">
      <c r="A1151" s="471">
        <v>44230</v>
      </c>
      <c r="B1151" s="107">
        <v>376.4</v>
      </c>
      <c r="D1151" s="471">
        <v>44068</v>
      </c>
      <c r="E1151" s="472">
        <v>4781.57</v>
      </c>
    </row>
    <row r="1152" spans="1:5" x14ac:dyDescent="0.35">
      <c r="A1152" s="471">
        <v>44229</v>
      </c>
      <c r="B1152" s="107">
        <v>369.3</v>
      </c>
      <c r="D1152" s="471">
        <v>44067</v>
      </c>
      <c r="E1152" s="472">
        <v>4762.43</v>
      </c>
    </row>
    <row r="1153" spans="1:5" x14ac:dyDescent="0.35">
      <c r="A1153" s="471">
        <v>44228</v>
      </c>
      <c r="B1153" s="107">
        <v>370.3</v>
      </c>
      <c r="D1153" s="471">
        <v>44066</v>
      </c>
      <c r="E1153" s="472">
        <v>4794.92</v>
      </c>
    </row>
    <row r="1154" spans="1:5" x14ac:dyDescent="0.35">
      <c r="A1154" s="471">
        <v>44227</v>
      </c>
      <c r="B1154" s="107">
        <v>371.9</v>
      </c>
      <c r="D1154" s="471">
        <v>44063</v>
      </c>
      <c r="E1154" s="472">
        <v>4794.0600000000004</v>
      </c>
    </row>
    <row r="1155" spans="1:5" x14ac:dyDescent="0.35">
      <c r="A1155" s="471">
        <v>44224</v>
      </c>
      <c r="B1155" s="107">
        <v>377</v>
      </c>
      <c r="D1155" s="471">
        <v>44062</v>
      </c>
      <c r="E1155" s="472">
        <v>4789.37</v>
      </c>
    </row>
    <row r="1156" spans="1:5" x14ac:dyDescent="0.35">
      <c r="A1156" s="471">
        <v>44223</v>
      </c>
      <c r="B1156" s="107">
        <v>373.5</v>
      </c>
      <c r="D1156" s="471">
        <v>44061</v>
      </c>
      <c r="E1156" s="472">
        <v>4720.1000000000004</v>
      </c>
    </row>
    <row r="1157" spans="1:5" x14ac:dyDescent="0.35">
      <c r="A1157" s="471">
        <v>44222</v>
      </c>
      <c r="B1157" s="107">
        <v>367.1</v>
      </c>
      <c r="D1157" s="471">
        <v>44060</v>
      </c>
      <c r="E1157" s="472">
        <v>4785.04</v>
      </c>
    </row>
    <row r="1158" spans="1:5" x14ac:dyDescent="0.35">
      <c r="A1158" s="471">
        <v>44221</v>
      </c>
      <c r="B1158" s="107">
        <v>370.1</v>
      </c>
      <c r="D1158" s="471">
        <v>44059</v>
      </c>
      <c r="E1158" s="472">
        <v>4859.4799999999996</v>
      </c>
    </row>
    <row r="1159" spans="1:5" x14ac:dyDescent="0.35">
      <c r="A1159" s="471">
        <v>44220</v>
      </c>
      <c r="B1159" s="107">
        <v>372.7</v>
      </c>
      <c r="D1159" s="471">
        <v>44056</v>
      </c>
      <c r="E1159" s="472">
        <v>4703.32</v>
      </c>
    </row>
    <row r="1160" spans="1:5" x14ac:dyDescent="0.35">
      <c r="A1160" s="471">
        <v>44217</v>
      </c>
      <c r="B1160" s="107">
        <v>373.2</v>
      </c>
      <c r="D1160" s="471">
        <v>44055</v>
      </c>
      <c r="E1160" s="472">
        <v>4633.37</v>
      </c>
    </row>
    <row r="1161" spans="1:5" x14ac:dyDescent="0.35">
      <c r="A1161" s="471">
        <v>44216</v>
      </c>
      <c r="B1161" s="107">
        <v>375.9</v>
      </c>
      <c r="D1161" s="471">
        <v>44053</v>
      </c>
      <c r="E1161" s="472">
        <v>4533.05</v>
      </c>
    </row>
    <row r="1162" spans="1:5" x14ac:dyDescent="0.35">
      <c r="A1162" s="471">
        <v>44215</v>
      </c>
      <c r="B1162" s="107">
        <v>383.1</v>
      </c>
      <c r="D1162" s="471">
        <v>44052</v>
      </c>
      <c r="E1162" s="472">
        <v>4545.1499999999996</v>
      </c>
    </row>
    <row r="1163" spans="1:5" x14ac:dyDescent="0.35">
      <c r="A1163" s="471">
        <v>44214</v>
      </c>
      <c r="B1163" s="107">
        <v>384.1</v>
      </c>
      <c r="D1163" s="471">
        <v>44049</v>
      </c>
      <c r="E1163" s="472">
        <v>4364.83</v>
      </c>
    </row>
    <row r="1164" spans="1:5" x14ac:dyDescent="0.35">
      <c r="A1164" s="471">
        <v>44213</v>
      </c>
      <c r="B1164" s="107">
        <v>376.2</v>
      </c>
      <c r="D1164" s="471">
        <v>44048</v>
      </c>
      <c r="E1164" s="472">
        <v>4307.1499999999996</v>
      </c>
    </row>
    <row r="1165" spans="1:5" x14ac:dyDescent="0.35">
      <c r="A1165" s="471">
        <v>44210</v>
      </c>
      <c r="B1165" s="107">
        <v>373.9</v>
      </c>
      <c r="D1165" s="471">
        <v>44047</v>
      </c>
      <c r="E1165" s="472">
        <v>4299.1000000000004</v>
      </c>
    </row>
    <row r="1166" spans="1:5" x14ac:dyDescent="0.35">
      <c r="A1166" s="471">
        <v>44209</v>
      </c>
      <c r="B1166" s="107">
        <v>368.2</v>
      </c>
      <c r="D1166" s="471">
        <v>44046</v>
      </c>
      <c r="E1166" s="472">
        <v>4271.8100000000004</v>
      </c>
    </row>
    <row r="1167" spans="1:5" x14ac:dyDescent="0.35">
      <c r="A1167" s="471">
        <v>44208</v>
      </c>
      <c r="B1167" s="107">
        <v>374.1</v>
      </c>
      <c r="D1167" s="471">
        <v>44042</v>
      </c>
      <c r="E1167" s="472">
        <v>4214.42</v>
      </c>
    </row>
    <row r="1168" spans="1:5" x14ac:dyDescent="0.35">
      <c r="A1168" s="471">
        <v>44207</v>
      </c>
      <c r="B1168" s="107">
        <v>370.1</v>
      </c>
      <c r="D1168" s="471">
        <v>44041</v>
      </c>
      <c r="E1168" s="472">
        <v>4171.2</v>
      </c>
    </row>
    <row r="1169" spans="1:5" x14ac:dyDescent="0.35">
      <c r="A1169" s="471">
        <v>44206</v>
      </c>
      <c r="B1169" s="107">
        <v>372.3</v>
      </c>
      <c r="D1169" s="471">
        <v>44040</v>
      </c>
      <c r="E1169" s="472">
        <v>4156.54</v>
      </c>
    </row>
    <row r="1170" spans="1:5" x14ac:dyDescent="0.35">
      <c r="A1170" s="471">
        <v>44203</v>
      </c>
      <c r="B1170" s="107">
        <v>366.2</v>
      </c>
      <c r="D1170" s="471">
        <v>44039</v>
      </c>
      <c r="E1170" s="472">
        <v>4145.38</v>
      </c>
    </row>
    <row r="1171" spans="1:5" x14ac:dyDescent="0.35">
      <c r="A1171" s="471">
        <v>44202</v>
      </c>
      <c r="B1171" s="107">
        <v>371.2</v>
      </c>
      <c r="D1171" s="471">
        <v>44038</v>
      </c>
      <c r="E1171" s="472">
        <v>4129.07</v>
      </c>
    </row>
    <row r="1172" spans="1:5" x14ac:dyDescent="0.35">
      <c r="A1172" s="471">
        <v>44201</v>
      </c>
      <c r="B1172" s="107">
        <v>376.4</v>
      </c>
      <c r="D1172" s="471">
        <v>44035</v>
      </c>
      <c r="E1172" s="472">
        <v>4080.93</v>
      </c>
    </row>
    <row r="1173" spans="1:5" x14ac:dyDescent="0.35">
      <c r="A1173" s="471">
        <v>44200</v>
      </c>
      <c r="B1173" s="107">
        <v>370.6</v>
      </c>
      <c r="D1173" s="471">
        <v>44034</v>
      </c>
      <c r="E1173" s="472">
        <v>4076.79</v>
      </c>
    </row>
    <row r="1174" spans="1:5" x14ac:dyDescent="0.35">
      <c r="A1174" s="471">
        <v>44199</v>
      </c>
      <c r="B1174" s="107">
        <v>358.4</v>
      </c>
      <c r="D1174" s="471">
        <v>44033</v>
      </c>
      <c r="E1174" s="472">
        <v>4085.79</v>
      </c>
    </row>
    <row r="1175" spans="1:5" x14ac:dyDescent="0.35">
      <c r="A1175" s="471">
        <v>44195</v>
      </c>
      <c r="B1175" s="107">
        <v>347.1</v>
      </c>
      <c r="D1175" s="471">
        <v>44032</v>
      </c>
      <c r="E1175" s="472">
        <v>4070.15</v>
      </c>
    </row>
    <row r="1176" spans="1:5" x14ac:dyDescent="0.35">
      <c r="A1176" s="471">
        <v>44194</v>
      </c>
      <c r="B1176" s="107">
        <v>349.7</v>
      </c>
      <c r="D1176" s="471">
        <v>44031</v>
      </c>
      <c r="E1176" s="472">
        <v>4050.64</v>
      </c>
    </row>
    <row r="1177" spans="1:5" x14ac:dyDescent="0.35">
      <c r="A1177" s="471">
        <v>44193</v>
      </c>
      <c r="B1177" s="107">
        <v>353.7</v>
      </c>
      <c r="D1177" s="471">
        <v>44028</v>
      </c>
      <c r="E1177" s="472">
        <v>4069.11</v>
      </c>
    </row>
    <row r="1178" spans="1:5" x14ac:dyDescent="0.35">
      <c r="A1178" s="471">
        <v>44192</v>
      </c>
      <c r="B1178" s="107">
        <v>350</v>
      </c>
      <c r="D1178" s="471">
        <v>44027</v>
      </c>
      <c r="E1178" s="472">
        <v>4079.07</v>
      </c>
    </row>
    <row r="1179" spans="1:5" x14ac:dyDescent="0.35">
      <c r="A1179" s="471">
        <v>44189</v>
      </c>
      <c r="B1179" s="107">
        <v>341.1</v>
      </c>
      <c r="D1179" s="471">
        <v>44026</v>
      </c>
      <c r="E1179" s="472">
        <v>4082.14</v>
      </c>
    </row>
    <row r="1180" spans="1:5" x14ac:dyDescent="0.35">
      <c r="A1180" s="471">
        <v>44188</v>
      </c>
      <c r="B1180" s="107">
        <v>337.2</v>
      </c>
      <c r="D1180" s="471">
        <v>44025</v>
      </c>
      <c r="E1180" s="472">
        <v>4089.51</v>
      </c>
    </row>
    <row r="1181" spans="1:5" x14ac:dyDescent="0.35">
      <c r="A1181" s="471">
        <v>44187</v>
      </c>
      <c r="B1181" s="107">
        <v>337.5</v>
      </c>
      <c r="D1181" s="471">
        <v>44024</v>
      </c>
      <c r="E1181" s="472">
        <v>4099.42</v>
      </c>
    </row>
    <row r="1182" spans="1:5" x14ac:dyDescent="0.35">
      <c r="A1182" s="471">
        <v>44186</v>
      </c>
      <c r="B1182" s="107">
        <v>341.4</v>
      </c>
      <c r="D1182" s="471">
        <v>44021</v>
      </c>
      <c r="E1182" s="472">
        <v>4061.56</v>
      </c>
    </row>
    <row r="1183" spans="1:5" x14ac:dyDescent="0.35">
      <c r="A1183" s="471">
        <v>44185</v>
      </c>
      <c r="B1183" s="107">
        <v>340.1</v>
      </c>
      <c r="D1183" s="471">
        <v>44020</v>
      </c>
      <c r="E1183" s="472">
        <v>4034.65</v>
      </c>
    </row>
    <row r="1184" spans="1:5" x14ac:dyDescent="0.35">
      <c r="A1184" s="471">
        <v>44182</v>
      </c>
      <c r="B1184" s="107">
        <v>346</v>
      </c>
      <c r="D1184" s="471">
        <v>44019</v>
      </c>
      <c r="E1184" s="472">
        <v>4001.81</v>
      </c>
    </row>
    <row r="1185" spans="1:5" x14ac:dyDescent="0.35">
      <c r="A1185" s="471">
        <v>44180</v>
      </c>
      <c r="B1185" s="107">
        <v>356.8</v>
      </c>
      <c r="D1185" s="471">
        <v>44018</v>
      </c>
      <c r="E1185" s="472">
        <v>3994.65</v>
      </c>
    </row>
    <row r="1186" spans="1:5" x14ac:dyDescent="0.35">
      <c r="A1186" s="471">
        <v>44179</v>
      </c>
      <c r="B1186" s="107">
        <v>350.2</v>
      </c>
      <c r="D1186" s="471">
        <v>44017</v>
      </c>
      <c r="E1186" s="472">
        <v>3981.52</v>
      </c>
    </row>
    <row r="1187" spans="1:5" x14ac:dyDescent="0.35">
      <c r="A1187" s="471">
        <v>44178</v>
      </c>
      <c r="B1187" s="107">
        <v>345.5</v>
      </c>
      <c r="D1187" s="471">
        <v>44014</v>
      </c>
      <c r="E1187" s="472">
        <v>3986.73</v>
      </c>
    </row>
    <row r="1188" spans="1:5" x14ac:dyDescent="0.35">
      <c r="A1188" s="471">
        <v>44175</v>
      </c>
      <c r="B1188" s="107">
        <v>341.5</v>
      </c>
      <c r="D1188" s="471">
        <v>44012</v>
      </c>
      <c r="E1188" s="472">
        <v>3989.08</v>
      </c>
    </row>
    <row r="1189" spans="1:5" x14ac:dyDescent="0.35">
      <c r="A1189" s="471">
        <v>44174</v>
      </c>
      <c r="B1189" s="107">
        <v>334.9</v>
      </c>
      <c r="D1189" s="471">
        <v>44011</v>
      </c>
      <c r="E1189" s="472">
        <v>3981.64</v>
      </c>
    </row>
    <row r="1190" spans="1:5" x14ac:dyDescent="0.35">
      <c r="A1190" s="471">
        <v>44173</v>
      </c>
      <c r="B1190" s="107">
        <v>334.1</v>
      </c>
      <c r="D1190" s="471">
        <v>44010</v>
      </c>
      <c r="E1190" s="472">
        <v>3974.22</v>
      </c>
    </row>
    <row r="1191" spans="1:5" x14ac:dyDescent="0.35">
      <c r="A1191" s="471">
        <v>44172</v>
      </c>
      <c r="B1191" s="107">
        <v>328.8</v>
      </c>
      <c r="D1191" s="471">
        <v>44007</v>
      </c>
      <c r="E1191" s="472">
        <v>3969.28</v>
      </c>
    </row>
    <row r="1192" spans="1:5" x14ac:dyDescent="0.35">
      <c r="A1192" s="471">
        <v>44171</v>
      </c>
      <c r="B1192" s="107">
        <v>326.10000000000002</v>
      </c>
      <c r="D1192" s="471">
        <v>44006</v>
      </c>
      <c r="E1192" s="472">
        <v>3964.83</v>
      </c>
    </row>
    <row r="1193" spans="1:5" x14ac:dyDescent="0.35">
      <c r="A1193" s="471">
        <v>44168</v>
      </c>
      <c r="B1193" s="107">
        <v>319.39999999999998</v>
      </c>
      <c r="D1193" s="471">
        <v>44005</v>
      </c>
      <c r="E1193" s="472">
        <v>3963.35</v>
      </c>
    </row>
    <row r="1194" spans="1:5" x14ac:dyDescent="0.35">
      <c r="A1194" s="471">
        <v>44167</v>
      </c>
      <c r="B1194" s="107">
        <v>318</v>
      </c>
      <c r="D1194" s="471">
        <v>44004</v>
      </c>
      <c r="E1194" s="472">
        <v>3962.04</v>
      </c>
    </row>
    <row r="1195" spans="1:5" x14ac:dyDescent="0.35">
      <c r="A1195" s="471">
        <v>44166</v>
      </c>
      <c r="B1195" s="107">
        <v>320</v>
      </c>
      <c r="D1195" s="471">
        <v>44003</v>
      </c>
      <c r="E1195" s="472">
        <v>3962.98</v>
      </c>
    </row>
    <row r="1196" spans="1:5" x14ac:dyDescent="0.35">
      <c r="A1196" s="471">
        <v>44165</v>
      </c>
      <c r="B1196" s="107">
        <v>319.10000000000002</v>
      </c>
      <c r="D1196" s="471">
        <v>44000</v>
      </c>
      <c r="E1196" s="472">
        <v>3960.57</v>
      </c>
    </row>
    <row r="1197" spans="1:5" x14ac:dyDescent="0.35">
      <c r="A1197" s="471">
        <v>44164</v>
      </c>
      <c r="B1197" s="107">
        <v>321.5</v>
      </c>
      <c r="D1197" s="471">
        <v>43999</v>
      </c>
      <c r="E1197" s="472">
        <v>3961.9</v>
      </c>
    </row>
    <row r="1198" spans="1:5" x14ac:dyDescent="0.35">
      <c r="A1198" s="471">
        <v>44161</v>
      </c>
      <c r="B1198" s="107">
        <v>319.2</v>
      </c>
      <c r="D1198" s="471">
        <v>43998</v>
      </c>
      <c r="E1198" s="472">
        <v>3960.65</v>
      </c>
    </row>
    <row r="1199" spans="1:5" x14ac:dyDescent="0.35">
      <c r="A1199" s="471">
        <v>44160</v>
      </c>
      <c r="B1199" s="107">
        <v>320.8</v>
      </c>
      <c r="D1199" s="471">
        <v>43997</v>
      </c>
      <c r="E1199" s="472">
        <v>3958.36</v>
      </c>
    </row>
    <row r="1200" spans="1:5" x14ac:dyDescent="0.35">
      <c r="A1200" s="471">
        <v>44159</v>
      </c>
      <c r="B1200" s="107">
        <v>318.2</v>
      </c>
      <c r="D1200" s="471">
        <v>43996</v>
      </c>
      <c r="E1200" s="472">
        <v>3964.28</v>
      </c>
    </row>
    <row r="1201" spans="1:5" x14ac:dyDescent="0.35">
      <c r="A1201" s="471">
        <v>44158</v>
      </c>
      <c r="B1201" s="107">
        <v>320.7</v>
      </c>
      <c r="D1201" s="471">
        <v>43993</v>
      </c>
      <c r="E1201" s="472">
        <v>3967.31</v>
      </c>
    </row>
    <row r="1202" spans="1:5" x14ac:dyDescent="0.35">
      <c r="A1202" s="471">
        <v>44157</v>
      </c>
      <c r="B1202" s="107">
        <v>325.3</v>
      </c>
      <c r="D1202" s="471">
        <v>43992</v>
      </c>
      <c r="E1202" s="472">
        <v>3966.75</v>
      </c>
    </row>
    <row r="1203" spans="1:5" x14ac:dyDescent="0.35">
      <c r="A1203" s="471">
        <v>44154</v>
      </c>
      <c r="B1203" s="107">
        <v>326.8</v>
      </c>
      <c r="D1203" s="471">
        <v>43991</v>
      </c>
      <c r="E1203" s="472">
        <v>3962.37</v>
      </c>
    </row>
    <row r="1204" spans="1:5" x14ac:dyDescent="0.35">
      <c r="A1204" s="471">
        <v>44153</v>
      </c>
      <c r="B1204" s="107">
        <v>328.8</v>
      </c>
      <c r="D1204" s="471">
        <v>43990</v>
      </c>
      <c r="E1204" s="472">
        <v>3956.1</v>
      </c>
    </row>
    <row r="1205" spans="1:5" x14ac:dyDescent="0.35">
      <c r="A1205" s="471">
        <v>44152</v>
      </c>
      <c r="B1205" s="107">
        <v>329.7</v>
      </c>
      <c r="D1205" s="471">
        <v>43989</v>
      </c>
      <c r="E1205" s="472">
        <v>3961.51</v>
      </c>
    </row>
    <row r="1206" spans="1:5" x14ac:dyDescent="0.35">
      <c r="A1206" s="471">
        <v>44151</v>
      </c>
      <c r="B1206" s="107">
        <v>329.6</v>
      </c>
      <c r="D1206" s="471">
        <v>43986</v>
      </c>
      <c r="E1206" s="472">
        <v>3953.38</v>
      </c>
    </row>
    <row r="1207" spans="1:5" x14ac:dyDescent="0.35">
      <c r="A1207" s="471">
        <v>44150</v>
      </c>
      <c r="B1207" s="107">
        <v>329.2</v>
      </c>
      <c r="D1207" s="471">
        <v>43985</v>
      </c>
      <c r="E1207" s="472">
        <v>3963.4</v>
      </c>
    </row>
    <row r="1208" spans="1:5" x14ac:dyDescent="0.35">
      <c r="A1208" s="471">
        <v>44147</v>
      </c>
      <c r="B1208" s="107">
        <v>330.2</v>
      </c>
      <c r="D1208" s="471">
        <v>43984</v>
      </c>
      <c r="E1208" s="472">
        <v>3969.58</v>
      </c>
    </row>
    <row r="1209" spans="1:5" x14ac:dyDescent="0.35">
      <c r="A1209" s="471">
        <v>44146</v>
      </c>
      <c r="B1209" s="107">
        <v>334.8</v>
      </c>
      <c r="D1209" s="471">
        <v>43983</v>
      </c>
      <c r="E1209" s="472">
        <v>3999.49</v>
      </c>
    </row>
    <row r="1210" spans="1:5" x14ac:dyDescent="0.35">
      <c r="A1210" s="471">
        <v>44145</v>
      </c>
      <c r="B1210" s="107">
        <v>332.5</v>
      </c>
      <c r="D1210" s="471">
        <v>43982</v>
      </c>
      <c r="E1210" s="472">
        <v>4060.44</v>
      </c>
    </row>
    <row r="1211" spans="1:5" x14ac:dyDescent="0.35">
      <c r="A1211" s="471">
        <v>44144</v>
      </c>
      <c r="B1211" s="107">
        <v>334.8</v>
      </c>
      <c r="D1211" s="471">
        <v>43919</v>
      </c>
      <c r="E1211" s="472">
        <v>4008.28</v>
      </c>
    </row>
    <row r="1212" spans="1:5" x14ac:dyDescent="0.35">
      <c r="A1212" s="471">
        <v>44143</v>
      </c>
      <c r="B1212" s="107">
        <v>337.2</v>
      </c>
      <c r="D1212" s="471">
        <v>43915</v>
      </c>
      <c r="E1212" s="472">
        <v>4008.28</v>
      </c>
    </row>
    <row r="1213" spans="1:5" x14ac:dyDescent="0.35">
      <c r="A1213" s="471">
        <v>44140</v>
      </c>
      <c r="B1213" s="107">
        <v>336.1</v>
      </c>
      <c r="D1213" s="471">
        <v>43914</v>
      </c>
      <c r="E1213" s="472">
        <v>3976.56</v>
      </c>
    </row>
    <row r="1214" spans="1:5" x14ac:dyDescent="0.35">
      <c r="A1214" s="471">
        <v>44139</v>
      </c>
      <c r="B1214" s="107">
        <v>328.7</v>
      </c>
      <c r="D1214" s="471">
        <v>43913</v>
      </c>
      <c r="E1214" s="472">
        <v>3984.75</v>
      </c>
    </row>
    <row r="1215" spans="1:5" x14ac:dyDescent="0.35">
      <c r="A1215" s="471">
        <v>44138</v>
      </c>
      <c r="B1215" s="107">
        <v>328.6</v>
      </c>
      <c r="D1215" s="471">
        <v>43912</v>
      </c>
      <c r="E1215" s="472">
        <v>3960.17</v>
      </c>
    </row>
    <row r="1216" spans="1:5" x14ac:dyDescent="0.35">
      <c r="A1216" s="471">
        <v>44137</v>
      </c>
      <c r="B1216" s="107">
        <v>328.9</v>
      </c>
      <c r="D1216" s="471">
        <v>43909</v>
      </c>
      <c r="E1216" s="472">
        <v>3974.96</v>
      </c>
    </row>
    <row r="1217" spans="1:5" x14ac:dyDescent="0.35">
      <c r="A1217" s="471">
        <v>44136</v>
      </c>
      <c r="B1217" s="107">
        <v>329.2</v>
      </c>
      <c r="D1217" s="471">
        <v>43908</v>
      </c>
      <c r="E1217" s="472">
        <v>3603.95</v>
      </c>
    </row>
    <row r="1218" spans="1:5" x14ac:dyDescent="0.35">
      <c r="A1218" s="471">
        <v>44133</v>
      </c>
      <c r="B1218" s="107">
        <v>329.7</v>
      </c>
      <c r="D1218" s="471">
        <v>43906</v>
      </c>
      <c r="E1218" s="472">
        <v>3772.55</v>
      </c>
    </row>
    <row r="1219" spans="1:5" x14ac:dyDescent="0.35">
      <c r="A1219" s="471">
        <v>44132</v>
      </c>
      <c r="B1219" s="107">
        <v>330</v>
      </c>
      <c r="D1219" s="471">
        <v>43905</v>
      </c>
      <c r="E1219" s="472">
        <v>3969.31</v>
      </c>
    </row>
    <row r="1220" spans="1:5" x14ac:dyDescent="0.35">
      <c r="A1220" s="471">
        <v>44131</v>
      </c>
      <c r="B1220" s="107">
        <v>332.2</v>
      </c>
      <c r="D1220" s="471">
        <v>43902</v>
      </c>
      <c r="E1220" s="472">
        <v>4129.96</v>
      </c>
    </row>
    <row r="1221" spans="1:5" x14ac:dyDescent="0.35">
      <c r="A1221" s="471">
        <v>44129</v>
      </c>
      <c r="B1221" s="107">
        <v>332</v>
      </c>
      <c r="D1221" s="471">
        <v>43901</v>
      </c>
      <c r="E1221" s="472">
        <v>4231.4799999999996</v>
      </c>
    </row>
    <row r="1222" spans="1:5" x14ac:dyDescent="0.35">
      <c r="A1222" s="471">
        <v>44126</v>
      </c>
      <c r="B1222" s="107">
        <v>330</v>
      </c>
      <c r="D1222" s="471">
        <v>43900</v>
      </c>
      <c r="E1222" s="472">
        <v>4156.32</v>
      </c>
    </row>
    <row r="1223" spans="1:5" x14ac:dyDescent="0.35">
      <c r="A1223" s="471">
        <v>44125</v>
      </c>
      <c r="B1223" s="107">
        <v>331.3</v>
      </c>
      <c r="D1223" s="471">
        <v>43899</v>
      </c>
      <c r="E1223" s="472">
        <v>4008.05</v>
      </c>
    </row>
    <row r="1224" spans="1:5" x14ac:dyDescent="0.35">
      <c r="A1224" s="471">
        <v>44124</v>
      </c>
      <c r="B1224" s="107">
        <v>331.9</v>
      </c>
      <c r="D1224" s="471">
        <v>43898</v>
      </c>
      <c r="E1224" s="472">
        <v>4287.38</v>
      </c>
    </row>
    <row r="1225" spans="1:5" x14ac:dyDescent="0.35">
      <c r="A1225" s="471">
        <v>44123</v>
      </c>
      <c r="B1225" s="107">
        <v>335.9</v>
      </c>
      <c r="D1225" s="471">
        <v>43895</v>
      </c>
      <c r="E1225" s="472">
        <v>4384.4799999999996</v>
      </c>
    </row>
    <row r="1226" spans="1:5" x14ac:dyDescent="0.35">
      <c r="A1226" s="471">
        <v>44122</v>
      </c>
      <c r="B1226" s="107">
        <v>335</v>
      </c>
      <c r="D1226" s="471">
        <v>43894</v>
      </c>
      <c r="E1226" s="472">
        <v>4409.62</v>
      </c>
    </row>
    <row r="1227" spans="1:5" x14ac:dyDescent="0.35">
      <c r="A1227" s="471">
        <v>44119</v>
      </c>
      <c r="B1227" s="107">
        <v>341.1</v>
      </c>
      <c r="D1227" s="471">
        <v>43893</v>
      </c>
      <c r="E1227" s="472">
        <v>4466.07</v>
      </c>
    </row>
    <row r="1228" spans="1:5" x14ac:dyDescent="0.35">
      <c r="A1228" s="471">
        <v>44118</v>
      </c>
      <c r="B1228" s="107">
        <v>334.1</v>
      </c>
      <c r="D1228" s="471">
        <v>43892</v>
      </c>
      <c r="E1228" s="472">
        <v>4434.8100000000004</v>
      </c>
    </row>
    <row r="1229" spans="1:5" x14ac:dyDescent="0.35">
      <c r="A1229" s="471">
        <v>44117</v>
      </c>
      <c r="B1229" s="107">
        <v>333.2</v>
      </c>
      <c r="D1229" s="471">
        <v>43891</v>
      </c>
      <c r="E1229" s="472">
        <v>4409.91</v>
      </c>
    </row>
    <row r="1230" spans="1:5" x14ac:dyDescent="0.35">
      <c r="A1230" s="471">
        <v>44116</v>
      </c>
      <c r="B1230" s="107">
        <v>330.8</v>
      </c>
      <c r="D1230" s="471">
        <v>43888</v>
      </c>
      <c r="E1230" s="472">
        <v>4480.22</v>
      </c>
    </row>
    <row r="1231" spans="1:5" x14ac:dyDescent="0.35">
      <c r="A1231" s="471">
        <v>44115</v>
      </c>
      <c r="B1231" s="107">
        <v>329</v>
      </c>
      <c r="D1231" s="471">
        <v>43887</v>
      </c>
      <c r="E1231" s="472">
        <v>4549.1099999999997</v>
      </c>
    </row>
    <row r="1232" spans="1:5" x14ac:dyDescent="0.35">
      <c r="A1232" s="471">
        <v>44112</v>
      </c>
      <c r="B1232" s="107">
        <v>328.3</v>
      </c>
      <c r="D1232" s="471">
        <v>43886</v>
      </c>
      <c r="E1232" s="472">
        <v>4621.1899999999996</v>
      </c>
    </row>
    <row r="1233" spans="1:5" x14ac:dyDescent="0.35">
      <c r="A1233" s="471">
        <v>44111</v>
      </c>
      <c r="B1233" s="107">
        <v>326.89999999999998</v>
      </c>
      <c r="D1233" s="471">
        <v>43885</v>
      </c>
      <c r="E1233" s="472">
        <v>4650.8900000000003</v>
      </c>
    </row>
    <row r="1234" spans="1:5" x14ac:dyDescent="0.35">
      <c r="A1234" s="471">
        <v>44110</v>
      </c>
      <c r="B1234" s="107">
        <v>326.60000000000002</v>
      </c>
      <c r="D1234" s="471">
        <v>43884</v>
      </c>
      <c r="E1234" s="472">
        <v>4698.8900000000003</v>
      </c>
    </row>
    <row r="1235" spans="1:5" x14ac:dyDescent="0.35">
      <c r="A1235" s="471">
        <v>44109</v>
      </c>
      <c r="B1235" s="107">
        <v>328.8</v>
      </c>
      <c r="D1235" s="471">
        <v>43881</v>
      </c>
      <c r="E1235" s="472">
        <v>4733.1400000000003</v>
      </c>
    </row>
    <row r="1236" spans="1:5" x14ac:dyDescent="0.35">
      <c r="A1236" s="471">
        <v>44108</v>
      </c>
      <c r="B1236" s="107">
        <v>330.1</v>
      </c>
      <c r="D1236" s="471">
        <v>43880</v>
      </c>
      <c r="E1236" s="472">
        <v>4758</v>
      </c>
    </row>
    <row r="1237" spans="1:5" x14ac:dyDescent="0.35">
      <c r="A1237" s="471">
        <v>44105</v>
      </c>
      <c r="B1237" s="107">
        <v>331</v>
      </c>
      <c r="D1237" s="471">
        <v>43879</v>
      </c>
      <c r="E1237" s="472">
        <v>4740.3999999999996</v>
      </c>
    </row>
    <row r="1238" spans="1:5" x14ac:dyDescent="0.35">
      <c r="A1238" s="471">
        <v>44104</v>
      </c>
      <c r="B1238" s="107">
        <v>330</v>
      </c>
      <c r="D1238" s="471">
        <v>43878</v>
      </c>
      <c r="E1238" s="472">
        <v>4768.13</v>
      </c>
    </row>
    <row r="1239" spans="1:5" x14ac:dyDescent="0.35">
      <c r="A1239" s="471">
        <v>44103</v>
      </c>
      <c r="B1239" s="107">
        <v>331.9</v>
      </c>
      <c r="D1239" s="471">
        <v>43877</v>
      </c>
      <c r="E1239" s="472">
        <v>4734.1499999999996</v>
      </c>
    </row>
    <row r="1240" spans="1:5" x14ac:dyDescent="0.35">
      <c r="A1240" s="471">
        <v>44102</v>
      </c>
      <c r="B1240" s="107">
        <v>330.9</v>
      </c>
      <c r="D1240" s="471">
        <v>43874</v>
      </c>
      <c r="E1240" s="472">
        <v>4564.6099999999997</v>
      </c>
    </row>
    <row r="1241" spans="1:5" x14ac:dyDescent="0.35">
      <c r="A1241" s="471">
        <v>44101</v>
      </c>
      <c r="B1241" s="107">
        <v>330.6</v>
      </c>
      <c r="D1241" s="471">
        <v>43873</v>
      </c>
      <c r="E1241" s="472">
        <v>4480.83</v>
      </c>
    </row>
    <row r="1242" spans="1:5" x14ac:dyDescent="0.35">
      <c r="A1242" s="471">
        <v>44098</v>
      </c>
      <c r="B1242" s="107">
        <v>335.2</v>
      </c>
      <c r="D1242" s="471">
        <v>43872</v>
      </c>
      <c r="E1242" s="472">
        <v>4471.51</v>
      </c>
    </row>
    <row r="1243" spans="1:5" x14ac:dyDescent="0.35">
      <c r="A1243" s="471">
        <v>44097</v>
      </c>
      <c r="B1243" s="107">
        <v>336.6</v>
      </c>
      <c r="D1243" s="471">
        <v>43871</v>
      </c>
      <c r="E1243" s="472">
        <v>4385.54</v>
      </c>
    </row>
    <row r="1244" spans="1:5" x14ac:dyDescent="0.35">
      <c r="A1244" s="471">
        <v>44096</v>
      </c>
      <c r="B1244" s="107">
        <v>329.5</v>
      </c>
      <c r="D1244" s="471">
        <v>43870</v>
      </c>
      <c r="E1244" s="472">
        <v>4388.75</v>
      </c>
    </row>
    <row r="1245" spans="1:5" x14ac:dyDescent="0.35">
      <c r="A1245" s="471">
        <v>44095</v>
      </c>
      <c r="B1245" s="107">
        <v>331.7</v>
      </c>
      <c r="D1245" s="471">
        <v>43867</v>
      </c>
      <c r="E1245" s="472">
        <v>4452.96</v>
      </c>
    </row>
    <row r="1246" spans="1:5" x14ac:dyDescent="0.35">
      <c r="A1246" s="471">
        <v>44094</v>
      </c>
      <c r="B1246" s="107">
        <v>336.7</v>
      </c>
      <c r="D1246" s="471">
        <v>43866</v>
      </c>
      <c r="E1246" s="472">
        <v>4465.8900000000003</v>
      </c>
    </row>
    <row r="1247" spans="1:5" x14ac:dyDescent="0.35">
      <c r="A1247" s="471">
        <v>44091</v>
      </c>
      <c r="B1247" s="107">
        <v>340.8</v>
      </c>
      <c r="D1247" s="471">
        <v>43865</v>
      </c>
      <c r="E1247" s="472">
        <v>4479.3999999999996</v>
      </c>
    </row>
    <row r="1248" spans="1:5" x14ac:dyDescent="0.35">
      <c r="A1248" s="471">
        <v>44090</v>
      </c>
      <c r="B1248" s="107">
        <v>340.7</v>
      </c>
      <c r="D1248" s="471">
        <v>43864</v>
      </c>
      <c r="E1248" s="472">
        <v>4506.87</v>
      </c>
    </row>
    <row r="1249" spans="1:5" x14ac:dyDescent="0.35">
      <c r="A1249" s="471">
        <v>44089</v>
      </c>
      <c r="B1249" s="107">
        <v>345.9</v>
      </c>
      <c r="D1249" s="471">
        <v>43863</v>
      </c>
      <c r="E1249" s="472">
        <v>4481.51</v>
      </c>
    </row>
    <row r="1250" spans="1:5" x14ac:dyDescent="0.35">
      <c r="A1250" s="471">
        <v>44088</v>
      </c>
      <c r="B1250" s="107">
        <v>350.1</v>
      </c>
      <c r="D1250" s="471">
        <v>43860</v>
      </c>
      <c r="E1250" s="472">
        <v>4469.6499999999996</v>
      </c>
    </row>
    <row r="1251" spans="1:5" x14ac:dyDescent="0.35">
      <c r="A1251" s="471">
        <v>44087</v>
      </c>
      <c r="B1251" s="107">
        <v>352.8</v>
      </c>
      <c r="D1251" s="471">
        <v>43859</v>
      </c>
      <c r="E1251" s="472">
        <v>4481.79</v>
      </c>
    </row>
    <row r="1252" spans="1:5" x14ac:dyDescent="0.35">
      <c r="A1252" s="471">
        <v>44084</v>
      </c>
      <c r="B1252" s="107">
        <v>347.6</v>
      </c>
      <c r="D1252" s="471">
        <v>43858</v>
      </c>
      <c r="E1252" s="472">
        <v>4510.7700000000004</v>
      </c>
    </row>
    <row r="1253" spans="1:5" x14ac:dyDescent="0.35">
      <c r="A1253" s="471">
        <v>44083</v>
      </c>
      <c r="B1253" s="107">
        <v>343.2</v>
      </c>
      <c r="D1253" s="471">
        <v>43857</v>
      </c>
      <c r="E1253" s="472">
        <v>4493.01</v>
      </c>
    </row>
    <row r="1254" spans="1:5" x14ac:dyDescent="0.35">
      <c r="A1254" s="471">
        <v>44082</v>
      </c>
      <c r="B1254" s="107">
        <v>336.3</v>
      </c>
      <c r="D1254" s="471">
        <v>43856</v>
      </c>
      <c r="E1254" s="472">
        <v>4528.2</v>
      </c>
    </row>
    <row r="1255" spans="1:5" x14ac:dyDescent="0.35">
      <c r="A1255" s="471">
        <v>44081</v>
      </c>
      <c r="B1255" s="107">
        <v>325.8</v>
      </c>
      <c r="D1255" s="471">
        <v>43853</v>
      </c>
      <c r="E1255" s="472">
        <v>4513.8900000000003</v>
      </c>
    </row>
    <row r="1256" spans="1:5" x14ac:dyDescent="0.35">
      <c r="A1256" s="471">
        <v>44080</v>
      </c>
      <c r="B1256" s="107">
        <v>322.10000000000002</v>
      </c>
      <c r="D1256" s="471">
        <v>43852</v>
      </c>
      <c r="E1256" s="472">
        <v>4440.29</v>
      </c>
    </row>
    <row r="1257" spans="1:5" x14ac:dyDescent="0.35">
      <c r="A1257" s="471">
        <v>44077</v>
      </c>
      <c r="B1257" s="107">
        <v>322.89999999999998</v>
      </c>
      <c r="D1257" s="471">
        <v>43851</v>
      </c>
      <c r="E1257" s="472">
        <v>4408.1000000000004</v>
      </c>
    </row>
    <row r="1258" spans="1:5" x14ac:dyDescent="0.35">
      <c r="A1258" s="471">
        <v>44076</v>
      </c>
      <c r="B1258" s="107">
        <v>321.10000000000002</v>
      </c>
      <c r="D1258" s="471">
        <v>43850</v>
      </c>
      <c r="E1258" s="472">
        <v>4436.79</v>
      </c>
    </row>
    <row r="1259" spans="1:5" x14ac:dyDescent="0.35">
      <c r="A1259" s="471">
        <v>44075</v>
      </c>
      <c r="B1259" s="107">
        <v>320.10000000000002</v>
      </c>
      <c r="D1259" s="471">
        <v>43849</v>
      </c>
      <c r="E1259" s="472">
        <v>4382.0600000000004</v>
      </c>
    </row>
    <row r="1260" spans="1:5" x14ac:dyDescent="0.35">
      <c r="A1260" s="471">
        <v>44074</v>
      </c>
      <c r="B1260" s="107">
        <v>318.39999999999998</v>
      </c>
      <c r="D1260" s="471">
        <v>43846</v>
      </c>
      <c r="E1260" s="472">
        <v>4149.82</v>
      </c>
    </row>
    <row r="1261" spans="1:5" x14ac:dyDescent="0.35">
      <c r="A1261" s="471">
        <v>44070</v>
      </c>
      <c r="B1261" s="107">
        <v>314.89999999999998</v>
      </c>
      <c r="D1261" s="471">
        <v>43845</v>
      </c>
      <c r="E1261" s="472">
        <v>4068.2</v>
      </c>
    </row>
    <row r="1262" spans="1:5" x14ac:dyDescent="0.35">
      <c r="A1262" s="471">
        <v>44069</v>
      </c>
      <c r="B1262" s="107">
        <v>315.5</v>
      </c>
      <c r="D1262" s="471">
        <v>43844</v>
      </c>
      <c r="E1262" s="472">
        <v>4036.23</v>
      </c>
    </row>
    <row r="1263" spans="1:5" x14ac:dyDescent="0.35">
      <c r="A1263" s="471">
        <v>44068</v>
      </c>
      <c r="B1263" s="107">
        <v>312.5</v>
      </c>
      <c r="D1263" s="471">
        <v>43843</v>
      </c>
      <c r="E1263" s="472">
        <v>4123.4799999999996</v>
      </c>
    </row>
    <row r="1264" spans="1:5" x14ac:dyDescent="0.35">
      <c r="A1264" s="471">
        <v>44067</v>
      </c>
      <c r="B1264" s="107">
        <v>299.5</v>
      </c>
      <c r="D1264" s="471">
        <v>43842</v>
      </c>
      <c r="E1264" s="472">
        <v>4212.4399999999996</v>
      </c>
    </row>
    <row r="1265" spans="1:5" x14ac:dyDescent="0.35">
      <c r="A1265" s="471">
        <v>44066</v>
      </c>
      <c r="B1265" s="107">
        <v>294</v>
      </c>
      <c r="D1265" s="471">
        <v>43839</v>
      </c>
      <c r="E1265" s="472">
        <v>4197.3900000000003</v>
      </c>
    </row>
    <row r="1266" spans="1:5" x14ac:dyDescent="0.35">
      <c r="A1266" s="471">
        <v>44063</v>
      </c>
      <c r="B1266" s="107">
        <v>286.10000000000002</v>
      </c>
      <c r="D1266" s="471">
        <v>43838</v>
      </c>
      <c r="E1266" s="472">
        <v>4228.3599999999997</v>
      </c>
    </row>
    <row r="1267" spans="1:5" x14ac:dyDescent="0.35">
      <c r="A1267" s="471">
        <v>44062</v>
      </c>
      <c r="B1267" s="107">
        <v>285.7</v>
      </c>
      <c r="D1267" s="471">
        <v>43837</v>
      </c>
      <c r="E1267" s="472">
        <v>4281.43</v>
      </c>
    </row>
    <row r="1268" spans="1:5" x14ac:dyDescent="0.35">
      <c r="A1268" s="471">
        <v>44061</v>
      </c>
      <c r="B1268" s="107">
        <v>283.8</v>
      </c>
      <c r="D1268" s="471">
        <v>43836</v>
      </c>
      <c r="E1268" s="472">
        <v>4331.95</v>
      </c>
    </row>
    <row r="1269" spans="1:5" x14ac:dyDescent="0.35">
      <c r="A1269" s="471">
        <v>44060</v>
      </c>
      <c r="B1269" s="107">
        <v>287.2</v>
      </c>
      <c r="D1269" s="471">
        <v>43835</v>
      </c>
      <c r="E1269" s="472">
        <v>4400.1400000000003</v>
      </c>
    </row>
    <row r="1270" spans="1:5" x14ac:dyDescent="0.35">
      <c r="A1270" s="471">
        <v>44059</v>
      </c>
      <c r="B1270" s="107">
        <v>291.7</v>
      </c>
      <c r="D1270" s="471">
        <v>43832</v>
      </c>
      <c r="E1270" s="472">
        <v>4459.29</v>
      </c>
    </row>
    <row r="1271" spans="1:5" x14ac:dyDescent="0.35">
      <c r="A1271" s="471">
        <v>44056</v>
      </c>
      <c r="B1271" s="107">
        <v>290</v>
      </c>
      <c r="D1271" s="471">
        <v>43831</v>
      </c>
      <c r="E1271" s="472">
        <v>4453.29</v>
      </c>
    </row>
    <row r="1272" spans="1:5" x14ac:dyDescent="0.35">
      <c r="A1272" s="471">
        <v>44055</v>
      </c>
      <c r="B1272" s="107">
        <v>288.3</v>
      </c>
      <c r="D1272" s="471">
        <v>43829</v>
      </c>
      <c r="E1272" s="472">
        <v>4452.93</v>
      </c>
    </row>
    <row r="1273" spans="1:5" x14ac:dyDescent="0.35">
      <c r="A1273" s="471">
        <v>44053</v>
      </c>
      <c r="B1273" s="107">
        <v>277.3</v>
      </c>
      <c r="D1273" s="471">
        <v>43828</v>
      </c>
      <c r="E1273" s="472">
        <v>4433.9399999999996</v>
      </c>
    </row>
    <row r="1274" spans="1:5" x14ac:dyDescent="0.35">
      <c r="A1274" s="471">
        <v>44052</v>
      </c>
      <c r="B1274" s="107">
        <v>271.10000000000002</v>
      </c>
      <c r="D1274" s="471">
        <v>43825</v>
      </c>
      <c r="E1274" s="472">
        <v>4418.83</v>
      </c>
    </row>
    <row r="1275" spans="1:5" x14ac:dyDescent="0.35">
      <c r="A1275" s="471">
        <v>44049</v>
      </c>
      <c r="B1275" s="107">
        <v>254.2</v>
      </c>
      <c r="D1275" s="471">
        <v>43823</v>
      </c>
      <c r="E1275" s="472">
        <v>4390.67</v>
      </c>
    </row>
    <row r="1276" spans="1:5" x14ac:dyDescent="0.35">
      <c r="A1276" s="471">
        <v>44047</v>
      </c>
      <c r="B1276" s="107">
        <v>263.5</v>
      </c>
      <c r="D1276" s="471">
        <v>43822</v>
      </c>
      <c r="E1276" s="472">
        <v>4394.4399999999996</v>
      </c>
    </row>
    <row r="1277" spans="1:5" x14ac:dyDescent="0.35">
      <c r="A1277" s="471">
        <v>44046</v>
      </c>
      <c r="B1277" s="107">
        <v>263.5</v>
      </c>
      <c r="D1277" s="471">
        <v>43821</v>
      </c>
      <c r="E1277" s="472">
        <v>4430.95</v>
      </c>
    </row>
    <row r="1278" spans="1:5" x14ac:dyDescent="0.35">
      <c r="A1278" s="471">
        <v>44042</v>
      </c>
      <c r="B1278" s="107">
        <v>258.5</v>
      </c>
      <c r="D1278" s="471">
        <v>43818</v>
      </c>
      <c r="E1278" s="472">
        <v>4456.83</v>
      </c>
    </row>
    <row r="1279" spans="1:5" x14ac:dyDescent="0.35">
      <c r="A1279" s="471">
        <v>44041</v>
      </c>
      <c r="B1279" s="107">
        <v>254.4</v>
      </c>
      <c r="D1279" s="471">
        <v>43817</v>
      </c>
      <c r="E1279" s="472">
        <v>4417.95</v>
      </c>
    </row>
    <row r="1280" spans="1:5" x14ac:dyDescent="0.35">
      <c r="A1280" s="471">
        <v>44040</v>
      </c>
      <c r="B1280" s="107">
        <v>254.2</v>
      </c>
      <c r="D1280" s="471">
        <v>43816</v>
      </c>
      <c r="E1280" s="472">
        <v>4419.82</v>
      </c>
    </row>
    <row r="1281" spans="1:5" x14ac:dyDescent="0.35">
      <c r="A1281" s="471">
        <v>44039</v>
      </c>
      <c r="B1281" s="107">
        <v>254.9</v>
      </c>
      <c r="D1281" s="471">
        <v>43814</v>
      </c>
      <c r="E1281" s="472">
        <v>4498.49</v>
      </c>
    </row>
    <row r="1282" spans="1:5" x14ac:dyDescent="0.35">
      <c r="A1282" s="471">
        <v>44038</v>
      </c>
      <c r="B1282" s="107">
        <v>258.10000000000002</v>
      </c>
      <c r="D1282" s="471">
        <v>43811</v>
      </c>
      <c r="E1282" s="472">
        <v>4514.4399999999996</v>
      </c>
    </row>
    <row r="1283" spans="1:5" x14ac:dyDescent="0.35">
      <c r="A1283" s="471">
        <v>44035</v>
      </c>
      <c r="B1283" s="107">
        <v>250.8</v>
      </c>
      <c r="D1283" s="471">
        <v>43810</v>
      </c>
      <c r="E1283" s="472">
        <v>4512.3900000000003</v>
      </c>
    </row>
    <row r="1284" spans="1:5" x14ac:dyDescent="0.35">
      <c r="A1284" s="471">
        <v>44034</v>
      </c>
      <c r="B1284" s="107">
        <v>246.7</v>
      </c>
      <c r="D1284" s="471">
        <v>43809</v>
      </c>
      <c r="E1284" s="472">
        <v>4506.93</v>
      </c>
    </row>
    <row r="1285" spans="1:5" x14ac:dyDescent="0.35">
      <c r="A1285" s="471">
        <v>44033</v>
      </c>
      <c r="B1285" s="107">
        <v>246.5</v>
      </c>
      <c r="D1285" s="471">
        <v>43808</v>
      </c>
      <c r="E1285" s="472">
        <v>4533.75</v>
      </c>
    </row>
    <row r="1286" spans="1:5" x14ac:dyDescent="0.35">
      <c r="A1286" s="471">
        <v>44032</v>
      </c>
      <c r="B1286" s="107">
        <v>245.9</v>
      </c>
      <c r="D1286" s="471">
        <v>43807</v>
      </c>
      <c r="E1286" s="472">
        <v>4596</v>
      </c>
    </row>
    <row r="1287" spans="1:5" x14ac:dyDescent="0.35">
      <c r="A1287" s="471">
        <v>44031</v>
      </c>
      <c r="B1287" s="107">
        <v>244.1</v>
      </c>
      <c r="D1287" s="471">
        <v>43804</v>
      </c>
      <c r="E1287" s="472">
        <v>4671.33</v>
      </c>
    </row>
    <row r="1288" spans="1:5" x14ac:dyDescent="0.35">
      <c r="A1288" s="471">
        <v>44028</v>
      </c>
      <c r="B1288" s="107">
        <v>241.9</v>
      </c>
      <c r="D1288" s="471">
        <v>43803</v>
      </c>
      <c r="E1288" s="472">
        <v>4702.9799999999996</v>
      </c>
    </row>
    <row r="1289" spans="1:5" x14ac:dyDescent="0.35">
      <c r="A1289" s="471">
        <v>44027</v>
      </c>
      <c r="B1289" s="107">
        <v>242.1</v>
      </c>
      <c r="D1289" s="471">
        <v>43802</v>
      </c>
      <c r="E1289" s="472">
        <v>4697.3500000000004</v>
      </c>
    </row>
    <row r="1290" spans="1:5" x14ac:dyDescent="0.35">
      <c r="A1290" s="471">
        <v>44026</v>
      </c>
      <c r="B1290" s="107">
        <v>239.1</v>
      </c>
      <c r="D1290" s="471">
        <v>43801</v>
      </c>
      <c r="E1290" s="472">
        <v>4734.59</v>
      </c>
    </row>
    <row r="1291" spans="1:5" x14ac:dyDescent="0.35">
      <c r="A1291" s="471">
        <v>44025</v>
      </c>
      <c r="B1291" s="107">
        <v>239.9</v>
      </c>
      <c r="D1291" s="471">
        <v>43800</v>
      </c>
      <c r="E1291" s="472">
        <v>4758.8100000000004</v>
      </c>
    </row>
    <row r="1292" spans="1:5" x14ac:dyDescent="0.35">
      <c r="A1292" s="471">
        <v>44024</v>
      </c>
      <c r="B1292" s="107">
        <v>244.2</v>
      </c>
      <c r="D1292" s="471">
        <v>43797</v>
      </c>
      <c r="E1292" s="472">
        <v>4731.43</v>
      </c>
    </row>
    <row r="1293" spans="1:5" x14ac:dyDescent="0.35">
      <c r="A1293" s="471">
        <v>44021</v>
      </c>
      <c r="B1293" s="107">
        <v>239.8</v>
      </c>
      <c r="D1293" s="471">
        <v>43796</v>
      </c>
      <c r="E1293" s="472">
        <v>4730.34</v>
      </c>
    </row>
    <row r="1294" spans="1:5" x14ac:dyDescent="0.35">
      <c r="A1294" s="471">
        <v>44020</v>
      </c>
      <c r="B1294" s="107">
        <v>238.8</v>
      </c>
      <c r="D1294" s="471">
        <v>43795</v>
      </c>
      <c r="E1294" s="472">
        <v>4722.3</v>
      </c>
    </row>
    <row r="1295" spans="1:5" x14ac:dyDescent="0.35">
      <c r="A1295" s="471">
        <v>44019</v>
      </c>
      <c r="B1295" s="107">
        <v>238.8</v>
      </c>
      <c r="D1295" s="471">
        <v>43794</v>
      </c>
      <c r="E1295" s="472">
        <v>4693.62</v>
      </c>
    </row>
    <row r="1296" spans="1:5" x14ac:dyDescent="0.35">
      <c r="A1296" s="471">
        <v>44018</v>
      </c>
      <c r="B1296" s="107">
        <v>238.8</v>
      </c>
      <c r="D1296" s="471">
        <v>43793</v>
      </c>
      <c r="E1296" s="472">
        <v>4688.42</v>
      </c>
    </row>
    <row r="1297" spans="1:5" x14ac:dyDescent="0.35">
      <c r="A1297" s="471">
        <v>44017</v>
      </c>
      <c r="B1297" s="107">
        <v>238.8</v>
      </c>
      <c r="D1297" s="471">
        <v>43790</v>
      </c>
      <c r="E1297" s="472">
        <v>4706.66</v>
      </c>
    </row>
    <row r="1298" spans="1:5" x14ac:dyDescent="0.35">
      <c r="A1298" s="471">
        <v>44014</v>
      </c>
      <c r="B1298" s="107">
        <v>238.8</v>
      </c>
      <c r="D1298" s="471">
        <v>43789</v>
      </c>
      <c r="E1298" s="472">
        <v>4691.93</v>
      </c>
    </row>
    <row r="1299" spans="1:5" x14ac:dyDescent="0.35">
      <c r="A1299" s="471">
        <v>44012</v>
      </c>
      <c r="B1299" s="107">
        <v>238.8</v>
      </c>
      <c r="D1299" s="471">
        <v>43788</v>
      </c>
      <c r="E1299" s="472">
        <v>4722.37</v>
      </c>
    </row>
    <row r="1300" spans="1:5" x14ac:dyDescent="0.35">
      <c r="A1300" s="471">
        <v>44011</v>
      </c>
      <c r="B1300" s="107">
        <v>238.8</v>
      </c>
      <c r="D1300" s="471">
        <v>43787</v>
      </c>
      <c r="E1300" s="472">
        <v>4722.01</v>
      </c>
    </row>
    <row r="1301" spans="1:5" x14ac:dyDescent="0.35">
      <c r="A1301" s="471">
        <v>44010</v>
      </c>
      <c r="B1301" s="107">
        <v>238.8</v>
      </c>
      <c r="D1301" s="471">
        <v>43786</v>
      </c>
      <c r="E1301" s="472">
        <v>4717.3900000000003</v>
      </c>
    </row>
    <row r="1302" spans="1:5" x14ac:dyDescent="0.35">
      <c r="A1302" s="471">
        <v>44007</v>
      </c>
      <c r="B1302" s="107">
        <v>238.8</v>
      </c>
      <c r="D1302" s="471">
        <v>43783</v>
      </c>
      <c r="E1302" s="472">
        <v>4710.3599999999997</v>
      </c>
    </row>
    <row r="1303" spans="1:5" x14ac:dyDescent="0.35">
      <c r="A1303" s="471">
        <v>44006</v>
      </c>
      <c r="B1303" s="107">
        <v>238.8</v>
      </c>
      <c r="D1303" s="471">
        <v>43782</v>
      </c>
      <c r="E1303" s="472">
        <v>4737.17</v>
      </c>
    </row>
    <row r="1304" spans="1:5" x14ac:dyDescent="0.35">
      <c r="A1304" s="471">
        <v>44005</v>
      </c>
      <c r="B1304" s="107">
        <v>238.8</v>
      </c>
      <c r="D1304" s="471">
        <v>43781</v>
      </c>
      <c r="E1304" s="472">
        <v>4779.18</v>
      </c>
    </row>
    <row r="1305" spans="1:5" x14ac:dyDescent="0.35">
      <c r="A1305" s="471">
        <v>44004</v>
      </c>
      <c r="B1305" s="107">
        <v>238.8</v>
      </c>
      <c r="D1305" s="471">
        <v>43780</v>
      </c>
      <c r="E1305" s="472">
        <v>4781.47</v>
      </c>
    </row>
    <row r="1306" spans="1:5" x14ac:dyDescent="0.35">
      <c r="A1306" s="471">
        <v>44003</v>
      </c>
      <c r="B1306" s="107">
        <v>238.8</v>
      </c>
      <c r="D1306" s="471">
        <v>43776</v>
      </c>
      <c r="E1306" s="472">
        <v>4771.91</v>
      </c>
    </row>
    <row r="1307" spans="1:5" x14ac:dyDescent="0.35">
      <c r="A1307" s="471">
        <v>44000</v>
      </c>
      <c r="B1307" s="107">
        <v>238.8</v>
      </c>
      <c r="D1307" s="471">
        <v>43775</v>
      </c>
      <c r="E1307" s="472">
        <v>4754.6899999999996</v>
      </c>
    </row>
    <row r="1308" spans="1:5" x14ac:dyDescent="0.35">
      <c r="A1308" s="471">
        <v>43999</v>
      </c>
      <c r="B1308" s="107">
        <v>238.8</v>
      </c>
      <c r="D1308" s="471">
        <v>43774</v>
      </c>
      <c r="E1308" s="472">
        <v>4703.7</v>
      </c>
    </row>
    <row r="1309" spans="1:5" x14ac:dyDescent="0.35">
      <c r="A1309" s="471">
        <v>43998</v>
      </c>
      <c r="B1309" s="107">
        <v>238.8</v>
      </c>
      <c r="D1309" s="471">
        <v>43773</v>
      </c>
      <c r="E1309" s="472">
        <v>4678.3599999999997</v>
      </c>
    </row>
    <row r="1310" spans="1:5" x14ac:dyDescent="0.35">
      <c r="A1310" s="471">
        <v>43997</v>
      </c>
      <c r="B1310" s="107">
        <v>238.8</v>
      </c>
      <c r="D1310" s="471">
        <v>43772</v>
      </c>
      <c r="E1310" s="472">
        <v>4712.08</v>
      </c>
    </row>
    <row r="1311" spans="1:5" x14ac:dyDescent="0.35">
      <c r="A1311" s="471">
        <v>43996</v>
      </c>
      <c r="B1311" s="107">
        <v>238.8</v>
      </c>
      <c r="D1311" s="471">
        <v>43769</v>
      </c>
      <c r="E1311" s="472">
        <v>4682.8999999999996</v>
      </c>
    </row>
    <row r="1312" spans="1:5" x14ac:dyDescent="0.35">
      <c r="A1312" s="471">
        <v>43993</v>
      </c>
      <c r="B1312" s="107">
        <v>238.8</v>
      </c>
      <c r="D1312" s="471">
        <v>43768</v>
      </c>
      <c r="E1312" s="472">
        <v>4683.2</v>
      </c>
    </row>
    <row r="1313" spans="1:5" x14ac:dyDescent="0.35">
      <c r="A1313" s="471">
        <v>43992</v>
      </c>
      <c r="B1313" s="107">
        <v>238.8</v>
      </c>
      <c r="D1313" s="471">
        <v>43767</v>
      </c>
      <c r="E1313" s="472">
        <v>4670.74</v>
      </c>
    </row>
    <row r="1314" spans="1:5" x14ac:dyDescent="0.35">
      <c r="A1314" s="471">
        <v>43991</v>
      </c>
      <c r="B1314" s="107">
        <v>238.8</v>
      </c>
      <c r="D1314" s="471">
        <v>43766</v>
      </c>
      <c r="E1314" s="472">
        <v>4699.22</v>
      </c>
    </row>
    <row r="1315" spans="1:5" x14ac:dyDescent="0.35">
      <c r="A1315" s="471">
        <v>43990</v>
      </c>
      <c r="B1315" s="107">
        <v>238.8</v>
      </c>
      <c r="D1315" s="471">
        <v>43765</v>
      </c>
      <c r="E1315" s="472">
        <v>4752.6400000000003</v>
      </c>
    </row>
    <row r="1316" spans="1:5" x14ac:dyDescent="0.35">
      <c r="A1316" s="471">
        <v>43989</v>
      </c>
      <c r="B1316" s="107">
        <v>238.9</v>
      </c>
      <c r="D1316" s="471">
        <v>43762</v>
      </c>
      <c r="E1316" s="472">
        <v>4772</v>
      </c>
    </row>
    <row r="1317" spans="1:5" x14ac:dyDescent="0.35">
      <c r="A1317" s="471">
        <v>43986</v>
      </c>
      <c r="B1317" s="107">
        <v>239</v>
      </c>
      <c r="D1317" s="471">
        <v>43761</v>
      </c>
      <c r="E1317" s="472">
        <v>4726.62</v>
      </c>
    </row>
    <row r="1318" spans="1:5" x14ac:dyDescent="0.35">
      <c r="A1318" s="471">
        <v>43985</v>
      </c>
      <c r="B1318" s="107">
        <v>238.9</v>
      </c>
      <c r="D1318" s="471">
        <v>43760</v>
      </c>
      <c r="E1318" s="472">
        <v>4708.68</v>
      </c>
    </row>
    <row r="1319" spans="1:5" x14ac:dyDescent="0.35">
      <c r="A1319" s="471">
        <v>43984</v>
      </c>
      <c r="B1319" s="107">
        <v>240</v>
      </c>
      <c r="D1319" s="471">
        <v>43759</v>
      </c>
      <c r="E1319" s="472">
        <v>4761.42</v>
      </c>
    </row>
    <row r="1320" spans="1:5" x14ac:dyDescent="0.35">
      <c r="A1320" s="471">
        <v>43983</v>
      </c>
      <c r="B1320" s="107">
        <v>243.5</v>
      </c>
      <c r="D1320" s="471">
        <v>43758</v>
      </c>
      <c r="E1320" s="472">
        <v>4782.09</v>
      </c>
    </row>
    <row r="1321" spans="1:5" x14ac:dyDescent="0.35">
      <c r="A1321" s="471">
        <v>43982</v>
      </c>
      <c r="B1321" s="107">
        <v>255.9</v>
      </c>
      <c r="D1321" s="471">
        <v>43755</v>
      </c>
      <c r="E1321" s="472">
        <v>4770.99</v>
      </c>
    </row>
    <row r="1322" spans="1:5" x14ac:dyDescent="0.35">
      <c r="A1322" s="471">
        <v>43919</v>
      </c>
      <c r="B1322" s="107">
        <v>238.8</v>
      </c>
      <c r="D1322" s="471">
        <v>43754</v>
      </c>
      <c r="E1322" s="472">
        <v>4781.62</v>
      </c>
    </row>
    <row r="1323" spans="1:5" x14ac:dyDescent="0.35">
      <c r="A1323" s="471">
        <v>43915</v>
      </c>
      <c r="B1323" s="107">
        <v>238.8</v>
      </c>
      <c r="D1323" s="471">
        <v>43753</v>
      </c>
      <c r="E1323" s="472">
        <v>4821.6400000000003</v>
      </c>
    </row>
    <row r="1324" spans="1:5" x14ac:dyDescent="0.35">
      <c r="A1324" s="471">
        <v>43914</v>
      </c>
      <c r="B1324" s="107">
        <v>238.8</v>
      </c>
      <c r="D1324" s="471">
        <v>43752</v>
      </c>
      <c r="E1324" s="472">
        <v>4711.3</v>
      </c>
    </row>
    <row r="1325" spans="1:5" x14ac:dyDescent="0.35">
      <c r="A1325" s="471">
        <v>43913</v>
      </c>
      <c r="B1325" s="107">
        <v>238.8</v>
      </c>
      <c r="D1325" s="471">
        <v>43751</v>
      </c>
      <c r="E1325" s="472">
        <v>4761.87</v>
      </c>
    </row>
    <row r="1326" spans="1:5" x14ac:dyDescent="0.35">
      <c r="A1326" s="471">
        <v>43912</v>
      </c>
      <c r="B1326" s="107">
        <v>238.8</v>
      </c>
      <c r="D1326" s="471">
        <v>43748</v>
      </c>
      <c r="E1326" s="472">
        <v>4810.21</v>
      </c>
    </row>
    <row r="1327" spans="1:5" x14ac:dyDescent="0.35">
      <c r="A1327" s="471">
        <v>43909</v>
      </c>
      <c r="B1327" s="107">
        <v>235.5</v>
      </c>
      <c r="D1327" s="471">
        <v>43747</v>
      </c>
      <c r="E1327" s="472">
        <v>4862.25</v>
      </c>
    </row>
    <row r="1328" spans="1:5" x14ac:dyDescent="0.35">
      <c r="A1328" s="471">
        <v>43908</v>
      </c>
      <c r="B1328" s="107">
        <v>219.5</v>
      </c>
      <c r="D1328" s="471">
        <v>43745</v>
      </c>
      <c r="E1328" s="472">
        <v>4894.3100000000004</v>
      </c>
    </row>
    <row r="1329" spans="1:5" x14ac:dyDescent="0.35">
      <c r="A1329" s="471">
        <v>43906</v>
      </c>
      <c r="B1329" s="107">
        <v>229.8</v>
      </c>
      <c r="D1329" s="471">
        <v>43744</v>
      </c>
      <c r="E1329" s="472">
        <v>4916.68</v>
      </c>
    </row>
    <row r="1330" spans="1:5" x14ac:dyDescent="0.35">
      <c r="A1330" s="471">
        <v>43905</v>
      </c>
      <c r="B1330" s="107">
        <v>241.2</v>
      </c>
      <c r="D1330" s="471">
        <v>43741</v>
      </c>
      <c r="E1330" s="472">
        <v>4937.82</v>
      </c>
    </row>
    <row r="1331" spans="1:5" x14ac:dyDescent="0.35">
      <c r="A1331" s="471">
        <v>43902</v>
      </c>
      <c r="B1331" s="107">
        <v>248</v>
      </c>
      <c r="D1331" s="471">
        <v>43740</v>
      </c>
      <c r="E1331" s="472">
        <v>4936.37</v>
      </c>
    </row>
    <row r="1332" spans="1:5" x14ac:dyDescent="0.35">
      <c r="A1332" s="471">
        <v>43901</v>
      </c>
      <c r="B1332" s="107">
        <v>255.5</v>
      </c>
      <c r="D1332" s="471">
        <v>43739</v>
      </c>
      <c r="E1332" s="472">
        <v>4949.3900000000003</v>
      </c>
    </row>
    <row r="1333" spans="1:5" x14ac:dyDescent="0.35">
      <c r="A1333" s="471">
        <v>43900</v>
      </c>
      <c r="B1333" s="107">
        <v>253.3</v>
      </c>
      <c r="D1333" s="471">
        <v>43738</v>
      </c>
      <c r="E1333" s="472">
        <v>4947.63</v>
      </c>
    </row>
    <row r="1334" spans="1:5" x14ac:dyDescent="0.35">
      <c r="A1334" s="471">
        <v>43899</v>
      </c>
      <c r="B1334" s="107">
        <v>250.1</v>
      </c>
      <c r="D1334" s="471">
        <v>43737</v>
      </c>
      <c r="E1334" s="472">
        <v>4975.7299999999996</v>
      </c>
    </row>
    <row r="1335" spans="1:5" x14ac:dyDescent="0.35">
      <c r="A1335" s="471">
        <v>43898</v>
      </c>
      <c r="B1335" s="107">
        <v>265.7</v>
      </c>
      <c r="D1335" s="471">
        <v>43734</v>
      </c>
      <c r="E1335" s="472">
        <v>4968.46</v>
      </c>
    </row>
    <row r="1336" spans="1:5" x14ac:dyDescent="0.35">
      <c r="A1336" s="471">
        <v>43895</v>
      </c>
      <c r="B1336" s="107">
        <v>263.8</v>
      </c>
      <c r="D1336" s="471">
        <v>43733</v>
      </c>
      <c r="E1336" s="472">
        <v>4951.7299999999996</v>
      </c>
    </row>
    <row r="1337" spans="1:5" x14ac:dyDescent="0.35">
      <c r="A1337" s="471">
        <v>43894</v>
      </c>
      <c r="B1337" s="107">
        <v>269.89999999999998</v>
      </c>
      <c r="D1337" s="471">
        <v>43732</v>
      </c>
      <c r="E1337" s="472">
        <v>4958.72</v>
      </c>
    </row>
    <row r="1338" spans="1:5" x14ac:dyDescent="0.35">
      <c r="A1338" s="471">
        <v>43893</v>
      </c>
      <c r="B1338" s="107">
        <v>268.5</v>
      </c>
      <c r="D1338" s="471">
        <v>43731</v>
      </c>
      <c r="E1338" s="472">
        <v>5000.2299999999996</v>
      </c>
    </row>
    <row r="1339" spans="1:5" x14ac:dyDescent="0.35">
      <c r="A1339" s="471">
        <v>43892</v>
      </c>
      <c r="B1339" s="107">
        <v>271.39999999999998</v>
      </c>
      <c r="D1339" s="471">
        <v>43730</v>
      </c>
      <c r="E1339" s="472">
        <v>4920.96</v>
      </c>
    </row>
    <row r="1340" spans="1:5" x14ac:dyDescent="0.35">
      <c r="A1340" s="471">
        <v>43891</v>
      </c>
      <c r="B1340" s="107">
        <v>270.5</v>
      </c>
      <c r="D1340" s="471">
        <v>43727</v>
      </c>
      <c r="E1340" s="472">
        <v>4855.9799999999996</v>
      </c>
    </row>
    <row r="1341" spans="1:5" x14ac:dyDescent="0.35">
      <c r="A1341" s="471">
        <v>43888</v>
      </c>
      <c r="B1341" s="107">
        <v>274.39999999999998</v>
      </c>
      <c r="D1341" s="471">
        <v>43726</v>
      </c>
      <c r="E1341" s="472">
        <v>4888.01</v>
      </c>
    </row>
    <row r="1342" spans="1:5" x14ac:dyDescent="0.35">
      <c r="A1342" s="471">
        <v>43887</v>
      </c>
      <c r="B1342" s="107">
        <v>288.10000000000002</v>
      </c>
      <c r="D1342" s="471">
        <v>43725</v>
      </c>
      <c r="E1342" s="472">
        <v>4928.9799999999996</v>
      </c>
    </row>
    <row r="1343" spans="1:5" x14ac:dyDescent="0.35">
      <c r="A1343" s="471">
        <v>43886</v>
      </c>
      <c r="B1343" s="107">
        <v>292.39999999999998</v>
      </c>
      <c r="D1343" s="471">
        <v>43724</v>
      </c>
      <c r="E1343" s="472">
        <v>4959.7299999999996</v>
      </c>
    </row>
    <row r="1344" spans="1:5" x14ac:dyDescent="0.35">
      <c r="A1344" s="471">
        <v>43885</v>
      </c>
      <c r="B1344" s="107">
        <v>298.39999999999998</v>
      </c>
      <c r="D1344" s="471">
        <v>43723</v>
      </c>
      <c r="E1344" s="472">
        <v>4942.2299999999996</v>
      </c>
    </row>
    <row r="1345" spans="1:5" x14ac:dyDescent="0.35">
      <c r="A1345" s="471">
        <v>43884</v>
      </c>
      <c r="B1345" s="107">
        <v>319.60000000000002</v>
      </c>
      <c r="D1345" s="471">
        <v>43720</v>
      </c>
      <c r="E1345" s="472">
        <v>4933.8900000000003</v>
      </c>
    </row>
    <row r="1346" spans="1:5" x14ac:dyDescent="0.35">
      <c r="A1346" s="471">
        <v>43881</v>
      </c>
      <c r="B1346" s="107">
        <v>295.60000000000002</v>
      </c>
      <c r="D1346" s="471">
        <v>43719</v>
      </c>
      <c r="E1346" s="472">
        <v>4933.17</v>
      </c>
    </row>
    <row r="1347" spans="1:5" x14ac:dyDescent="0.35">
      <c r="A1347" s="471">
        <v>43880</v>
      </c>
      <c r="B1347" s="107">
        <v>284.89999999999998</v>
      </c>
      <c r="D1347" s="471">
        <v>43717</v>
      </c>
      <c r="E1347" s="472">
        <v>5008.96</v>
      </c>
    </row>
    <row r="1348" spans="1:5" x14ac:dyDescent="0.35">
      <c r="A1348" s="471">
        <v>43879</v>
      </c>
      <c r="B1348" s="107">
        <v>264.5</v>
      </c>
      <c r="D1348" s="471">
        <v>43716</v>
      </c>
      <c r="E1348" s="472">
        <v>5033.79</v>
      </c>
    </row>
    <row r="1349" spans="1:5" x14ac:dyDescent="0.35">
      <c r="A1349" s="471">
        <v>43877</v>
      </c>
      <c r="B1349" s="107">
        <v>262</v>
      </c>
      <c r="D1349" s="471">
        <v>43713</v>
      </c>
      <c r="E1349" s="472">
        <v>5013.01</v>
      </c>
    </row>
    <row r="1350" spans="1:5" x14ac:dyDescent="0.35">
      <c r="A1350" s="471">
        <v>43874</v>
      </c>
      <c r="B1350" s="107">
        <v>258.8</v>
      </c>
      <c r="D1350" s="471">
        <v>43712</v>
      </c>
      <c r="E1350" s="472">
        <v>4986.37</v>
      </c>
    </row>
    <row r="1351" spans="1:5" x14ac:dyDescent="0.35">
      <c r="A1351" s="471">
        <v>43873</v>
      </c>
      <c r="B1351" s="107">
        <v>258.39999999999998</v>
      </c>
      <c r="D1351" s="471">
        <v>43711</v>
      </c>
      <c r="E1351" s="472">
        <v>5007.05</v>
      </c>
    </row>
    <row r="1352" spans="1:5" x14ac:dyDescent="0.35">
      <c r="A1352" s="471">
        <v>43872</v>
      </c>
      <c r="B1352" s="107">
        <v>260.89999999999998</v>
      </c>
      <c r="D1352" s="471">
        <v>43710</v>
      </c>
      <c r="E1352" s="472">
        <v>5033.53</v>
      </c>
    </row>
    <row r="1353" spans="1:5" x14ac:dyDescent="0.35">
      <c r="A1353" s="471">
        <v>43871</v>
      </c>
      <c r="B1353" s="107">
        <v>256.2</v>
      </c>
      <c r="D1353" s="471">
        <v>43709</v>
      </c>
      <c r="E1353" s="472">
        <v>5070.68</v>
      </c>
    </row>
    <row r="1354" spans="1:5" x14ac:dyDescent="0.35">
      <c r="A1354" s="471">
        <v>43870</v>
      </c>
      <c r="B1354" s="107">
        <v>258.5</v>
      </c>
      <c r="D1354" s="471">
        <v>43706</v>
      </c>
      <c r="E1354" s="472">
        <v>5095.7700000000004</v>
      </c>
    </row>
    <row r="1355" spans="1:5" x14ac:dyDescent="0.35">
      <c r="A1355" s="471">
        <v>43867</v>
      </c>
      <c r="B1355" s="107">
        <v>260.7</v>
      </c>
      <c r="D1355" s="471">
        <v>43705</v>
      </c>
      <c r="E1355" s="472">
        <v>5139.99</v>
      </c>
    </row>
    <row r="1356" spans="1:5" x14ac:dyDescent="0.35">
      <c r="A1356" s="471">
        <v>43866</v>
      </c>
      <c r="B1356" s="107">
        <v>262.8</v>
      </c>
      <c r="D1356" s="471">
        <v>43704</v>
      </c>
      <c r="E1356" s="472">
        <v>5178.7</v>
      </c>
    </row>
    <row r="1357" spans="1:5" x14ac:dyDescent="0.35">
      <c r="A1357" s="471">
        <v>43865</v>
      </c>
      <c r="B1357" s="107">
        <v>268.2</v>
      </c>
      <c r="D1357" s="471">
        <v>43703</v>
      </c>
      <c r="E1357" s="472">
        <v>5165.76</v>
      </c>
    </row>
    <row r="1358" spans="1:5" x14ac:dyDescent="0.35">
      <c r="A1358" s="471">
        <v>43864</v>
      </c>
      <c r="B1358" s="107">
        <v>272.7</v>
      </c>
      <c r="D1358" s="471">
        <v>43702</v>
      </c>
      <c r="E1358" s="472">
        <v>5223.72</v>
      </c>
    </row>
    <row r="1359" spans="1:5" x14ac:dyDescent="0.35">
      <c r="A1359" s="471">
        <v>43863</v>
      </c>
      <c r="B1359" s="107">
        <v>257.60000000000002</v>
      </c>
      <c r="D1359" s="471">
        <v>43699</v>
      </c>
      <c r="E1359" s="472">
        <v>5236.8500000000004</v>
      </c>
    </row>
    <row r="1360" spans="1:5" x14ac:dyDescent="0.35">
      <c r="A1360" s="471">
        <v>43860</v>
      </c>
      <c r="B1360" s="107">
        <v>257.8</v>
      </c>
      <c r="D1360" s="471">
        <v>43698</v>
      </c>
      <c r="E1360" s="472">
        <v>5223.41</v>
      </c>
    </row>
    <row r="1361" spans="1:5" x14ac:dyDescent="0.35">
      <c r="A1361" s="471">
        <v>43859</v>
      </c>
      <c r="B1361" s="107">
        <v>261.10000000000002</v>
      </c>
      <c r="D1361" s="471">
        <v>43697</v>
      </c>
      <c r="E1361" s="472">
        <v>5227.49</v>
      </c>
    </row>
    <row r="1362" spans="1:5" x14ac:dyDescent="0.35">
      <c r="A1362" s="471">
        <v>43858</v>
      </c>
      <c r="B1362" s="107">
        <v>266.39999999999998</v>
      </c>
      <c r="D1362" s="471">
        <v>43696</v>
      </c>
      <c r="E1362" s="472">
        <v>5227.26</v>
      </c>
    </row>
    <row r="1363" spans="1:5" x14ac:dyDescent="0.35">
      <c r="A1363" s="471">
        <v>43857</v>
      </c>
      <c r="B1363" s="107">
        <v>271.39999999999998</v>
      </c>
      <c r="D1363" s="471">
        <v>43695</v>
      </c>
      <c r="E1363" s="472">
        <v>5216.53</v>
      </c>
    </row>
    <row r="1364" spans="1:5" x14ac:dyDescent="0.35">
      <c r="A1364" s="471">
        <v>43856</v>
      </c>
      <c r="B1364" s="107">
        <v>267.39999999999998</v>
      </c>
      <c r="D1364" s="471">
        <v>43685</v>
      </c>
      <c r="E1364" s="472">
        <v>5201.42</v>
      </c>
    </row>
    <row r="1365" spans="1:5" x14ac:dyDescent="0.35">
      <c r="A1365" s="471">
        <v>43853</v>
      </c>
      <c r="B1365" s="107">
        <v>272</v>
      </c>
      <c r="D1365" s="471">
        <v>43684</v>
      </c>
      <c r="E1365" s="472">
        <v>5187.2</v>
      </c>
    </row>
    <row r="1366" spans="1:5" x14ac:dyDescent="0.35">
      <c r="A1366" s="471">
        <v>43852</v>
      </c>
      <c r="B1366" s="107">
        <v>269.3</v>
      </c>
      <c r="D1366" s="471">
        <v>43683</v>
      </c>
      <c r="E1366" s="472">
        <v>5187.29</v>
      </c>
    </row>
    <row r="1367" spans="1:5" x14ac:dyDescent="0.35">
      <c r="A1367" s="471">
        <v>43851</v>
      </c>
      <c r="B1367" s="107">
        <v>272.8</v>
      </c>
      <c r="D1367" s="471">
        <v>43682</v>
      </c>
      <c r="E1367" s="472">
        <v>5160.37</v>
      </c>
    </row>
    <row r="1368" spans="1:5" x14ac:dyDescent="0.35">
      <c r="A1368" s="471">
        <v>43850</v>
      </c>
      <c r="B1368" s="107">
        <v>278.60000000000002</v>
      </c>
      <c r="D1368" s="471">
        <v>43681</v>
      </c>
      <c r="E1368" s="472">
        <v>5172.8599999999997</v>
      </c>
    </row>
    <row r="1369" spans="1:5" x14ac:dyDescent="0.35">
      <c r="A1369" s="471">
        <v>43849</v>
      </c>
      <c r="B1369" s="107">
        <v>263.3</v>
      </c>
      <c r="D1369" s="471">
        <v>43678</v>
      </c>
      <c r="E1369" s="472">
        <v>5169.7299999999996</v>
      </c>
    </row>
    <row r="1370" spans="1:5" x14ac:dyDescent="0.35">
      <c r="A1370" s="471">
        <v>43846</v>
      </c>
      <c r="B1370" s="107">
        <v>242.2</v>
      </c>
      <c r="D1370" s="471">
        <v>43677</v>
      </c>
      <c r="E1370" s="472">
        <v>5138.79</v>
      </c>
    </row>
    <row r="1371" spans="1:5" x14ac:dyDescent="0.35">
      <c r="A1371" s="471">
        <v>43845</v>
      </c>
      <c r="B1371" s="107">
        <v>231.4</v>
      </c>
      <c r="D1371" s="471">
        <v>43676</v>
      </c>
      <c r="E1371" s="472">
        <v>5125.0200000000004</v>
      </c>
    </row>
    <row r="1372" spans="1:5" x14ac:dyDescent="0.35">
      <c r="A1372" s="471">
        <v>43844</v>
      </c>
      <c r="B1372" s="107">
        <v>234.2</v>
      </c>
      <c r="D1372" s="471">
        <v>43675</v>
      </c>
      <c r="E1372" s="472">
        <v>5160.74</v>
      </c>
    </row>
    <row r="1373" spans="1:5" x14ac:dyDescent="0.35">
      <c r="A1373" s="471">
        <v>43843</v>
      </c>
      <c r="B1373" s="107">
        <v>241.2</v>
      </c>
      <c r="D1373" s="471">
        <v>43674</v>
      </c>
      <c r="E1373" s="472">
        <v>5133.93</v>
      </c>
    </row>
    <row r="1374" spans="1:5" x14ac:dyDescent="0.35">
      <c r="A1374" s="471">
        <v>43842</v>
      </c>
      <c r="B1374" s="107">
        <v>253</v>
      </c>
      <c r="D1374" s="471">
        <v>43671</v>
      </c>
      <c r="E1374" s="472">
        <v>5133.25</v>
      </c>
    </row>
    <row r="1375" spans="1:5" x14ac:dyDescent="0.35">
      <c r="A1375" s="471">
        <v>43839</v>
      </c>
      <c r="B1375" s="107">
        <v>250.8</v>
      </c>
      <c r="D1375" s="471">
        <v>43670</v>
      </c>
      <c r="E1375" s="472">
        <v>5077.28</v>
      </c>
    </row>
    <row r="1376" spans="1:5" x14ac:dyDescent="0.35">
      <c r="A1376" s="471">
        <v>43838</v>
      </c>
      <c r="B1376" s="107">
        <v>259.7</v>
      </c>
      <c r="D1376" s="471">
        <v>43669</v>
      </c>
      <c r="E1376" s="472">
        <v>5077.75</v>
      </c>
    </row>
    <row r="1377" spans="1:5" x14ac:dyDescent="0.35">
      <c r="A1377" s="471">
        <v>43837</v>
      </c>
      <c r="B1377" s="107">
        <v>272</v>
      </c>
      <c r="D1377" s="471">
        <v>43668</v>
      </c>
      <c r="E1377" s="472">
        <v>4966.4399999999996</v>
      </c>
    </row>
    <row r="1378" spans="1:5" x14ac:dyDescent="0.35">
      <c r="A1378" s="471">
        <v>43836</v>
      </c>
      <c r="B1378" s="107">
        <v>275</v>
      </c>
      <c r="D1378" s="471">
        <v>43667</v>
      </c>
      <c r="E1378" s="472">
        <v>5033.74</v>
      </c>
    </row>
    <row r="1379" spans="1:5" x14ac:dyDescent="0.35">
      <c r="A1379" s="471">
        <v>43835</v>
      </c>
      <c r="B1379" s="107">
        <v>282.39999999999998</v>
      </c>
      <c r="D1379" s="471">
        <v>43664</v>
      </c>
      <c r="E1379" s="472">
        <v>5130.6899999999996</v>
      </c>
    </row>
    <row r="1380" spans="1:5" x14ac:dyDescent="0.35">
      <c r="A1380" s="471">
        <v>43832</v>
      </c>
      <c r="B1380" s="107">
        <v>282.89999999999998</v>
      </c>
      <c r="D1380" s="471">
        <v>43663</v>
      </c>
      <c r="E1380" s="472">
        <v>5133.13</v>
      </c>
    </row>
    <row r="1381" spans="1:5" x14ac:dyDescent="0.35">
      <c r="A1381" s="471">
        <v>43831</v>
      </c>
      <c r="B1381" s="107">
        <v>281.39999999999998</v>
      </c>
      <c r="D1381" s="471">
        <v>43662</v>
      </c>
      <c r="E1381" s="472">
        <v>5124.4399999999996</v>
      </c>
    </row>
    <row r="1382" spans="1:5" x14ac:dyDescent="0.35">
      <c r="A1382" s="471">
        <v>43829</v>
      </c>
      <c r="B1382" s="107">
        <v>285.8</v>
      </c>
      <c r="D1382" s="471">
        <v>43661</v>
      </c>
      <c r="E1382" s="472">
        <v>5091.4799999999996</v>
      </c>
    </row>
    <row r="1383" spans="1:5" x14ac:dyDescent="0.35">
      <c r="A1383" s="471">
        <v>43828</v>
      </c>
      <c r="B1383" s="107">
        <v>285.8</v>
      </c>
      <c r="D1383" s="471">
        <v>43660</v>
      </c>
      <c r="E1383" s="472">
        <v>5179.49</v>
      </c>
    </row>
    <row r="1384" spans="1:5" x14ac:dyDescent="0.35">
      <c r="A1384" s="471">
        <v>43825</v>
      </c>
      <c r="B1384" s="107">
        <v>286.89999999999998</v>
      </c>
      <c r="D1384" s="471">
        <v>43657</v>
      </c>
      <c r="E1384" s="472">
        <v>5222.3</v>
      </c>
    </row>
    <row r="1385" spans="1:5" x14ac:dyDescent="0.35">
      <c r="A1385" s="471">
        <v>43823</v>
      </c>
      <c r="B1385" s="107">
        <v>287.2</v>
      </c>
      <c r="D1385" s="471">
        <v>43656</v>
      </c>
      <c r="E1385" s="472">
        <v>5230.63</v>
      </c>
    </row>
    <row r="1386" spans="1:5" x14ac:dyDescent="0.35">
      <c r="A1386" s="471">
        <v>43822</v>
      </c>
      <c r="B1386" s="107">
        <v>288.8</v>
      </c>
      <c r="D1386" s="471">
        <v>43655</v>
      </c>
      <c r="E1386" s="472">
        <v>5280.04</v>
      </c>
    </row>
    <row r="1387" spans="1:5" x14ac:dyDescent="0.35">
      <c r="A1387" s="471">
        <v>43821</v>
      </c>
      <c r="B1387" s="107">
        <v>284.2</v>
      </c>
      <c r="D1387" s="471">
        <v>43654</v>
      </c>
      <c r="E1387" s="472">
        <v>5318.61</v>
      </c>
    </row>
    <row r="1388" spans="1:5" x14ac:dyDescent="0.35">
      <c r="A1388" s="471">
        <v>43818</v>
      </c>
      <c r="B1388" s="107">
        <v>293.3</v>
      </c>
      <c r="D1388" s="471">
        <v>43653</v>
      </c>
      <c r="E1388" s="472">
        <v>5333.08</v>
      </c>
    </row>
    <row r="1389" spans="1:5" x14ac:dyDescent="0.35">
      <c r="A1389" s="471">
        <v>43817</v>
      </c>
      <c r="B1389" s="107">
        <v>290</v>
      </c>
      <c r="D1389" s="471">
        <v>43650</v>
      </c>
      <c r="E1389" s="472">
        <v>5380.79</v>
      </c>
    </row>
    <row r="1390" spans="1:5" x14ac:dyDescent="0.35">
      <c r="A1390" s="471">
        <v>43816</v>
      </c>
      <c r="B1390" s="107">
        <v>291.10000000000002</v>
      </c>
      <c r="D1390" s="471">
        <v>43649</v>
      </c>
      <c r="E1390" s="472">
        <v>5372.21</v>
      </c>
    </row>
    <row r="1391" spans="1:5" x14ac:dyDescent="0.35">
      <c r="A1391" s="471">
        <v>43814</v>
      </c>
      <c r="B1391" s="107">
        <v>300</v>
      </c>
      <c r="D1391" s="471">
        <v>43648</v>
      </c>
      <c r="E1391" s="472">
        <v>5384.92</v>
      </c>
    </row>
    <row r="1392" spans="1:5" x14ac:dyDescent="0.35">
      <c r="A1392" s="471">
        <v>43811</v>
      </c>
      <c r="B1392" s="107">
        <v>296.89999999999998</v>
      </c>
      <c r="D1392" s="471">
        <v>43646</v>
      </c>
      <c r="E1392" s="472">
        <v>5421.62</v>
      </c>
    </row>
    <row r="1393" spans="1:5" x14ac:dyDescent="0.35">
      <c r="A1393" s="471">
        <v>43810</v>
      </c>
      <c r="B1393" s="107">
        <v>299</v>
      </c>
      <c r="D1393" s="471">
        <v>43643</v>
      </c>
      <c r="E1393" s="472">
        <v>5430.04</v>
      </c>
    </row>
    <row r="1394" spans="1:5" x14ac:dyDescent="0.35">
      <c r="A1394" s="471">
        <v>43809</v>
      </c>
      <c r="B1394" s="107">
        <v>299.10000000000002</v>
      </c>
      <c r="D1394" s="471">
        <v>43642</v>
      </c>
      <c r="E1394" s="472">
        <v>5410.7</v>
      </c>
    </row>
    <row r="1395" spans="1:5" x14ac:dyDescent="0.35">
      <c r="A1395" s="471">
        <v>43808</v>
      </c>
      <c r="B1395" s="107">
        <v>302.60000000000002</v>
      </c>
      <c r="D1395" s="471">
        <v>43641</v>
      </c>
      <c r="E1395" s="472">
        <v>5380.96</v>
      </c>
    </row>
    <row r="1396" spans="1:5" x14ac:dyDescent="0.35">
      <c r="A1396" s="471">
        <v>43807</v>
      </c>
      <c r="B1396" s="107">
        <v>305.89999999999998</v>
      </c>
      <c r="D1396" s="471">
        <v>43640</v>
      </c>
      <c r="E1396" s="472">
        <v>5386.87</v>
      </c>
    </row>
    <row r="1397" spans="1:5" x14ac:dyDescent="0.35">
      <c r="A1397" s="471">
        <v>43804</v>
      </c>
      <c r="B1397" s="107">
        <v>307.39999999999998</v>
      </c>
      <c r="D1397" s="471">
        <v>43639</v>
      </c>
      <c r="E1397" s="472">
        <v>5383.89</v>
      </c>
    </row>
    <row r="1398" spans="1:5" x14ac:dyDescent="0.35">
      <c r="A1398" s="471">
        <v>43803</v>
      </c>
      <c r="B1398" s="107">
        <v>307</v>
      </c>
      <c r="D1398" s="471">
        <v>43636</v>
      </c>
      <c r="E1398" s="472">
        <v>5395.62</v>
      </c>
    </row>
    <row r="1399" spans="1:5" x14ac:dyDescent="0.35">
      <c r="A1399" s="471">
        <v>43802</v>
      </c>
      <c r="B1399" s="107">
        <v>307.3</v>
      </c>
      <c r="D1399" s="471">
        <v>43635</v>
      </c>
      <c r="E1399" s="472">
        <v>5411.4</v>
      </c>
    </row>
    <row r="1400" spans="1:5" x14ac:dyDescent="0.35">
      <c r="A1400" s="471">
        <v>43801</v>
      </c>
      <c r="B1400" s="107">
        <v>311.2</v>
      </c>
      <c r="D1400" s="471">
        <v>43634</v>
      </c>
      <c r="E1400" s="472">
        <v>5400.23</v>
      </c>
    </row>
    <row r="1401" spans="1:5" x14ac:dyDescent="0.35">
      <c r="A1401" s="471">
        <v>43800</v>
      </c>
      <c r="B1401" s="107">
        <v>311.39999999999998</v>
      </c>
      <c r="D1401" s="471">
        <v>43633</v>
      </c>
      <c r="E1401" s="472">
        <v>5375.29</v>
      </c>
    </row>
    <row r="1402" spans="1:5" x14ac:dyDescent="0.35">
      <c r="A1402" s="471">
        <v>43797</v>
      </c>
      <c r="B1402" s="107">
        <v>318.2</v>
      </c>
      <c r="D1402" s="471">
        <v>43632</v>
      </c>
      <c r="E1402" s="472">
        <v>5430.83</v>
      </c>
    </row>
    <row r="1403" spans="1:5" x14ac:dyDescent="0.35">
      <c r="A1403" s="471">
        <v>43796</v>
      </c>
      <c r="B1403" s="107">
        <v>319.89999999999998</v>
      </c>
      <c r="D1403" s="471">
        <v>43629</v>
      </c>
      <c r="E1403" s="472">
        <v>5474.3</v>
      </c>
    </row>
    <row r="1404" spans="1:5" x14ac:dyDescent="0.35">
      <c r="A1404" s="471">
        <v>43795</v>
      </c>
      <c r="B1404" s="107">
        <v>306.2</v>
      </c>
      <c r="D1404" s="471">
        <v>43628</v>
      </c>
      <c r="E1404" s="472">
        <v>5469.63</v>
      </c>
    </row>
    <row r="1405" spans="1:5" x14ac:dyDescent="0.35">
      <c r="A1405" s="471">
        <v>43794</v>
      </c>
      <c r="B1405" s="107">
        <v>307.8</v>
      </c>
      <c r="D1405" s="471">
        <v>43627</v>
      </c>
      <c r="E1405" s="472">
        <v>5475.98</v>
      </c>
    </row>
    <row r="1406" spans="1:5" x14ac:dyDescent="0.35">
      <c r="A1406" s="471">
        <v>43793</v>
      </c>
      <c r="B1406" s="107">
        <v>312</v>
      </c>
      <c r="D1406" s="471">
        <v>43626</v>
      </c>
      <c r="E1406" s="472">
        <v>5431.59</v>
      </c>
    </row>
    <row r="1407" spans="1:5" x14ac:dyDescent="0.35">
      <c r="A1407" s="471">
        <v>43790</v>
      </c>
      <c r="B1407" s="107">
        <v>329.5</v>
      </c>
      <c r="D1407" s="471">
        <v>43625</v>
      </c>
      <c r="E1407" s="472">
        <v>5402.96</v>
      </c>
    </row>
    <row r="1408" spans="1:5" x14ac:dyDescent="0.35">
      <c r="A1408" s="471">
        <v>43789</v>
      </c>
      <c r="B1408" s="107">
        <v>323.10000000000002</v>
      </c>
      <c r="D1408" s="471">
        <v>43615</v>
      </c>
      <c r="E1408" s="472">
        <v>5377.74</v>
      </c>
    </row>
    <row r="1409" spans="1:5" x14ac:dyDescent="0.35">
      <c r="A1409" s="471">
        <v>43788</v>
      </c>
      <c r="B1409" s="107">
        <v>323</v>
      </c>
      <c r="D1409" s="471">
        <v>43614</v>
      </c>
      <c r="E1409" s="472">
        <v>5354.19</v>
      </c>
    </row>
    <row r="1410" spans="1:5" x14ac:dyDescent="0.35">
      <c r="A1410" s="471">
        <v>43787</v>
      </c>
      <c r="B1410" s="107">
        <v>310.5</v>
      </c>
      <c r="D1410" s="471">
        <v>43613</v>
      </c>
      <c r="E1410" s="472">
        <v>5328.76</v>
      </c>
    </row>
    <row r="1411" spans="1:5" x14ac:dyDescent="0.35">
      <c r="A1411" s="471">
        <v>43786</v>
      </c>
      <c r="B1411" s="107">
        <v>310.10000000000002</v>
      </c>
      <c r="D1411" s="471">
        <v>43612</v>
      </c>
      <c r="E1411" s="472">
        <v>5253.54</v>
      </c>
    </row>
    <row r="1412" spans="1:5" x14ac:dyDescent="0.35">
      <c r="A1412" s="471">
        <v>43783</v>
      </c>
      <c r="B1412" s="107">
        <v>306.2</v>
      </c>
      <c r="D1412" s="471">
        <v>43611</v>
      </c>
      <c r="E1412" s="472">
        <v>5253.32</v>
      </c>
    </row>
    <row r="1413" spans="1:5" x14ac:dyDescent="0.35">
      <c r="A1413" s="471">
        <v>43782</v>
      </c>
      <c r="B1413" s="107">
        <v>310.10000000000002</v>
      </c>
      <c r="D1413" s="471">
        <v>43608</v>
      </c>
      <c r="E1413" s="472">
        <v>5250.59</v>
      </c>
    </row>
    <row r="1414" spans="1:5" x14ac:dyDescent="0.35">
      <c r="A1414" s="471">
        <v>43781</v>
      </c>
      <c r="B1414" s="107">
        <v>315.10000000000002</v>
      </c>
      <c r="D1414" s="471">
        <v>43607</v>
      </c>
      <c r="E1414" s="472">
        <v>5250.94</v>
      </c>
    </row>
    <row r="1415" spans="1:5" x14ac:dyDescent="0.35">
      <c r="A1415" s="471">
        <v>43780</v>
      </c>
      <c r="B1415" s="107">
        <v>313.89999999999998</v>
      </c>
      <c r="D1415" s="471">
        <v>43606</v>
      </c>
      <c r="E1415" s="472">
        <v>5236.84</v>
      </c>
    </row>
    <row r="1416" spans="1:5" x14ac:dyDescent="0.35">
      <c r="A1416" s="471">
        <v>43776</v>
      </c>
      <c r="B1416" s="107">
        <v>313.3</v>
      </c>
      <c r="D1416" s="471">
        <v>43605</v>
      </c>
      <c r="E1416" s="472">
        <v>5276.14</v>
      </c>
    </row>
    <row r="1417" spans="1:5" x14ac:dyDescent="0.35">
      <c r="A1417" s="471">
        <v>43775</v>
      </c>
      <c r="B1417" s="107">
        <v>312.89999999999998</v>
      </c>
      <c r="D1417" s="471">
        <v>43604</v>
      </c>
      <c r="E1417" s="472">
        <v>5335.7</v>
      </c>
    </row>
    <row r="1418" spans="1:5" x14ac:dyDescent="0.35">
      <c r="A1418" s="471">
        <v>43774</v>
      </c>
      <c r="B1418" s="107">
        <v>313.10000000000002</v>
      </c>
      <c r="D1418" s="471">
        <v>43601</v>
      </c>
      <c r="E1418" s="472">
        <v>5230.78</v>
      </c>
    </row>
    <row r="1419" spans="1:5" x14ac:dyDescent="0.35">
      <c r="A1419" s="471">
        <v>43773</v>
      </c>
      <c r="B1419" s="107">
        <v>314.5</v>
      </c>
      <c r="D1419" s="471">
        <v>43600</v>
      </c>
      <c r="E1419" s="472">
        <v>5196.03</v>
      </c>
    </row>
    <row r="1420" spans="1:5" x14ac:dyDescent="0.35">
      <c r="A1420" s="471">
        <v>43772</v>
      </c>
      <c r="B1420" s="107">
        <v>316.5</v>
      </c>
      <c r="D1420" s="471">
        <v>43599</v>
      </c>
      <c r="E1420" s="472">
        <v>5217.91</v>
      </c>
    </row>
    <row r="1421" spans="1:5" x14ac:dyDescent="0.35">
      <c r="A1421" s="471">
        <v>43769</v>
      </c>
      <c r="B1421" s="107">
        <v>317.5</v>
      </c>
      <c r="D1421" s="471">
        <v>43598</v>
      </c>
      <c r="E1421" s="472">
        <v>5247.82</v>
      </c>
    </row>
    <row r="1422" spans="1:5" x14ac:dyDescent="0.35">
      <c r="A1422" s="471">
        <v>43768</v>
      </c>
      <c r="B1422" s="107">
        <v>319.60000000000002</v>
      </c>
      <c r="D1422" s="471">
        <v>43597</v>
      </c>
      <c r="E1422" s="472">
        <v>5273.92</v>
      </c>
    </row>
    <row r="1423" spans="1:5" x14ac:dyDescent="0.35">
      <c r="A1423" s="471">
        <v>43767</v>
      </c>
      <c r="B1423" s="107">
        <v>322.10000000000002</v>
      </c>
      <c r="D1423" s="471">
        <v>43594</v>
      </c>
      <c r="E1423" s="472">
        <v>5275.83</v>
      </c>
    </row>
    <row r="1424" spans="1:5" x14ac:dyDescent="0.35">
      <c r="A1424" s="471">
        <v>43766</v>
      </c>
      <c r="B1424" s="107">
        <v>322.8</v>
      </c>
      <c r="D1424" s="471">
        <v>43593</v>
      </c>
      <c r="E1424" s="472">
        <v>5272.38</v>
      </c>
    </row>
    <row r="1425" spans="1:5" x14ac:dyDescent="0.35">
      <c r="A1425" s="471">
        <v>43765</v>
      </c>
      <c r="B1425" s="107">
        <v>324.39999999999998</v>
      </c>
      <c r="D1425" s="471">
        <v>43592</v>
      </c>
      <c r="E1425" s="472">
        <v>5289.99</v>
      </c>
    </row>
    <row r="1426" spans="1:5" x14ac:dyDescent="0.35">
      <c r="A1426" s="471">
        <v>43762</v>
      </c>
      <c r="B1426" s="107">
        <v>327.60000000000002</v>
      </c>
      <c r="D1426" s="471">
        <v>43591</v>
      </c>
      <c r="E1426" s="472">
        <v>5342.08</v>
      </c>
    </row>
    <row r="1427" spans="1:5" x14ac:dyDescent="0.35">
      <c r="A1427" s="471">
        <v>43761</v>
      </c>
      <c r="B1427" s="107">
        <v>322.7</v>
      </c>
      <c r="D1427" s="471">
        <v>43590</v>
      </c>
      <c r="E1427" s="472">
        <v>5394.9</v>
      </c>
    </row>
    <row r="1428" spans="1:5" x14ac:dyDescent="0.35">
      <c r="A1428" s="471">
        <v>43760</v>
      </c>
      <c r="B1428" s="107">
        <v>321.60000000000002</v>
      </c>
      <c r="D1428" s="471">
        <v>43587</v>
      </c>
      <c r="E1428" s="472">
        <v>5286.75</v>
      </c>
    </row>
    <row r="1429" spans="1:5" x14ac:dyDescent="0.35">
      <c r="A1429" s="471">
        <v>43759</v>
      </c>
      <c r="B1429" s="107">
        <v>315.39999999999998</v>
      </c>
      <c r="D1429" s="471">
        <v>43585</v>
      </c>
      <c r="E1429" s="472">
        <v>5202.8500000000004</v>
      </c>
    </row>
    <row r="1430" spans="1:5" x14ac:dyDescent="0.35">
      <c r="A1430" s="471">
        <v>43758</v>
      </c>
      <c r="B1430" s="107">
        <v>318.7</v>
      </c>
      <c r="D1430" s="471">
        <v>43584</v>
      </c>
      <c r="E1430" s="472">
        <v>5175.46</v>
      </c>
    </row>
    <row r="1431" spans="1:5" x14ac:dyDescent="0.35">
      <c r="A1431" s="471">
        <v>43755</v>
      </c>
      <c r="B1431" s="107">
        <v>317.8</v>
      </c>
      <c r="D1431" s="471">
        <v>43583</v>
      </c>
      <c r="E1431" s="472">
        <v>5238.1899999999996</v>
      </c>
    </row>
    <row r="1432" spans="1:5" x14ac:dyDescent="0.35">
      <c r="A1432" s="471">
        <v>43754</v>
      </c>
      <c r="B1432" s="107">
        <v>328.1</v>
      </c>
      <c r="D1432" s="471">
        <v>43580</v>
      </c>
      <c r="E1432" s="472">
        <v>5266.17</v>
      </c>
    </row>
    <row r="1433" spans="1:5" x14ac:dyDescent="0.35">
      <c r="A1433" s="471">
        <v>43753</v>
      </c>
      <c r="B1433" s="107">
        <v>332.1</v>
      </c>
      <c r="D1433" s="471">
        <v>43579</v>
      </c>
      <c r="E1433" s="472">
        <v>5240.3599999999997</v>
      </c>
    </row>
    <row r="1434" spans="1:5" x14ac:dyDescent="0.35">
      <c r="A1434" s="471">
        <v>43752</v>
      </c>
      <c r="B1434" s="107">
        <v>316.5</v>
      </c>
      <c r="D1434" s="471">
        <v>43578</v>
      </c>
      <c r="E1434" s="472">
        <v>5260.85</v>
      </c>
    </row>
    <row r="1435" spans="1:5" x14ac:dyDescent="0.35">
      <c r="A1435" s="471">
        <v>43751</v>
      </c>
      <c r="B1435" s="107">
        <v>325.39999999999998</v>
      </c>
      <c r="D1435" s="471">
        <v>43576</v>
      </c>
      <c r="E1435" s="472">
        <v>5323.73</v>
      </c>
    </row>
    <row r="1436" spans="1:5" x14ac:dyDescent="0.35">
      <c r="A1436" s="471">
        <v>43748</v>
      </c>
      <c r="B1436" s="107">
        <v>333</v>
      </c>
      <c r="D1436" s="471">
        <v>43573</v>
      </c>
      <c r="E1436" s="472">
        <v>5321.41</v>
      </c>
    </row>
    <row r="1437" spans="1:5" x14ac:dyDescent="0.35">
      <c r="A1437" s="471">
        <v>43747</v>
      </c>
      <c r="B1437" s="107">
        <v>336</v>
      </c>
      <c r="D1437" s="471">
        <v>43572</v>
      </c>
      <c r="E1437" s="472">
        <v>5259.41</v>
      </c>
    </row>
    <row r="1438" spans="1:5" x14ac:dyDescent="0.35">
      <c r="A1438" s="471">
        <v>43745</v>
      </c>
      <c r="B1438" s="107">
        <v>340.9</v>
      </c>
      <c r="D1438" s="471">
        <v>43571</v>
      </c>
      <c r="E1438" s="472">
        <v>5248.91</v>
      </c>
    </row>
    <row r="1439" spans="1:5" x14ac:dyDescent="0.35">
      <c r="A1439" s="471">
        <v>43744</v>
      </c>
      <c r="B1439" s="107">
        <v>345.1</v>
      </c>
      <c r="D1439" s="471">
        <v>43570</v>
      </c>
      <c r="E1439" s="472">
        <v>5309.47</v>
      </c>
    </row>
    <row r="1440" spans="1:5" x14ac:dyDescent="0.35">
      <c r="A1440" s="471">
        <v>43741</v>
      </c>
      <c r="B1440" s="107">
        <v>345.1</v>
      </c>
      <c r="D1440" s="471">
        <v>43566</v>
      </c>
      <c r="E1440" s="472">
        <v>5326.39</v>
      </c>
    </row>
    <row r="1441" spans="1:5" x14ac:dyDescent="0.35">
      <c r="A1441" s="471">
        <v>43740</v>
      </c>
      <c r="B1441" s="107">
        <v>344.7</v>
      </c>
      <c r="D1441" s="471">
        <v>43565</v>
      </c>
      <c r="E1441" s="472">
        <v>5261.6</v>
      </c>
    </row>
    <row r="1442" spans="1:5" x14ac:dyDescent="0.35">
      <c r="A1442" s="471">
        <v>43739</v>
      </c>
      <c r="B1442" s="107">
        <v>348.9</v>
      </c>
      <c r="D1442" s="471">
        <v>43564</v>
      </c>
      <c r="E1442" s="472">
        <v>5318.75</v>
      </c>
    </row>
    <row r="1443" spans="1:5" x14ac:dyDescent="0.35">
      <c r="A1443" s="471">
        <v>43738</v>
      </c>
      <c r="B1443" s="107">
        <v>352.4</v>
      </c>
      <c r="D1443" s="471">
        <v>43563</v>
      </c>
      <c r="E1443" s="472">
        <v>5372.23</v>
      </c>
    </row>
    <row r="1444" spans="1:5" x14ac:dyDescent="0.35">
      <c r="A1444" s="471">
        <v>43737</v>
      </c>
      <c r="B1444" s="107">
        <v>356.9</v>
      </c>
      <c r="D1444" s="471">
        <v>43562</v>
      </c>
      <c r="E1444" s="472">
        <v>5433.89</v>
      </c>
    </row>
    <row r="1445" spans="1:5" x14ac:dyDescent="0.35">
      <c r="A1445" s="471">
        <v>43734</v>
      </c>
      <c r="B1445" s="107">
        <v>359.4</v>
      </c>
      <c r="D1445" s="471">
        <v>43559</v>
      </c>
      <c r="E1445" s="472">
        <v>5459.91</v>
      </c>
    </row>
    <row r="1446" spans="1:5" x14ac:dyDescent="0.35">
      <c r="A1446" s="471">
        <v>43733</v>
      </c>
      <c r="B1446" s="107">
        <v>355.1</v>
      </c>
      <c r="D1446" s="471">
        <v>43558</v>
      </c>
      <c r="E1446" s="472">
        <v>5452.19</v>
      </c>
    </row>
    <row r="1447" spans="1:5" x14ac:dyDescent="0.35">
      <c r="A1447" s="471">
        <v>43732</v>
      </c>
      <c r="B1447" s="107">
        <v>358.4</v>
      </c>
      <c r="D1447" s="471">
        <v>43557</v>
      </c>
      <c r="E1447" s="472">
        <v>5522.17</v>
      </c>
    </row>
    <row r="1448" spans="1:5" x14ac:dyDescent="0.35">
      <c r="A1448" s="471">
        <v>43731</v>
      </c>
      <c r="B1448" s="107">
        <v>362.8</v>
      </c>
      <c r="D1448" s="471">
        <v>43556</v>
      </c>
      <c r="E1448" s="472">
        <v>5503.08</v>
      </c>
    </row>
    <row r="1449" spans="1:5" x14ac:dyDescent="0.35">
      <c r="A1449" s="471">
        <v>43730</v>
      </c>
      <c r="B1449" s="107">
        <v>360.5</v>
      </c>
      <c r="D1449" s="471">
        <v>43555</v>
      </c>
      <c r="E1449" s="472">
        <v>5491.9</v>
      </c>
    </row>
    <row r="1450" spans="1:5" x14ac:dyDescent="0.35">
      <c r="A1450" s="471">
        <v>43727</v>
      </c>
      <c r="B1450" s="107">
        <v>335.3</v>
      </c>
      <c r="D1450" s="471">
        <v>43552</v>
      </c>
      <c r="E1450" s="472">
        <v>5505.49</v>
      </c>
    </row>
    <row r="1451" spans="1:5" x14ac:dyDescent="0.35">
      <c r="A1451" s="471">
        <v>43726</v>
      </c>
      <c r="B1451" s="107">
        <v>308.39999999999998</v>
      </c>
      <c r="D1451" s="471">
        <v>43551</v>
      </c>
      <c r="E1451" s="472">
        <v>5502.48</v>
      </c>
    </row>
    <row r="1452" spans="1:5" x14ac:dyDescent="0.35">
      <c r="A1452" s="471">
        <v>43725</v>
      </c>
      <c r="B1452" s="107">
        <v>312.60000000000002</v>
      </c>
      <c r="D1452" s="471">
        <v>43549</v>
      </c>
      <c r="E1452" s="472">
        <v>5530.07</v>
      </c>
    </row>
    <row r="1453" spans="1:5" x14ac:dyDescent="0.35">
      <c r="A1453" s="471">
        <v>43724</v>
      </c>
      <c r="B1453" s="107">
        <v>308.2</v>
      </c>
      <c r="D1453" s="471">
        <v>43548</v>
      </c>
      <c r="E1453" s="472">
        <v>5512.07</v>
      </c>
    </row>
    <row r="1454" spans="1:5" x14ac:dyDescent="0.35">
      <c r="A1454" s="471">
        <v>43723</v>
      </c>
      <c r="B1454" s="107">
        <v>306.10000000000002</v>
      </c>
      <c r="D1454" s="471">
        <v>43545</v>
      </c>
      <c r="E1454" s="472">
        <v>5570.15</v>
      </c>
    </row>
    <row r="1455" spans="1:5" x14ac:dyDescent="0.35">
      <c r="A1455" s="471">
        <v>43720</v>
      </c>
      <c r="B1455" s="107">
        <v>304.10000000000002</v>
      </c>
      <c r="D1455" s="471">
        <v>43544</v>
      </c>
      <c r="E1455" s="472">
        <v>5600.55</v>
      </c>
    </row>
    <row r="1456" spans="1:5" x14ac:dyDescent="0.35">
      <c r="A1456" s="471">
        <v>43719</v>
      </c>
      <c r="B1456" s="107">
        <v>305.10000000000002</v>
      </c>
      <c r="D1456" s="471">
        <v>43543</v>
      </c>
      <c r="E1456" s="472">
        <v>5631.29</v>
      </c>
    </row>
    <row r="1457" spans="1:5" x14ac:dyDescent="0.35">
      <c r="A1457" s="471">
        <v>43717</v>
      </c>
      <c r="B1457" s="107">
        <v>308</v>
      </c>
      <c r="D1457" s="471">
        <v>43542</v>
      </c>
      <c r="E1457" s="472">
        <v>5604.9</v>
      </c>
    </row>
    <row r="1458" spans="1:5" x14ac:dyDescent="0.35">
      <c r="A1458" s="471">
        <v>43716</v>
      </c>
      <c r="B1458" s="107">
        <v>299.2</v>
      </c>
      <c r="D1458" s="471">
        <v>43538</v>
      </c>
      <c r="E1458" s="472">
        <v>5655.81</v>
      </c>
    </row>
    <row r="1459" spans="1:5" x14ac:dyDescent="0.35">
      <c r="A1459" s="471">
        <v>43713</v>
      </c>
      <c r="B1459" s="107">
        <v>295.5</v>
      </c>
      <c r="D1459" s="471">
        <v>43537</v>
      </c>
      <c r="E1459" s="472">
        <v>5653.21</v>
      </c>
    </row>
    <row r="1460" spans="1:5" x14ac:dyDescent="0.35">
      <c r="A1460" s="471">
        <v>43712</v>
      </c>
      <c r="B1460" s="107">
        <v>289.39999999999998</v>
      </c>
      <c r="D1460" s="471">
        <v>43536</v>
      </c>
      <c r="E1460" s="472">
        <v>5682.43</v>
      </c>
    </row>
    <row r="1461" spans="1:5" x14ac:dyDescent="0.35">
      <c r="A1461" s="471">
        <v>43711</v>
      </c>
      <c r="B1461" s="107">
        <v>294.7</v>
      </c>
      <c r="D1461" s="471">
        <v>43535</v>
      </c>
      <c r="E1461" s="472">
        <v>5690.82</v>
      </c>
    </row>
    <row r="1462" spans="1:5" x14ac:dyDescent="0.35">
      <c r="A1462" s="471">
        <v>43710</v>
      </c>
      <c r="B1462" s="107">
        <v>304.10000000000002</v>
      </c>
      <c r="D1462" s="471">
        <v>43534</v>
      </c>
      <c r="E1462" s="472">
        <v>5710.06</v>
      </c>
    </row>
    <row r="1463" spans="1:5" x14ac:dyDescent="0.35">
      <c r="A1463" s="471">
        <v>43709</v>
      </c>
      <c r="B1463" s="107">
        <v>310</v>
      </c>
      <c r="D1463" s="471">
        <v>43531</v>
      </c>
      <c r="E1463" s="472">
        <v>5688.45</v>
      </c>
    </row>
    <row r="1464" spans="1:5" x14ac:dyDescent="0.35">
      <c r="A1464" s="471">
        <v>43706</v>
      </c>
      <c r="B1464" s="107">
        <v>312</v>
      </c>
      <c r="D1464" s="471">
        <v>43530</v>
      </c>
      <c r="E1464" s="472">
        <v>5686.38</v>
      </c>
    </row>
    <row r="1465" spans="1:5" x14ac:dyDescent="0.35">
      <c r="A1465" s="471">
        <v>43705</v>
      </c>
      <c r="B1465" s="107">
        <v>316.8</v>
      </c>
      <c r="D1465" s="471">
        <v>43529</v>
      </c>
      <c r="E1465" s="472">
        <v>5687.48</v>
      </c>
    </row>
    <row r="1466" spans="1:5" x14ac:dyDescent="0.35">
      <c r="A1466" s="471">
        <v>43704</v>
      </c>
      <c r="B1466" s="107">
        <v>320.10000000000002</v>
      </c>
      <c r="D1466" s="471">
        <v>43528</v>
      </c>
      <c r="E1466" s="472">
        <v>5682.41</v>
      </c>
    </row>
    <row r="1467" spans="1:5" x14ac:dyDescent="0.35">
      <c r="A1467" s="471">
        <v>43703</v>
      </c>
      <c r="B1467" s="107">
        <v>313.5</v>
      </c>
      <c r="D1467" s="471">
        <v>43527</v>
      </c>
      <c r="E1467" s="472">
        <v>5723.07</v>
      </c>
    </row>
    <row r="1468" spans="1:5" x14ac:dyDescent="0.35">
      <c r="A1468" s="471">
        <v>43702</v>
      </c>
      <c r="B1468" s="107">
        <v>316.8</v>
      </c>
      <c r="D1468" s="471">
        <v>43524</v>
      </c>
      <c r="E1468" s="472">
        <v>5711.82</v>
      </c>
    </row>
    <row r="1469" spans="1:5" x14ac:dyDescent="0.35">
      <c r="A1469" s="471">
        <v>43699</v>
      </c>
      <c r="B1469" s="107">
        <v>319.7</v>
      </c>
      <c r="D1469" s="471">
        <v>43523</v>
      </c>
      <c r="E1469" s="472">
        <v>5711.82</v>
      </c>
    </row>
    <row r="1470" spans="1:5" x14ac:dyDescent="0.35">
      <c r="A1470" s="471">
        <v>43698</v>
      </c>
      <c r="B1470" s="107">
        <v>323.3</v>
      </c>
      <c r="D1470" s="471">
        <v>43522</v>
      </c>
      <c r="E1470" s="472">
        <v>5738.64</v>
      </c>
    </row>
    <row r="1471" spans="1:5" x14ac:dyDescent="0.35">
      <c r="A1471" s="471">
        <v>43697</v>
      </c>
      <c r="B1471" s="107">
        <v>326.60000000000002</v>
      </c>
      <c r="D1471" s="471">
        <v>43521</v>
      </c>
      <c r="E1471" s="472">
        <v>5755.79</v>
      </c>
    </row>
    <row r="1472" spans="1:5" x14ac:dyDescent="0.35">
      <c r="A1472" s="471">
        <v>43696</v>
      </c>
      <c r="B1472" s="107">
        <v>323.89999999999998</v>
      </c>
      <c r="D1472" s="471">
        <v>43520</v>
      </c>
      <c r="E1472" s="472">
        <v>5714.27</v>
      </c>
    </row>
    <row r="1473" spans="1:5" x14ac:dyDescent="0.35">
      <c r="A1473" s="471">
        <v>43695</v>
      </c>
      <c r="B1473" s="107">
        <v>317</v>
      </c>
      <c r="D1473" s="471">
        <v>43516</v>
      </c>
      <c r="E1473" s="472">
        <v>5745.83</v>
      </c>
    </row>
    <row r="1474" spans="1:5" x14ac:dyDescent="0.35">
      <c r="A1474" s="471">
        <v>43685</v>
      </c>
      <c r="B1474" s="107">
        <v>317.7</v>
      </c>
      <c r="D1474" s="471">
        <v>43515</v>
      </c>
      <c r="E1474" s="472">
        <v>5735.92</v>
      </c>
    </row>
    <row r="1475" spans="1:5" x14ac:dyDescent="0.35">
      <c r="A1475" s="471">
        <v>43684</v>
      </c>
      <c r="B1475" s="107">
        <v>318.8</v>
      </c>
      <c r="D1475" s="471">
        <v>43514</v>
      </c>
      <c r="E1475" s="472">
        <v>5724.52</v>
      </c>
    </row>
    <row r="1476" spans="1:5" x14ac:dyDescent="0.35">
      <c r="A1476" s="471">
        <v>43683</v>
      </c>
      <c r="B1476" s="107">
        <v>322.2</v>
      </c>
      <c r="D1476" s="471">
        <v>43513</v>
      </c>
      <c r="E1476" s="472">
        <v>5775.82</v>
      </c>
    </row>
    <row r="1477" spans="1:5" x14ac:dyDescent="0.35">
      <c r="A1477" s="471">
        <v>43682</v>
      </c>
      <c r="B1477" s="107">
        <v>321.39999999999998</v>
      </c>
      <c r="D1477" s="471">
        <v>43510</v>
      </c>
      <c r="E1477" s="472">
        <v>5750.29</v>
      </c>
    </row>
    <row r="1478" spans="1:5" x14ac:dyDescent="0.35">
      <c r="A1478" s="471">
        <v>43681</v>
      </c>
      <c r="B1478" s="107">
        <v>337.1</v>
      </c>
      <c r="D1478" s="471">
        <v>43509</v>
      </c>
      <c r="E1478" s="472">
        <v>5748.31</v>
      </c>
    </row>
    <row r="1479" spans="1:5" x14ac:dyDescent="0.35">
      <c r="A1479" s="471">
        <v>43678</v>
      </c>
      <c r="B1479" s="107">
        <v>337.1</v>
      </c>
      <c r="D1479" s="471">
        <v>43508</v>
      </c>
      <c r="E1479" s="472">
        <v>5731.95</v>
      </c>
    </row>
    <row r="1480" spans="1:5" x14ac:dyDescent="0.35">
      <c r="A1480" s="471">
        <v>43677</v>
      </c>
      <c r="B1480" s="107">
        <v>332.4</v>
      </c>
      <c r="D1480" s="471">
        <v>43507</v>
      </c>
      <c r="E1480" s="472">
        <v>5733.91</v>
      </c>
    </row>
    <row r="1481" spans="1:5" x14ac:dyDescent="0.35">
      <c r="A1481" s="471">
        <v>43676</v>
      </c>
      <c r="B1481" s="107">
        <v>325.7</v>
      </c>
      <c r="D1481" s="471">
        <v>43506</v>
      </c>
      <c r="E1481" s="472">
        <v>5763.73</v>
      </c>
    </row>
    <row r="1482" spans="1:5" x14ac:dyDescent="0.35">
      <c r="A1482" s="471">
        <v>43675</v>
      </c>
      <c r="B1482" s="107">
        <v>327.3</v>
      </c>
      <c r="D1482" s="471">
        <v>43503</v>
      </c>
      <c r="E1482" s="472">
        <v>5811.92</v>
      </c>
    </row>
    <row r="1483" spans="1:5" x14ac:dyDescent="0.35">
      <c r="A1483" s="471">
        <v>43674</v>
      </c>
      <c r="B1483" s="107">
        <v>324.8</v>
      </c>
      <c r="D1483" s="471">
        <v>43502</v>
      </c>
      <c r="E1483" s="472">
        <v>5786</v>
      </c>
    </row>
    <row r="1484" spans="1:5" x14ac:dyDescent="0.35">
      <c r="A1484" s="471">
        <v>43671</v>
      </c>
      <c r="B1484" s="107">
        <v>324.7</v>
      </c>
      <c r="D1484" s="471">
        <v>43501</v>
      </c>
      <c r="E1484" s="472">
        <v>5800.24</v>
      </c>
    </row>
    <row r="1485" spans="1:5" x14ac:dyDescent="0.35">
      <c r="A1485" s="471">
        <v>43670</v>
      </c>
      <c r="B1485" s="107">
        <v>320.39999999999998</v>
      </c>
      <c r="D1485" s="471">
        <v>43500</v>
      </c>
      <c r="E1485" s="472">
        <v>5828.07</v>
      </c>
    </row>
    <row r="1486" spans="1:5" x14ac:dyDescent="0.35">
      <c r="A1486" s="471">
        <v>43669</v>
      </c>
      <c r="B1486" s="107">
        <v>323.2</v>
      </c>
      <c r="D1486" s="471">
        <v>43499</v>
      </c>
      <c r="E1486" s="472">
        <v>5801.33</v>
      </c>
    </row>
    <row r="1487" spans="1:5" x14ac:dyDescent="0.35">
      <c r="A1487" s="471">
        <v>43668</v>
      </c>
      <c r="B1487" s="107">
        <v>322.5</v>
      </c>
      <c r="D1487" s="471">
        <v>43496</v>
      </c>
      <c r="E1487" s="472">
        <v>5821.01</v>
      </c>
    </row>
    <row r="1488" spans="1:5" x14ac:dyDescent="0.35">
      <c r="A1488" s="471">
        <v>43667</v>
      </c>
      <c r="B1488" s="107">
        <v>325.3</v>
      </c>
      <c r="D1488" s="471">
        <v>43495</v>
      </c>
      <c r="E1488" s="472">
        <v>5884.11</v>
      </c>
    </row>
    <row r="1489" spans="1:5" x14ac:dyDescent="0.35">
      <c r="A1489" s="471">
        <v>43664</v>
      </c>
      <c r="B1489" s="107">
        <v>330.3</v>
      </c>
      <c r="D1489" s="471">
        <v>43494</v>
      </c>
      <c r="E1489" s="472">
        <v>5924.53</v>
      </c>
    </row>
    <row r="1490" spans="1:5" x14ac:dyDescent="0.35">
      <c r="A1490" s="471">
        <v>43663</v>
      </c>
      <c r="B1490" s="107">
        <v>326</v>
      </c>
      <c r="D1490" s="471">
        <v>43493</v>
      </c>
      <c r="E1490" s="472">
        <v>5904.22</v>
      </c>
    </row>
    <row r="1491" spans="1:5" x14ac:dyDescent="0.35">
      <c r="A1491" s="471">
        <v>43662</v>
      </c>
      <c r="B1491" s="107">
        <v>328</v>
      </c>
      <c r="D1491" s="471">
        <v>43492</v>
      </c>
      <c r="E1491" s="472">
        <v>5939.45</v>
      </c>
    </row>
    <row r="1492" spans="1:5" x14ac:dyDescent="0.35">
      <c r="A1492" s="471">
        <v>43661</v>
      </c>
      <c r="B1492" s="107">
        <v>324.39999999999998</v>
      </c>
      <c r="D1492" s="471">
        <v>43489</v>
      </c>
      <c r="E1492" s="472">
        <v>5950.01</v>
      </c>
    </row>
    <row r="1493" spans="1:5" x14ac:dyDescent="0.35">
      <c r="A1493" s="471">
        <v>43660</v>
      </c>
      <c r="B1493" s="107">
        <v>344.7</v>
      </c>
      <c r="D1493" s="471">
        <v>43488</v>
      </c>
      <c r="E1493" s="472">
        <v>5925.24</v>
      </c>
    </row>
    <row r="1494" spans="1:5" x14ac:dyDescent="0.35">
      <c r="A1494" s="471">
        <v>43657</v>
      </c>
      <c r="B1494" s="107">
        <v>331.6</v>
      </c>
      <c r="D1494" s="471">
        <v>43487</v>
      </c>
      <c r="E1494" s="472">
        <v>5865.46</v>
      </c>
    </row>
    <row r="1495" spans="1:5" x14ac:dyDescent="0.35">
      <c r="A1495" s="471">
        <v>43656</v>
      </c>
      <c r="B1495" s="107">
        <v>334.1</v>
      </c>
      <c r="D1495" s="471">
        <v>43486</v>
      </c>
      <c r="E1495" s="472">
        <v>5859.3</v>
      </c>
    </row>
    <row r="1496" spans="1:5" x14ac:dyDescent="0.35">
      <c r="A1496" s="471">
        <v>43655</v>
      </c>
      <c r="B1496" s="107">
        <v>340.8</v>
      </c>
      <c r="D1496" s="471">
        <v>43485</v>
      </c>
      <c r="E1496" s="472">
        <v>5887.27</v>
      </c>
    </row>
    <row r="1497" spans="1:5" x14ac:dyDescent="0.35">
      <c r="A1497" s="471">
        <v>43654</v>
      </c>
      <c r="B1497" s="107">
        <v>345.2</v>
      </c>
      <c r="D1497" s="471">
        <v>43482</v>
      </c>
      <c r="E1497" s="472">
        <v>5825.57</v>
      </c>
    </row>
    <row r="1498" spans="1:5" x14ac:dyDescent="0.35">
      <c r="A1498" s="471">
        <v>43653</v>
      </c>
      <c r="B1498" s="107">
        <v>351.7</v>
      </c>
      <c r="D1498" s="471">
        <v>43481</v>
      </c>
      <c r="E1498" s="472">
        <v>5839.48</v>
      </c>
    </row>
    <row r="1499" spans="1:5" x14ac:dyDescent="0.35">
      <c r="A1499" s="471">
        <v>43650</v>
      </c>
      <c r="B1499" s="107">
        <v>359.8</v>
      </c>
      <c r="D1499" s="471">
        <v>43480</v>
      </c>
      <c r="E1499" s="472">
        <v>5863.27</v>
      </c>
    </row>
    <row r="1500" spans="1:5" x14ac:dyDescent="0.35">
      <c r="A1500" s="471">
        <v>43649</v>
      </c>
      <c r="B1500" s="107">
        <v>359.7</v>
      </c>
      <c r="D1500" s="471">
        <v>43479</v>
      </c>
      <c r="E1500" s="472">
        <v>5836.23</v>
      </c>
    </row>
    <row r="1501" spans="1:5" x14ac:dyDescent="0.35">
      <c r="A1501" s="471">
        <v>43648</v>
      </c>
      <c r="B1501" s="107">
        <v>360.3</v>
      </c>
      <c r="D1501" s="471">
        <v>43478</v>
      </c>
      <c r="E1501" s="472">
        <v>5860.21</v>
      </c>
    </row>
    <row r="1502" spans="1:5" x14ac:dyDescent="0.35">
      <c r="A1502" s="471">
        <v>43646</v>
      </c>
      <c r="B1502" s="107">
        <v>364.7</v>
      </c>
      <c r="D1502" s="471">
        <v>43475</v>
      </c>
      <c r="E1502" s="472">
        <v>5797.3</v>
      </c>
    </row>
    <row r="1503" spans="1:5" x14ac:dyDescent="0.35">
      <c r="A1503" s="471">
        <v>43643</v>
      </c>
      <c r="B1503" s="107">
        <v>365.1</v>
      </c>
      <c r="D1503" s="471">
        <v>43474</v>
      </c>
      <c r="E1503" s="472">
        <v>5798.59</v>
      </c>
    </row>
    <row r="1504" spans="1:5" x14ac:dyDescent="0.35">
      <c r="A1504" s="471">
        <v>43642</v>
      </c>
      <c r="B1504" s="107">
        <v>363.1</v>
      </c>
      <c r="D1504" s="471">
        <v>43473</v>
      </c>
      <c r="E1504" s="472">
        <v>5770.77</v>
      </c>
    </row>
    <row r="1505" spans="1:5" x14ac:dyDescent="0.35">
      <c r="A1505" s="471">
        <v>43641</v>
      </c>
      <c r="B1505" s="107">
        <v>358.9</v>
      </c>
      <c r="D1505" s="471">
        <v>43472</v>
      </c>
      <c r="E1505" s="472">
        <v>5655.18</v>
      </c>
    </row>
    <row r="1506" spans="1:5" x14ac:dyDescent="0.35">
      <c r="A1506" s="471">
        <v>43640</v>
      </c>
      <c r="B1506" s="107">
        <v>357.9</v>
      </c>
      <c r="D1506" s="471">
        <v>43471</v>
      </c>
      <c r="E1506" s="472">
        <v>5687</v>
      </c>
    </row>
    <row r="1507" spans="1:5" x14ac:dyDescent="0.35">
      <c r="A1507" s="471">
        <v>43639</v>
      </c>
      <c r="B1507" s="107">
        <v>360.2</v>
      </c>
      <c r="D1507" s="471">
        <v>43468</v>
      </c>
      <c r="E1507" s="472">
        <v>5590.47</v>
      </c>
    </row>
    <row r="1508" spans="1:5" x14ac:dyDescent="0.35">
      <c r="A1508" s="471">
        <v>43636</v>
      </c>
      <c r="B1508" s="107">
        <v>359.3</v>
      </c>
      <c r="D1508" s="471">
        <v>43467</v>
      </c>
      <c r="E1508" s="472">
        <v>5496.43</v>
      </c>
    </row>
    <row r="1509" spans="1:5" x14ac:dyDescent="0.35">
      <c r="A1509" s="471">
        <v>43635</v>
      </c>
      <c r="B1509" s="107">
        <v>360.4</v>
      </c>
      <c r="D1509" s="471">
        <v>43466</v>
      </c>
      <c r="E1509" s="472">
        <v>5465.25</v>
      </c>
    </row>
    <row r="1510" spans="1:5" x14ac:dyDescent="0.35">
      <c r="A1510" s="471">
        <v>43634</v>
      </c>
      <c r="B1510" s="107">
        <v>362.7</v>
      </c>
      <c r="D1510" s="471">
        <v>43461</v>
      </c>
      <c r="E1510" s="472">
        <v>5385.64</v>
      </c>
    </row>
    <row r="1511" spans="1:5" x14ac:dyDescent="0.35">
      <c r="A1511" s="471">
        <v>43633</v>
      </c>
      <c r="B1511" s="107">
        <v>357.3</v>
      </c>
      <c r="D1511" s="471">
        <v>43460</v>
      </c>
      <c r="E1511" s="472">
        <v>5349.18</v>
      </c>
    </row>
    <row r="1512" spans="1:5" x14ac:dyDescent="0.35">
      <c r="A1512" s="471">
        <v>43632</v>
      </c>
      <c r="B1512" s="107">
        <v>357.9</v>
      </c>
      <c r="D1512" s="471">
        <v>43458</v>
      </c>
      <c r="E1512" s="472">
        <v>5300.09</v>
      </c>
    </row>
    <row r="1513" spans="1:5" x14ac:dyDescent="0.35">
      <c r="A1513" s="471">
        <v>43629</v>
      </c>
      <c r="B1513" s="107">
        <v>361.4</v>
      </c>
      <c r="D1513" s="471">
        <v>43457</v>
      </c>
      <c r="E1513" s="472">
        <v>5281.77</v>
      </c>
    </row>
    <row r="1514" spans="1:5" x14ac:dyDescent="0.35">
      <c r="A1514" s="471">
        <v>43628</v>
      </c>
      <c r="B1514" s="107">
        <v>361.3</v>
      </c>
      <c r="D1514" s="471">
        <v>43454</v>
      </c>
      <c r="E1514" s="472">
        <v>5265.31</v>
      </c>
    </row>
    <row r="1515" spans="1:5" x14ac:dyDescent="0.35">
      <c r="A1515" s="471">
        <v>43627</v>
      </c>
      <c r="B1515" s="107">
        <v>364</v>
      </c>
      <c r="D1515" s="471">
        <v>43453</v>
      </c>
      <c r="E1515" s="472">
        <v>5242.5600000000004</v>
      </c>
    </row>
    <row r="1516" spans="1:5" x14ac:dyDescent="0.35">
      <c r="A1516" s="471">
        <v>43626</v>
      </c>
      <c r="B1516" s="107">
        <v>355.8</v>
      </c>
      <c r="D1516" s="471">
        <v>43452</v>
      </c>
      <c r="E1516" s="472">
        <v>5233.59</v>
      </c>
    </row>
    <row r="1517" spans="1:5" x14ac:dyDescent="0.35">
      <c r="A1517" s="471">
        <v>43625</v>
      </c>
      <c r="B1517" s="107">
        <v>356.4</v>
      </c>
      <c r="D1517" s="471">
        <v>43451</v>
      </c>
      <c r="E1517" s="472">
        <v>5218.01</v>
      </c>
    </row>
    <row r="1518" spans="1:5" x14ac:dyDescent="0.35">
      <c r="A1518" s="471">
        <v>43615</v>
      </c>
      <c r="B1518" s="107">
        <v>355.1</v>
      </c>
      <c r="D1518" s="471">
        <v>43447</v>
      </c>
      <c r="E1518" s="472">
        <v>5251.01</v>
      </c>
    </row>
    <row r="1519" spans="1:5" x14ac:dyDescent="0.35">
      <c r="A1519" s="471">
        <v>43614</v>
      </c>
      <c r="B1519" s="107">
        <v>349.8</v>
      </c>
      <c r="D1519" s="471">
        <v>43446</v>
      </c>
      <c r="E1519" s="472">
        <v>5265.84</v>
      </c>
    </row>
    <row r="1520" spans="1:5" x14ac:dyDescent="0.35">
      <c r="A1520" s="471">
        <v>43613</v>
      </c>
      <c r="B1520" s="107">
        <v>349.7</v>
      </c>
      <c r="D1520" s="471">
        <v>43445</v>
      </c>
      <c r="E1520" s="472">
        <v>5275.76</v>
      </c>
    </row>
    <row r="1521" spans="1:5" x14ac:dyDescent="0.35">
      <c r="A1521" s="471">
        <v>43612</v>
      </c>
      <c r="B1521" s="107">
        <v>341.1</v>
      </c>
      <c r="D1521" s="471">
        <v>43444</v>
      </c>
      <c r="E1521" s="472">
        <v>5295.69</v>
      </c>
    </row>
    <row r="1522" spans="1:5" x14ac:dyDescent="0.35">
      <c r="A1522" s="471">
        <v>43611</v>
      </c>
      <c r="B1522" s="107">
        <v>338.2</v>
      </c>
      <c r="D1522" s="471">
        <v>43443</v>
      </c>
      <c r="E1522" s="472">
        <v>5306.22</v>
      </c>
    </row>
    <row r="1523" spans="1:5" x14ac:dyDescent="0.35">
      <c r="A1523" s="471">
        <v>43608</v>
      </c>
      <c r="B1523" s="107">
        <v>337.9</v>
      </c>
      <c r="D1523" s="471">
        <v>43440</v>
      </c>
      <c r="E1523" s="472">
        <v>5332.8</v>
      </c>
    </row>
    <row r="1524" spans="1:5" x14ac:dyDescent="0.35">
      <c r="A1524" s="471">
        <v>43607</v>
      </c>
      <c r="B1524" s="107">
        <v>342.8</v>
      </c>
      <c r="D1524" s="471">
        <v>43439</v>
      </c>
      <c r="E1524" s="472">
        <v>5361.11</v>
      </c>
    </row>
    <row r="1525" spans="1:5" x14ac:dyDescent="0.35">
      <c r="A1525" s="471">
        <v>43606</v>
      </c>
      <c r="B1525" s="107">
        <v>343.4</v>
      </c>
      <c r="D1525" s="471">
        <v>43438</v>
      </c>
      <c r="E1525" s="472">
        <v>5345.42</v>
      </c>
    </row>
    <row r="1526" spans="1:5" x14ac:dyDescent="0.35">
      <c r="A1526" s="471">
        <v>43605</v>
      </c>
      <c r="B1526" s="107">
        <v>348</v>
      </c>
      <c r="D1526" s="471">
        <v>43437</v>
      </c>
      <c r="E1526" s="472">
        <v>5296.55</v>
      </c>
    </row>
    <row r="1527" spans="1:5" x14ac:dyDescent="0.35">
      <c r="A1527" s="471">
        <v>43604</v>
      </c>
      <c r="B1527" s="107">
        <v>351.1</v>
      </c>
      <c r="D1527" s="471">
        <v>43436</v>
      </c>
      <c r="E1527" s="472">
        <v>5290.76</v>
      </c>
    </row>
    <row r="1528" spans="1:5" x14ac:dyDescent="0.35">
      <c r="A1528" s="471">
        <v>43601</v>
      </c>
      <c r="B1528" s="107">
        <v>345.3</v>
      </c>
      <c r="D1528" s="471">
        <v>43433</v>
      </c>
      <c r="E1528" s="472">
        <v>5281.25</v>
      </c>
    </row>
    <row r="1529" spans="1:5" x14ac:dyDescent="0.35">
      <c r="A1529" s="471">
        <v>43600</v>
      </c>
      <c r="B1529" s="107">
        <v>346.4</v>
      </c>
      <c r="D1529" s="471">
        <v>43432</v>
      </c>
      <c r="E1529" s="472">
        <v>5286.72</v>
      </c>
    </row>
    <row r="1530" spans="1:5" x14ac:dyDescent="0.35">
      <c r="A1530" s="471">
        <v>43599</v>
      </c>
      <c r="B1530" s="107">
        <v>346.6</v>
      </c>
      <c r="D1530" s="471">
        <v>43431</v>
      </c>
      <c r="E1530" s="472">
        <v>5288.54</v>
      </c>
    </row>
    <row r="1531" spans="1:5" x14ac:dyDescent="0.35">
      <c r="A1531" s="471">
        <v>43598</v>
      </c>
      <c r="B1531" s="107">
        <v>348.1</v>
      </c>
    </row>
    <row r="1532" spans="1:5" x14ac:dyDescent="0.35">
      <c r="A1532" s="471">
        <v>43597</v>
      </c>
      <c r="B1532" s="107">
        <v>352.4</v>
      </c>
    </row>
    <row r="1533" spans="1:5" x14ac:dyDescent="0.35">
      <c r="A1533" s="471">
        <v>43594</v>
      </c>
      <c r="B1533" s="107">
        <v>354.1</v>
      </c>
    </row>
    <row r="1534" spans="1:5" x14ac:dyDescent="0.35">
      <c r="A1534" s="471">
        <v>43593</v>
      </c>
      <c r="B1534" s="107">
        <v>354.6</v>
      </c>
    </row>
    <row r="1535" spans="1:5" x14ac:dyDescent="0.35">
      <c r="A1535" s="471">
        <v>43592</v>
      </c>
      <c r="B1535" s="107">
        <v>354.4</v>
      </c>
    </row>
    <row r="1536" spans="1:5" x14ac:dyDescent="0.35">
      <c r="A1536" s="471">
        <v>43591</v>
      </c>
      <c r="B1536" s="107">
        <v>359.4</v>
      </c>
    </row>
    <row r="1537" spans="1:2" x14ac:dyDescent="0.35">
      <c r="A1537" s="471">
        <v>43590</v>
      </c>
      <c r="B1537" s="107">
        <v>362.5</v>
      </c>
    </row>
    <row r="1538" spans="1:2" x14ac:dyDescent="0.35">
      <c r="A1538" s="471">
        <v>43587</v>
      </c>
      <c r="B1538" s="107">
        <v>358.2</v>
      </c>
    </row>
    <row r="1539" spans="1:2" x14ac:dyDescent="0.35">
      <c r="A1539" s="471">
        <v>43585</v>
      </c>
      <c r="B1539" s="107">
        <v>358.7</v>
      </c>
    </row>
    <row r="1540" spans="1:2" x14ac:dyDescent="0.35">
      <c r="A1540" s="471">
        <v>43584</v>
      </c>
      <c r="B1540" s="107">
        <v>360</v>
      </c>
    </row>
    <row r="1541" spans="1:2" x14ac:dyDescent="0.35">
      <c r="A1541" s="471">
        <v>43583</v>
      </c>
      <c r="B1541" s="107">
        <v>365.2</v>
      </c>
    </row>
    <row r="1542" spans="1:2" x14ac:dyDescent="0.35">
      <c r="A1542" s="471">
        <v>43580</v>
      </c>
      <c r="B1542" s="107">
        <v>364.2</v>
      </c>
    </row>
    <row r="1543" spans="1:2" x14ac:dyDescent="0.35">
      <c r="A1543" s="471">
        <v>43579</v>
      </c>
      <c r="B1543" s="107">
        <v>367.9</v>
      </c>
    </row>
    <row r="1544" spans="1:2" x14ac:dyDescent="0.35">
      <c r="A1544" s="471">
        <v>43578</v>
      </c>
      <c r="B1544" s="107">
        <v>369.4</v>
      </c>
    </row>
    <row r="1545" spans="1:2" x14ac:dyDescent="0.35">
      <c r="A1545" s="471">
        <v>43576</v>
      </c>
      <c r="B1545" s="107">
        <v>374</v>
      </c>
    </row>
    <row r="1546" spans="1:2" x14ac:dyDescent="0.35">
      <c r="A1546" s="471">
        <v>43573</v>
      </c>
      <c r="B1546" s="107">
        <v>368.4</v>
      </c>
    </row>
    <row r="1547" spans="1:2" x14ac:dyDescent="0.35">
      <c r="A1547" s="471">
        <v>43572</v>
      </c>
      <c r="B1547" s="107">
        <v>372.9</v>
      </c>
    </row>
    <row r="1548" spans="1:2" x14ac:dyDescent="0.35">
      <c r="A1548" s="471">
        <v>43571</v>
      </c>
      <c r="B1548" s="107">
        <v>371.7</v>
      </c>
    </row>
    <row r="1549" spans="1:2" x14ac:dyDescent="0.35">
      <c r="A1549" s="471">
        <v>43570</v>
      </c>
      <c r="B1549" s="107">
        <v>377.8</v>
      </c>
    </row>
    <row r="1550" spans="1:2" x14ac:dyDescent="0.35">
      <c r="A1550" s="471">
        <v>43566</v>
      </c>
      <c r="B1550" s="107">
        <v>367.7</v>
      </c>
    </row>
    <row r="1551" spans="1:2" x14ac:dyDescent="0.35">
      <c r="A1551" s="471">
        <v>43565</v>
      </c>
      <c r="B1551" s="107">
        <v>357.6</v>
      </c>
    </row>
    <row r="1552" spans="1:2" x14ac:dyDescent="0.35">
      <c r="A1552" s="471">
        <v>43564</v>
      </c>
      <c r="B1552" s="107">
        <v>362</v>
      </c>
    </row>
    <row r="1553" spans="1:2" x14ac:dyDescent="0.35">
      <c r="A1553" s="471">
        <v>43563</v>
      </c>
      <c r="B1553" s="107">
        <v>370.9</v>
      </c>
    </row>
    <row r="1554" spans="1:2" x14ac:dyDescent="0.35">
      <c r="A1554" s="471">
        <v>43562</v>
      </c>
      <c r="B1554" s="107">
        <v>375.5</v>
      </c>
    </row>
    <row r="1555" spans="1:2" x14ac:dyDescent="0.35">
      <c r="A1555" s="471">
        <v>43559</v>
      </c>
      <c r="B1555" s="107">
        <v>387.9</v>
      </c>
    </row>
    <row r="1556" spans="1:2" x14ac:dyDescent="0.35">
      <c r="A1556" s="471">
        <v>43558</v>
      </c>
      <c r="B1556" s="107">
        <v>399.4</v>
      </c>
    </row>
    <row r="1557" spans="1:2" x14ac:dyDescent="0.35">
      <c r="A1557" s="471">
        <v>43557</v>
      </c>
      <c r="B1557" s="107">
        <v>409.6</v>
      </c>
    </row>
    <row r="1558" spans="1:2" x14ac:dyDescent="0.35">
      <c r="A1558" s="471">
        <v>43556</v>
      </c>
      <c r="B1558" s="107">
        <v>417</v>
      </c>
    </row>
    <row r="1559" spans="1:2" x14ac:dyDescent="0.35">
      <c r="A1559" s="471">
        <v>43555</v>
      </c>
      <c r="B1559" s="107">
        <v>409.2</v>
      </c>
    </row>
    <row r="1560" spans="1:2" x14ac:dyDescent="0.35">
      <c r="A1560" s="471">
        <v>43552</v>
      </c>
      <c r="B1560" s="107">
        <v>407.4</v>
      </c>
    </row>
    <row r="1561" spans="1:2" x14ac:dyDescent="0.35">
      <c r="A1561" s="471">
        <v>43551</v>
      </c>
      <c r="B1561" s="107">
        <v>408.5</v>
      </c>
    </row>
    <row r="1562" spans="1:2" x14ac:dyDescent="0.35">
      <c r="A1562" s="471">
        <v>43549</v>
      </c>
      <c r="B1562" s="107">
        <v>409.5</v>
      </c>
    </row>
    <row r="1563" spans="1:2" x14ac:dyDescent="0.35">
      <c r="A1563" s="471">
        <v>43548</v>
      </c>
      <c r="B1563" s="107">
        <v>401.4</v>
      </c>
    </row>
    <row r="1564" spans="1:2" x14ac:dyDescent="0.35">
      <c r="A1564" s="471">
        <v>43545</v>
      </c>
      <c r="B1564" s="107">
        <v>397.3</v>
      </c>
    </row>
    <row r="1565" spans="1:2" x14ac:dyDescent="0.35">
      <c r="A1565" s="471">
        <v>43544</v>
      </c>
      <c r="B1565" s="107">
        <v>394.9</v>
      </c>
    </row>
    <row r="1566" spans="1:2" x14ac:dyDescent="0.35">
      <c r="A1566" s="471">
        <v>43543</v>
      </c>
      <c r="B1566" s="107">
        <v>391.7</v>
      </c>
    </row>
    <row r="1567" spans="1:2" x14ac:dyDescent="0.35">
      <c r="A1567" s="471">
        <v>43542</v>
      </c>
      <c r="B1567" s="107">
        <v>388.4</v>
      </c>
    </row>
    <row r="1568" spans="1:2" x14ac:dyDescent="0.35">
      <c r="A1568" s="471">
        <v>43538</v>
      </c>
      <c r="B1568" s="107">
        <v>387.1</v>
      </c>
    </row>
    <row r="1569" spans="1:2" x14ac:dyDescent="0.35">
      <c r="A1569" s="471">
        <v>43537</v>
      </c>
      <c r="B1569" s="107">
        <v>385.5</v>
      </c>
    </row>
    <row r="1570" spans="1:2" x14ac:dyDescent="0.35">
      <c r="A1570" s="471">
        <v>43536</v>
      </c>
      <c r="B1570" s="107">
        <v>392.9</v>
      </c>
    </row>
    <row r="1571" spans="1:2" x14ac:dyDescent="0.35">
      <c r="A1571" s="471">
        <v>43535</v>
      </c>
      <c r="B1571" s="107">
        <v>384.9</v>
      </c>
    </row>
    <row r="1572" spans="1:2" x14ac:dyDescent="0.35">
      <c r="A1572" s="471">
        <v>43534</v>
      </c>
      <c r="B1572" s="107">
        <v>385.3</v>
      </c>
    </row>
    <row r="1573" spans="1:2" x14ac:dyDescent="0.35">
      <c r="A1573" s="471">
        <v>43531</v>
      </c>
      <c r="B1573" s="107">
        <v>385.8</v>
      </c>
    </row>
    <row r="1574" spans="1:2" x14ac:dyDescent="0.35">
      <c r="A1574" s="471">
        <v>43530</v>
      </c>
      <c r="B1574" s="107">
        <v>390</v>
      </c>
    </row>
    <row r="1575" spans="1:2" x14ac:dyDescent="0.35">
      <c r="A1575" s="471">
        <v>43529</v>
      </c>
      <c r="B1575" s="107">
        <v>392</v>
      </c>
    </row>
    <row r="1576" spans="1:2" x14ac:dyDescent="0.35">
      <c r="A1576" s="471">
        <v>43528</v>
      </c>
      <c r="B1576" s="107">
        <v>393.4</v>
      </c>
    </row>
    <row r="1577" spans="1:2" x14ac:dyDescent="0.35">
      <c r="A1577" s="471">
        <v>43527</v>
      </c>
      <c r="B1577" s="107">
        <v>390</v>
      </c>
    </row>
    <row r="1578" spans="1:2" x14ac:dyDescent="0.35">
      <c r="A1578" s="471">
        <v>43523</v>
      </c>
      <c r="B1578" s="107">
        <v>393.5</v>
      </c>
    </row>
    <row r="1579" spans="1:2" x14ac:dyDescent="0.35">
      <c r="A1579" s="471">
        <v>43522</v>
      </c>
      <c r="B1579" s="107">
        <v>398.6</v>
      </c>
    </row>
    <row r="1580" spans="1:2" x14ac:dyDescent="0.35">
      <c r="A1580" s="471">
        <v>43521</v>
      </c>
      <c r="B1580" s="107">
        <v>397.4</v>
      </c>
    </row>
    <row r="1581" spans="1:2" x14ac:dyDescent="0.35">
      <c r="A1581" s="471">
        <v>43520</v>
      </c>
      <c r="B1581" s="107">
        <v>385.6</v>
      </c>
    </row>
    <row r="1582" spans="1:2" x14ac:dyDescent="0.35">
      <c r="A1582" s="471">
        <v>43516</v>
      </c>
      <c r="B1582" s="107">
        <v>385.7</v>
      </c>
    </row>
    <row r="1583" spans="1:2" x14ac:dyDescent="0.35">
      <c r="A1583" s="471">
        <v>43515</v>
      </c>
      <c r="B1583" s="107">
        <v>379.5</v>
      </c>
    </row>
    <row r="1584" spans="1:2" x14ac:dyDescent="0.35">
      <c r="A1584" s="471">
        <v>43514</v>
      </c>
      <c r="B1584" s="107">
        <v>377.1</v>
      </c>
    </row>
    <row r="1585" spans="1:2" x14ac:dyDescent="0.35">
      <c r="A1585" s="471">
        <v>43513</v>
      </c>
      <c r="B1585" s="107">
        <v>389.9</v>
      </c>
    </row>
    <row r="1586" spans="1:2" x14ac:dyDescent="0.35">
      <c r="A1586" s="471">
        <v>43510</v>
      </c>
      <c r="B1586" s="107">
        <v>389.9</v>
      </c>
    </row>
    <row r="1587" spans="1:2" x14ac:dyDescent="0.35">
      <c r="A1587" s="471">
        <v>43509</v>
      </c>
      <c r="B1587" s="107">
        <v>392.9</v>
      </c>
    </row>
    <row r="1588" spans="1:2" x14ac:dyDescent="0.35">
      <c r="A1588" s="471">
        <v>43508</v>
      </c>
      <c r="B1588" s="107">
        <v>388.6</v>
      </c>
    </row>
    <row r="1589" spans="1:2" x14ac:dyDescent="0.35">
      <c r="A1589" s="471">
        <v>43507</v>
      </c>
      <c r="B1589" s="107">
        <v>397.6</v>
      </c>
    </row>
    <row r="1590" spans="1:2" x14ac:dyDescent="0.35">
      <c r="A1590" s="471">
        <v>43506</v>
      </c>
      <c r="B1590" s="107">
        <v>406.1</v>
      </c>
    </row>
    <row r="1591" spans="1:2" x14ac:dyDescent="0.35">
      <c r="A1591" s="471">
        <v>43503</v>
      </c>
      <c r="B1591" s="107">
        <v>405.5</v>
      </c>
    </row>
    <row r="1592" spans="1:2" x14ac:dyDescent="0.35">
      <c r="A1592" s="471">
        <v>43502</v>
      </c>
      <c r="B1592" s="107">
        <v>404.9</v>
      </c>
    </row>
    <row r="1593" spans="1:2" x14ac:dyDescent="0.35">
      <c r="A1593" s="471">
        <v>43501</v>
      </c>
      <c r="B1593" s="107">
        <v>403.5</v>
      </c>
    </row>
    <row r="1594" spans="1:2" x14ac:dyDescent="0.35">
      <c r="A1594" s="471">
        <v>43500</v>
      </c>
      <c r="B1594" s="107">
        <v>402</v>
      </c>
    </row>
    <row r="1595" spans="1:2" x14ac:dyDescent="0.35">
      <c r="A1595" s="471">
        <v>43499</v>
      </c>
      <c r="B1595" s="107">
        <v>394</v>
      </c>
    </row>
    <row r="1596" spans="1:2" x14ac:dyDescent="0.35">
      <c r="A1596" s="471">
        <v>43496</v>
      </c>
      <c r="B1596" s="107">
        <v>398.2</v>
      </c>
    </row>
    <row r="1597" spans="1:2" x14ac:dyDescent="0.35">
      <c r="A1597" s="471">
        <v>43495</v>
      </c>
      <c r="B1597" s="107">
        <v>413.8</v>
      </c>
    </row>
    <row r="1598" spans="1:2" x14ac:dyDescent="0.35">
      <c r="A1598" s="471">
        <v>43494</v>
      </c>
      <c r="B1598" s="107">
        <v>415.4</v>
      </c>
    </row>
    <row r="1599" spans="1:2" x14ac:dyDescent="0.35">
      <c r="A1599" s="471">
        <v>43493</v>
      </c>
      <c r="B1599" s="107">
        <v>409.5</v>
      </c>
    </row>
    <row r="1600" spans="1:2" x14ac:dyDescent="0.35">
      <c r="A1600" s="471">
        <v>43492</v>
      </c>
      <c r="B1600" s="107">
        <v>393.6</v>
      </c>
    </row>
    <row r="1601" spans="1:2" x14ac:dyDescent="0.35">
      <c r="A1601" s="471">
        <v>43489</v>
      </c>
      <c r="B1601" s="107">
        <v>395.5</v>
      </c>
    </row>
    <row r="1602" spans="1:2" x14ac:dyDescent="0.35">
      <c r="A1602" s="471">
        <v>43488</v>
      </c>
      <c r="B1602" s="107">
        <v>391.5</v>
      </c>
    </row>
    <row r="1603" spans="1:2" x14ac:dyDescent="0.35">
      <c r="A1603" s="471">
        <v>43487</v>
      </c>
      <c r="B1603" s="107">
        <v>388.9</v>
      </c>
    </row>
    <row r="1604" spans="1:2" x14ac:dyDescent="0.35">
      <c r="A1604" s="471">
        <v>43486</v>
      </c>
      <c r="B1604" s="107">
        <v>384.6</v>
      </c>
    </row>
    <row r="1605" spans="1:2" x14ac:dyDescent="0.35">
      <c r="A1605" s="471">
        <v>43485</v>
      </c>
      <c r="B1605" s="107">
        <v>385.2</v>
      </c>
    </row>
    <row r="1606" spans="1:2" x14ac:dyDescent="0.35">
      <c r="A1606" s="471">
        <v>43482</v>
      </c>
      <c r="B1606" s="107">
        <v>375.1</v>
      </c>
    </row>
    <row r="1607" spans="1:2" x14ac:dyDescent="0.35">
      <c r="A1607" s="471">
        <v>43481</v>
      </c>
      <c r="B1607" s="107">
        <v>382.6</v>
      </c>
    </row>
    <row r="1608" spans="1:2" x14ac:dyDescent="0.35">
      <c r="A1608" s="471">
        <v>43480</v>
      </c>
      <c r="B1608" s="107">
        <v>387.1</v>
      </c>
    </row>
    <row r="1609" spans="1:2" x14ac:dyDescent="0.35">
      <c r="A1609" s="471">
        <v>43479</v>
      </c>
      <c r="B1609" s="107">
        <v>389.3</v>
      </c>
    </row>
    <row r="1610" spans="1:2" x14ac:dyDescent="0.35">
      <c r="A1610" s="471">
        <v>43478</v>
      </c>
      <c r="B1610" s="107">
        <v>389.9</v>
      </c>
    </row>
    <row r="1611" spans="1:2" x14ac:dyDescent="0.35">
      <c r="A1611" s="471">
        <v>43475</v>
      </c>
      <c r="B1611" s="107">
        <v>388.9</v>
      </c>
    </row>
    <row r="1612" spans="1:2" x14ac:dyDescent="0.35">
      <c r="A1612" s="471">
        <v>43474</v>
      </c>
      <c r="B1612" s="107">
        <v>382.7</v>
      </c>
    </row>
    <row r="1613" spans="1:2" x14ac:dyDescent="0.35">
      <c r="A1613" s="471">
        <v>43473</v>
      </c>
      <c r="B1613" s="107">
        <v>379.7</v>
      </c>
    </row>
    <row r="1614" spans="1:2" x14ac:dyDescent="0.35">
      <c r="A1614" s="471">
        <v>43472</v>
      </c>
      <c r="B1614" s="107">
        <v>372.1</v>
      </c>
    </row>
    <row r="1615" spans="1:2" x14ac:dyDescent="0.35">
      <c r="A1615" s="471">
        <v>43471</v>
      </c>
      <c r="B1615" s="107">
        <v>373</v>
      </c>
    </row>
    <row r="1616" spans="1:2" x14ac:dyDescent="0.35">
      <c r="A1616" s="471">
        <v>43468</v>
      </c>
      <c r="B1616" s="107">
        <v>365.4</v>
      </c>
    </row>
    <row r="1617" spans="1:2" x14ac:dyDescent="0.35">
      <c r="A1617" s="471">
        <v>43467</v>
      </c>
      <c r="B1617" s="107">
        <v>365.6</v>
      </c>
    </row>
    <row r="1618" spans="1:2" x14ac:dyDescent="0.35">
      <c r="A1618" s="471">
        <v>43466</v>
      </c>
      <c r="B1618" s="107">
        <v>368.3</v>
      </c>
    </row>
    <row r="1619" spans="1:2" x14ac:dyDescent="0.35">
      <c r="A1619" s="471">
        <v>43461</v>
      </c>
      <c r="B1619" s="107">
        <v>367.3</v>
      </c>
    </row>
    <row r="1620" spans="1:2" x14ac:dyDescent="0.35">
      <c r="A1620" s="471">
        <v>43460</v>
      </c>
      <c r="B1620" s="107">
        <v>361</v>
      </c>
    </row>
    <row r="1621" spans="1:2" x14ac:dyDescent="0.35">
      <c r="A1621" s="471">
        <v>43458</v>
      </c>
      <c r="B1621" s="107">
        <v>360.4</v>
      </c>
    </row>
    <row r="1622" spans="1:2" x14ac:dyDescent="0.35">
      <c r="A1622" s="471">
        <v>43457</v>
      </c>
      <c r="B1622" s="107">
        <v>359.6</v>
      </c>
    </row>
    <row r="1623" spans="1:2" x14ac:dyDescent="0.35">
      <c r="A1623" s="471">
        <v>43454</v>
      </c>
      <c r="B1623" s="107">
        <v>356.8</v>
      </c>
    </row>
    <row r="1624" spans="1:2" x14ac:dyDescent="0.35">
      <c r="A1624" s="471">
        <v>43453</v>
      </c>
      <c r="B1624" s="107">
        <v>356.5</v>
      </c>
    </row>
    <row r="1625" spans="1:2" x14ac:dyDescent="0.35">
      <c r="A1625" s="471">
        <v>43452</v>
      </c>
      <c r="B1625" s="107">
        <v>359.6</v>
      </c>
    </row>
    <row r="1626" spans="1:2" x14ac:dyDescent="0.35">
      <c r="A1626" s="471">
        <v>43451</v>
      </c>
      <c r="B1626" s="107">
        <v>358.9</v>
      </c>
    </row>
    <row r="1627" spans="1:2" x14ac:dyDescent="0.35">
      <c r="A1627" s="471">
        <v>43447</v>
      </c>
      <c r="B1627" s="107">
        <v>356.3</v>
      </c>
    </row>
    <row r="1628" spans="1:2" x14ac:dyDescent="0.35">
      <c r="A1628" s="471">
        <v>43446</v>
      </c>
      <c r="B1628" s="107">
        <v>354.9</v>
      </c>
    </row>
    <row r="1629" spans="1:2" x14ac:dyDescent="0.35">
      <c r="A1629" s="471">
        <v>43445</v>
      </c>
      <c r="B1629" s="107">
        <v>355.5</v>
      </c>
    </row>
    <row r="1630" spans="1:2" x14ac:dyDescent="0.35">
      <c r="A1630" s="471">
        <v>43444</v>
      </c>
      <c r="B1630" s="107">
        <v>359.7</v>
      </c>
    </row>
    <row r="1631" spans="1:2" x14ac:dyDescent="0.35">
      <c r="A1631" s="471">
        <v>43443</v>
      </c>
      <c r="B1631" s="107">
        <v>362</v>
      </c>
    </row>
    <row r="1632" spans="1:2" x14ac:dyDescent="0.35">
      <c r="A1632" s="471">
        <v>43440</v>
      </c>
      <c r="B1632" s="107">
        <v>362.9</v>
      </c>
    </row>
    <row r="1633" spans="1:2" x14ac:dyDescent="0.35">
      <c r="A1633" s="471">
        <v>43439</v>
      </c>
      <c r="B1633" s="107">
        <v>360.8</v>
      </c>
    </row>
    <row r="1634" spans="1:2" x14ac:dyDescent="0.35">
      <c r="A1634" s="471">
        <v>43438</v>
      </c>
      <c r="B1634" s="107">
        <v>362.4</v>
      </c>
    </row>
    <row r="1635" spans="1:2" x14ac:dyDescent="0.35">
      <c r="A1635" s="471">
        <v>43437</v>
      </c>
      <c r="B1635" s="107">
        <v>360.6</v>
      </c>
    </row>
    <row r="1636" spans="1:2" x14ac:dyDescent="0.35">
      <c r="A1636" s="471">
        <v>43436</v>
      </c>
      <c r="B1636" s="107">
        <v>360.4</v>
      </c>
    </row>
    <row r="1637" spans="1:2" x14ac:dyDescent="0.35">
      <c r="A1637" s="471">
        <v>43433</v>
      </c>
      <c r="B1637" s="107">
        <v>362.7</v>
      </c>
    </row>
    <row r="1638" spans="1:2" x14ac:dyDescent="0.35">
      <c r="A1638" s="471">
        <v>43432</v>
      </c>
      <c r="B1638" s="107">
        <v>367.4</v>
      </c>
    </row>
    <row r="1639" spans="1:2" x14ac:dyDescent="0.35">
      <c r="A1639" s="471">
        <v>43431</v>
      </c>
      <c r="B1639" s="107">
        <v>366</v>
      </c>
    </row>
  </sheetData>
  <mergeCells count="2">
    <mergeCell ref="A1:B1"/>
    <mergeCell ref="D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AEB8F-219F-46A5-86AE-DBE4BF9FE3AA}">
  <dimension ref="A1:AA1190"/>
  <sheetViews>
    <sheetView topLeftCell="B1" zoomScale="80" workbookViewId="0">
      <selection activeCell="O7" sqref="O7"/>
    </sheetView>
  </sheetViews>
  <sheetFormatPr defaultRowHeight="14.5" x14ac:dyDescent="0.35"/>
  <cols>
    <col min="1" max="1" width="11.54296875" style="473" bestFit="1" customWidth="1"/>
    <col min="2" max="3" width="8.7265625" style="26"/>
    <col min="4" max="4" width="2.7265625" style="299" customWidth="1"/>
    <col min="5" max="5" width="11.54296875" style="473" bestFit="1" customWidth="1"/>
    <col min="6" max="7" width="8.7265625" style="26"/>
    <col min="8" max="8" width="2.7265625" style="299" customWidth="1"/>
    <col min="9" max="9" width="3.7265625" style="299" customWidth="1"/>
    <col min="10" max="11" width="15.26953125" style="299" customWidth="1"/>
    <col min="12" max="12" width="3.54296875" style="299" customWidth="1"/>
    <col min="13" max="13" width="17.1796875" style="299" bestFit="1" customWidth="1"/>
    <col min="14" max="14" width="38.7265625" style="299" bestFit="1" customWidth="1"/>
    <col min="15" max="15" width="15" style="299" bestFit="1" customWidth="1"/>
    <col min="16" max="16384" width="8.7265625" style="299"/>
  </cols>
  <sheetData>
    <row r="1" spans="1:27" s="475" customFormat="1" ht="18.5" x14ac:dyDescent="0.45">
      <c r="A1" s="474" t="s">
        <v>341</v>
      </c>
      <c r="B1" s="474"/>
      <c r="C1" s="474"/>
      <c r="E1" s="474" t="s">
        <v>418</v>
      </c>
      <c r="F1" s="474"/>
      <c r="G1" s="474"/>
      <c r="J1" s="476" t="s">
        <v>419</v>
      </c>
      <c r="K1" s="476" t="s">
        <v>420</v>
      </c>
      <c r="M1" s="477" t="s">
        <v>421</v>
      </c>
      <c r="N1" s="478">
        <v>43431</v>
      </c>
      <c r="R1" s="479" t="s">
        <v>422</v>
      </c>
      <c r="S1" s="480"/>
      <c r="T1" s="480"/>
      <c r="U1" s="480"/>
      <c r="V1" s="480"/>
      <c r="W1" s="480"/>
      <c r="X1" s="480"/>
      <c r="Y1" s="480"/>
      <c r="Z1" s="480"/>
      <c r="AA1" s="481"/>
    </row>
    <row r="2" spans="1:27" s="475" customFormat="1" ht="18.75" customHeight="1" x14ac:dyDescent="0.45">
      <c r="A2" s="476" t="s">
        <v>416</v>
      </c>
      <c r="B2" s="476" t="s">
        <v>417</v>
      </c>
      <c r="C2" s="476" t="s">
        <v>423</v>
      </c>
      <c r="D2" s="482"/>
      <c r="E2" s="476" t="s">
        <v>416</v>
      </c>
      <c r="F2" s="476" t="s">
        <v>417</v>
      </c>
      <c r="G2" s="476" t="s">
        <v>423</v>
      </c>
      <c r="J2" s="483">
        <f>(B3/B4)-1</f>
        <v>1.7992083483266974E-3</v>
      </c>
      <c r="K2" s="484">
        <f>(F3/F4)-1</f>
        <v>3.6608247834244434E-3</v>
      </c>
      <c r="M2" s="485" t="s">
        <v>424</v>
      </c>
      <c r="N2" s="486">
        <f>A3</f>
        <v>45988</v>
      </c>
      <c r="R2" s="487">
        <v>1</v>
      </c>
      <c r="S2" s="488" t="s">
        <v>425</v>
      </c>
      <c r="T2" s="488"/>
      <c r="U2" s="488"/>
      <c r="V2" s="488"/>
      <c r="W2" s="488"/>
      <c r="X2" s="488"/>
      <c r="Y2" s="488"/>
      <c r="Z2" s="488"/>
      <c r="AA2" s="489"/>
    </row>
    <row r="3" spans="1:27" ht="19" thickBot="1" x14ac:dyDescent="0.5">
      <c r="A3" s="490">
        <v>45988</v>
      </c>
      <c r="B3" s="491">
        <f>VLOOKUP(A3,'[2]GP Data'!$A$3:$B$1639, 2, FALSE)</f>
        <v>278.39999999999998</v>
      </c>
      <c r="C3" s="483">
        <f>(B3/B4)-1</f>
        <v>1.7992083483266974E-3</v>
      </c>
      <c r="E3" s="492">
        <v>45988</v>
      </c>
      <c r="F3" s="493">
        <f>VLOOKUP(E3,'[2]GP Data'!$D$3:$E$1530, 2, FALSE)</f>
        <v>5028.1400000000003</v>
      </c>
      <c r="G3" s="484">
        <f>(F3/F4)-1</f>
        <v>3.6608247834244434E-3</v>
      </c>
      <c r="J3" s="483">
        <f t="shared" ref="J3:J66" si="0">(B4/B5)-1</f>
        <v>1.4414414414414267E-3</v>
      </c>
      <c r="K3" s="484">
        <f t="shared" ref="K3:K66" si="1">(F4/F5)-1</f>
        <v>-1.6898220107286477E-3</v>
      </c>
      <c r="M3" s="494" t="s">
        <v>426</v>
      </c>
      <c r="N3" s="495" t="s">
        <v>427</v>
      </c>
      <c r="R3" s="496"/>
      <c r="S3" s="488"/>
      <c r="T3" s="488"/>
      <c r="U3" s="488"/>
      <c r="V3" s="488"/>
      <c r="W3" s="488"/>
      <c r="X3" s="488"/>
      <c r="Y3" s="488"/>
      <c r="Z3" s="488"/>
      <c r="AA3" s="497"/>
    </row>
    <row r="4" spans="1:27" x14ac:dyDescent="0.35">
      <c r="A4" s="490">
        <v>45987</v>
      </c>
      <c r="B4" s="491">
        <v>277.89999999999998</v>
      </c>
      <c r="C4" s="483">
        <f t="shared" ref="C4:C67" si="2">(B4/B5)-1</f>
        <v>1.4414414414414267E-3</v>
      </c>
      <c r="E4" s="492">
        <v>45987</v>
      </c>
      <c r="F4" s="493">
        <f>VLOOKUP(E4,'[2]GP Data'!$D$3:$E$1530, 2, FALSE)</f>
        <v>5009.8</v>
      </c>
      <c r="G4" s="484">
        <f t="shared" ref="G4:G67" si="3">(F4/F5)-1</f>
        <v>-1.6898220107286477E-3</v>
      </c>
      <c r="J4" s="483">
        <f t="shared" si="0"/>
        <v>8.3575581395349818E-3</v>
      </c>
      <c r="K4" s="484">
        <f t="shared" si="1"/>
        <v>-1.3094892196001684E-3</v>
      </c>
      <c r="R4" s="496"/>
      <c r="S4" s="488"/>
      <c r="T4" s="488"/>
      <c r="U4" s="488"/>
      <c r="V4" s="488"/>
      <c r="W4" s="488"/>
      <c r="X4" s="488"/>
      <c r="Y4" s="488"/>
      <c r="Z4" s="488"/>
      <c r="AA4" s="497"/>
    </row>
    <row r="5" spans="1:27" ht="18.5" x14ac:dyDescent="0.45">
      <c r="A5" s="490">
        <v>45986</v>
      </c>
      <c r="B5" s="491">
        <f>VLOOKUP(A5,'[2]GP Data'!$A$3:$B$1639, 2, FALSE)</f>
        <v>277.5</v>
      </c>
      <c r="C5" s="483">
        <f t="shared" si="2"/>
        <v>8.3575581395349818E-3</v>
      </c>
      <c r="E5" s="492">
        <v>45986</v>
      </c>
      <c r="F5" s="493">
        <f>VLOOKUP(E5,'[2]GP Data'!$D$3:$E$1530, 2, FALSE)</f>
        <v>5018.28</v>
      </c>
      <c r="G5" s="484">
        <f t="shared" si="3"/>
        <v>-1.3094892196001684E-3</v>
      </c>
      <c r="J5" s="483">
        <f t="shared" si="0"/>
        <v>4.3795620437956373E-3</v>
      </c>
      <c r="K5" s="484">
        <f t="shared" si="1"/>
        <v>2.2196002644560675E-2</v>
      </c>
      <c r="M5" s="660" t="s">
        <v>428</v>
      </c>
      <c r="N5" s="661">
        <f>SLOPE(J2:J1188,K2:K1188)</f>
        <v>0.85102811460885219</v>
      </c>
      <c r="R5" s="498"/>
      <c r="S5" s="488"/>
      <c r="T5" s="488"/>
      <c r="U5" s="488"/>
      <c r="V5" s="488"/>
      <c r="W5" s="488"/>
      <c r="X5" s="488"/>
      <c r="Y5" s="488"/>
      <c r="Z5" s="488"/>
      <c r="AA5" s="497"/>
    </row>
    <row r="6" spans="1:27" ht="18.5" x14ac:dyDescent="0.45">
      <c r="A6" s="490">
        <v>45985</v>
      </c>
      <c r="B6" s="491">
        <f>VLOOKUP(A6,'[2]GP Data'!$A$3:$B$1639, 2, FALSE)</f>
        <v>275.2</v>
      </c>
      <c r="C6" s="483">
        <f t="shared" si="2"/>
        <v>4.3795620437956373E-3</v>
      </c>
      <c r="E6" s="492">
        <v>45985</v>
      </c>
      <c r="F6" s="493">
        <f>VLOOKUP(E6,'[2]GP Data'!$D$3:$E$1530, 2, FALSE)</f>
        <v>5024.8599999999997</v>
      </c>
      <c r="G6" s="484">
        <f t="shared" si="3"/>
        <v>2.2196002644560675E-2</v>
      </c>
      <c r="J6" s="483">
        <f t="shared" si="0"/>
        <v>2.5612879619465456E-3</v>
      </c>
      <c r="K6" s="484">
        <f t="shared" si="1"/>
        <v>9.5994873701223948E-3</v>
      </c>
      <c r="M6" s="660" t="s">
        <v>429</v>
      </c>
      <c r="N6" s="662">
        <f>RSQ(K2:K1188,J2:J1188)</f>
        <v>0.2912694515357212</v>
      </c>
      <c r="R6" s="499">
        <v>2</v>
      </c>
      <c r="S6" s="488" t="s">
        <v>430</v>
      </c>
      <c r="T6" s="488"/>
      <c r="U6" s="488"/>
      <c r="V6" s="488"/>
      <c r="W6" s="488"/>
      <c r="X6" s="488"/>
      <c r="Y6" s="488"/>
      <c r="Z6" s="488"/>
      <c r="AA6" s="488"/>
    </row>
    <row r="7" spans="1:27" ht="15" customHeight="1" x14ac:dyDescent="0.45">
      <c r="A7" s="490">
        <v>45984</v>
      </c>
      <c r="B7" s="491">
        <f>VLOOKUP(A7,'[2]GP Data'!$A$3:$B$1639, 2, FALSE)</f>
        <v>274</v>
      </c>
      <c r="C7" s="483">
        <f t="shared" si="2"/>
        <v>2.5612879619465456E-3</v>
      </c>
      <c r="E7" s="492">
        <v>45984</v>
      </c>
      <c r="F7" s="493">
        <f>VLOOKUP(E7,'[2]GP Data'!$D$3:$E$1530, 2, FALSE)</f>
        <v>4915.75</v>
      </c>
      <c r="G7" s="484">
        <f t="shared" si="3"/>
        <v>9.5994873701223948E-3</v>
      </c>
      <c r="J7" s="483">
        <f t="shared" si="0"/>
        <v>-2.1905805038333614E-3</v>
      </c>
      <c r="K7" s="484">
        <f t="shared" si="1"/>
        <v>-6.604262473017819E-3</v>
      </c>
      <c r="M7" s="660" t="s">
        <v>431</v>
      </c>
      <c r="N7" s="663">
        <f>INTERCEPT(K2:K1188,J2:J1188)</f>
        <v>4.454519953796955E-5</v>
      </c>
      <c r="R7" s="500"/>
      <c r="S7" s="488"/>
      <c r="T7" s="488"/>
      <c r="U7" s="488"/>
      <c r="V7" s="488"/>
      <c r="W7" s="488"/>
      <c r="X7" s="488"/>
      <c r="Y7" s="488"/>
      <c r="Z7" s="488"/>
      <c r="AA7" s="488"/>
    </row>
    <row r="8" spans="1:27" ht="15" customHeight="1" x14ac:dyDescent="0.35">
      <c r="A8" s="490">
        <v>45981</v>
      </c>
      <c r="B8" s="491">
        <f>VLOOKUP(A8,'[2]GP Data'!$A$3:$B$1639, 2, FALSE)</f>
        <v>273.3</v>
      </c>
      <c r="C8" s="483">
        <f t="shared" si="2"/>
        <v>-2.1905805038333614E-3</v>
      </c>
      <c r="E8" s="492">
        <v>45981</v>
      </c>
      <c r="F8" s="493">
        <f>VLOOKUP(E8,'[2]GP Data'!$D$3:$E$1530, 2, FALSE)</f>
        <v>4869.01</v>
      </c>
      <c r="G8" s="484">
        <f t="shared" si="3"/>
        <v>-6.604262473017819E-3</v>
      </c>
      <c r="J8" s="483">
        <f t="shared" si="0"/>
        <v>5.5066079295154058E-3</v>
      </c>
      <c r="K8" s="484">
        <f t="shared" si="1"/>
        <v>1.1244346878816813E-2</v>
      </c>
      <c r="R8" s="500"/>
      <c r="S8" s="488"/>
      <c r="T8" s="488"/>
      <c r="U8" s="488"/>
      <c r="V8" s="488"/>
      <c r="W8" s="488"/>
      <c r="X8" s="488"/>
      <c r="Y8" s="488"/>
      <c r="Z8" s="488"/>
      <c r="AA8" s="488"/>
    </row>
    <row r="9" spans="1:27" ht="15" customHeight="1" x14ac:dyDescent="0.35">
      <c r="A9" s="490">
        <v>45980</v>
      </c>
      <c r="B9" s="491">
        <f>VLOOKUP(A9,'[2]GP Data'!$A$3:$B$1639, 2, FALSE)</f>
        <v>273.89999999999998</v>
      </c>
      <c r="C9" s="483">
        <f t="shared" si="2"/>
        <v>5.5066079295154058E-3</v>
      </c>
      <c r="E9" s="492">
        <v>45980</v>
      </c>
      <c r="F9" s="493">
        <f>VLOOKUP(E9,'[2]GP Data'!$D$3:$E$1530, 2, FALSE)</f>
        <v>4901.38</v>
      </c>
      <c r="G9" s="484">
        <f t="shared" si="3"/>
        <v>1.1244346878816813E-2</v>
      </c>
      <c r="J9" s="483">
        <f t="shared" si="0"/>
        <v>1.8389113644723398E-3</v>
      </c>
      <c r="K9" s="484">
        <f t="shared" si="1"/>
        <v>1.5061906277748838E-2</v>
      </c>
      <c r="R9" s="500"/>
      <c r="S9" s="488"/>
      <c r="T9" s="488"/>
      <c r="U9" s="488"/>
      <c r="V9" s="488"/>
      <c r="W9" s="488"/>
      <c r="X9" s="488"/>
      <c r="Y9" s="488"/>
      <c r="Z9" s="488"/>
      <c r="AA9" s="488"/>
    </row>
    <row r="10" spans="1:27" ht="15" customHeight="1" x14ac:dyDescent="0.35">
      <c r="A10" s="490">
        <v>45979</v>
      </c>
      <c r="B10" s="491">
        <f>VLOOKUP(A10,'[2]GP Data'!$A$3:$B$1639, 2, FALSE)</f>
        <v>272.39999999999998</v>
      </c>
      <c r="C10" s="483">
        <f t="shared" si="2"/>
        <v>1.8389113644723398E-3</v>
      </c>
      <c r="E10" s="492">
        <v>45979</v>
      </c>
      <c r="F10" s="493">
        <f>VLOOKUP(E10,'[2]GP Data'!$D$3:$E$1530, 2, FALSE)</f>
        <v>4846.88</v>
      </c>
      <c r="G10" s="484">
        <f t="shared" si="3"/>
        <v>1.5061906277748838E-2</v>
      </c>
      <c r="J10" s="483">
        <f t="shared" si="0"/>
        <v>1.8422991893882745E-3</v>
      </c>
      <c r="K10" s="484">
        <f t="shared" si="1"/>
        <v>9.0444955369217706E-3</v>
      </c>
      <c r="R10" s="500"/>
      <c r="S10" s="488"/>
      <c r="T10" s="488"/>
      <c r="U10" s="488"/>
      <c r="V10" s="488"/>
      <c r="W10" s="488"/>
      <c r="X10" s="488"/>
      <c r="Y10" s="488"/>
      <c r="Z10" s="488"/>
      <c r="AA10" s="488"/>
    </row>
    <row r="11" spans="1:27" x14ac:dyDescent="0.35">
      <c r="A11" s="490">
        <v>45978</v>
      </c>
      <c r="B11" s="491">
        <f>VLOOKUP(A11,'[2]GP Data'!$A$3:$B$1639, 2, FALSE)</f>
        <v>271.89999999999998</v>
      </c>
      <c r="C11" s="483">
        <f t="shared" si="2"/>
        <v>1.8422991893882745E-3</v>
      </c>
      <c r="E11" s="492">
        <v>45978</v>
      </c>
      <c r="F11" s="493">
        <f>VLOOKUP(E11,'[2]GP Data'!$D$3:$E$1530, 2, FALSE)</f>
        <v>4774.96</v>
      </c>
      <c r="G11" s="484">
        <f t="shared" si="3"/>
        <v>9.0444955369217706E-3</v>
      </c>
      <c r="J11" s="483">
        <f t="shared" si="0"/>
        <v>-2.0923520923521011E-2</v>
      </c>
      <c r="K11" s="484">
        <f t="shared" si="1"/>
        <v>6.2666261224959552E-3</v>
      </c>
      <c r="R11" s="500"/>
      <c r="S11" s="488"/>
      <c r="T11" s="488"/>
      <c r="U11" s="488"/>
      <c r="V11" s="488"/>
      <c r="W11" s="488"/>
      <c r="X11" s="488"/>
      <c r="Y11" s="488"/>
      <c r="Z11" s="488"/>
      <c r="AA11" s="488"/>
    </row>
    <row r="12" spans="1:27" x14ac:dyDescent="0.35">
      <c r="A12" s="490">
        <v>45977</v>
      </c>
      <c r="B12" s="491">
        <f>VLOOKUP(A12,'[2]GP Data'!$A$3:$B$1639, 2, FALSE)</f>
        <v>271.39999999999998</v>
      </c>
      <c r="C12" s="483">
        <f t="shared" si="2"/>
        <v>-2.0923520923521011E-2</v>
      </c>
      <c r="E12" s="492">
        <v>45977</v>
      </c>
      <c r="F12" s="493">
        <f>VLOOKUP(E12,'[2]GP Data'!$D$3:$E$1530, 2, FALSE)</f>
        <v>4732.16</v>
      </c>
      <c r="G12" s="484">
        <f t="shared" si="3"/>
        <v>6.2666261224959552E-3</v>
      </c>
      <c r="J12" s="483">
        <f t="shared" si="0"/>
        <v>-4.6678635547576786E-3</v>
      </c>
      <c r="K12" s="484">
        <f t="shared" si="1"/>
        <v>-2.5415878292261995E-2</v>
      </c>
      <c r="R12" s="501"/>
      <c r="S12" s="488"/>
      <c r="T12" s="488"/>
      <c r="U12" s="488"/>
      <c r="V12" s="488"/>
      <c r="W12" s="488"/>
      <c r="X12" s="488"/>
      <c r="Y12" s="488"/>
      <c r="Z12" s="488"/>
      <c r="AA12" s="488"/>
    </row>
    <row r="13" spans="1:27" x14ac:dyDescent="0.35">
      <c r="A13" s="490">
        <v>45974</v>
      </c>
      <c r="B13" s="491">
        <f>VLOOKUP(A13,'[2]GP Data'!$A$3:$B$1639, 2, FALSE)</f>
        <v>277.2</v>
      </c>
      <c r="C13" s="483">
        <f t="shared" si="2"/>
        <v>-4.6678635547576786E-3</v>
      </c>
      <c r="E13" s="492">
        <v>45974</v>
      </c>
      <c r="F13" s="493">
        <f>VLOOKUP(E13,'[2]GP Data'!$D$3:$E$1530, 2, FALSE)</f>
        <v>4702.6899999999996</v>
      </c>
      <c r="G13" s="484">
        <f t="shared" si="3"/>
        <v>-2.5415878292261995E-2</v>
      </c>
      <c r="J13" s="483">
        <f t="shared" si="0"/>
        <v>2.8808066258552145E-3</v>
      </c>
      <c r="K13" s="484">
        <f t="shared" si="1"/>
        <v>-9.7357355261997736E-3</v>
      </c>
    </row>
    <row r="14" spans="1:27" x14ac:dyDescent="0.35">
      <c r="A14" s="490">
        <v>45973</v>
      </c>
      <c r="B14" s="491">
        <f>VLOOKUP(A14,'[2]GP Data'!$A$3:$B$1639, 2, FALSE)</f>
        <v>278.5</v>
      </c>
      <c r="C14" s="483">
        <f t="shared" si="2"/>
        <v>2.8808066258552145E-3</v>
      </c>
      <c r="E14" s="492">
        <v>45973</v>
      </c>
      <c r="F14" s="493">
        <f>VLOOKUP(E14,'[2]GP Data'!$D$3:$E$1530, 2, FALSE)</f>
        <v>4825.33</v>
      </c>
      <c r="G14" s="484">
        <f t="shared" si="3"/>
        <v>-9.7357355261997736E-3</v>
      </c>
      <c r="J14" s="483">
        <f t="shared" si="0"/>
        <v>1.4424810674358302E-3</v>
      </c>
      <c r="K14" s="484">
        <f t="shared" si="1"/>
        <v>2.4728694131563866E-3</v>
      </c>
    </row>
    <row r="15" spans="1:27" x14ac:dyDescent="0.35">
      <c r="A15" s="490">
        <v>45972</v>
      </c>
      <c r="B15" s="491">
        <f>VLOOKUP(A15,'[2]GP Data'!$A$3:$B$1639, 2, FALSE)</f>
        <v>277.7</v>
      </c>
      <c r="C15" s="483">
        <f t="shared" si="2"/>
        <v>1.4424810674358302E-3</v>
      </c>
      <c r="E15" s="492">
        <v>45972</v>
      </c>
      <c r="F15" s="493">
        <f>VLOOKUP(E15,'[2]GP Data'!$D$3:$E$1530, 2, FALSE)</f>
        <v>4872.7700000000004</v>
      </c>
      <c r="G15" s="484">
        <f t="shared" si="3"/>
        <v>2.4728694131563866E-3</v>
      </c>
      <c r="J15" s="483">
        <f>(B16/B17)-1</f>
        <v>-1.3518320882248358E-2</v>
      </c>
      <c r="K15" s="484">
        <f t="shared" si="1"/>
        <v>-7.9960325963840395E-3</v>
      </c>
    </row>
    <row r="16" spans="1:27" x14ac:dyDescent="0.35">
      <c r="A16" s="490">
        <v>45971</v>
      </c>
      <c r="B16" s="491">
        <f>VLOOKUP(A16,'[2]GP Data'!$A$3:$B$1639, 2, FALSE)</f>
        <v>277.3</v>
      </c>
      <c r="C16" s="483">
        <f t="shared" si="2"/>
        <v>-1.3518320882248358E-2</v>
      </c>
      <c r="E16" s="492">
        <v>45971</v>
      </c>
      <c r="F16" s="493">
        <f>VLOOKUP(E16,'[2]GP Data'!$D$3:$E$1530, 2, FALSE)</f>
        <v>4860.75</v>
      </c>
      <c r="G16" s="484">
        <f t="shared" si="3"/>
        <v>-7.9960325963840395E-3</v>
      </c>
      <c r="J16" s="483">
        <f>(B17/B18)-1</f>
        <v>-6.0113154172559691E-3</v>
      </c>
      <c r="K16" s="484">
        <f t="shared" si="1"/>
        <v>-1.3689778862063462E-2</v>
      </c>
    </row>
    <row r="17" spans="1:11" x14ac:dyDescent="0.35">
      <c r="A17" s="490">
        <v>45970</v>
      </c>
      <c r="B17" s="491">
        <f>VLOOKUP(A17,'[2]GP Data'!$A$3:$B$1639, 2, FALSE)</f>
        <v>281.10000000000002</v>
      </c>
      <c r="C17" s="483">
        <f t="shared" si="2"/>
        <v>-6.0113154172559691E-3</v>
      </c>
      <c r="E17" s="492">
        <v>45970</v>
      </c>
      <c r="F17" s="493">
        <f>VLOOKUP(E17,'[2]GP Data'!$D$3:$E$1530, 2, FALSE)</f>
        <v>4899.93</v>
      </c>
      <c r="G17" s="484">
        <f t="shared" si="3"/>
        <v>-1.3689778862063462E-2</v>
      </c>
      <c r="J17" s="483">
        <f t="shared" si="0"/>
        <v>-5.2761167780513984E-3</v>
      </c>
      <c r="K17" s="484">
        <f t="shared" si="1"/>
        <v>-3.7999635043084456E-3</v>
      </c>
    </row>
    <row r="18" spans="1:11" x14ac:dyDescent="0.35">
      <c r="A18" s="490">
        <v>45967</v>
      </c>
      <c r="B18" s="491">
        <f>VLOOKUP(A18,'[2]GP Data'!$A$3:$B$1639, 2, FALSE)</f>
        <v>282.8</v>
      </c>
      <c r="C18" s="483">
        <f t="shared" si="2"/>
        <v>-5.2761167780513984E-3</v>
      </c>
      <c r="E18" s="492">
        <v>45967</v>
      </c>
      <c r="F18" s="493">
        <f>VLOOKUP(E18,'[2]GP Data'!$D$3:$E$1530, 2, FALSE)</f>
        <v>4967.9399999999996</v>
      </c>
      <c r="G18" s="484">
        <f t="shared" si="3"/>
        <v>-3.7999635043084456E-3</v>
      </c>
      <c r="J18" s="483">
        <f t="shared" si="0"/>
        <v>3.5298270384751529E-3</v>
      </c>
      <c r="K18" s="484">
        <f t="shared" si="1"/>
        <v>-6.4115463621745583E-3</v>
      </c>
    </row>
    <row r="19" spans="1:11" x14ac:dyDescent="0.35">
      <c r="A19" s="490">
        <v>45966</v>
      </c>
      <c r="B19" s="491">
        <f>VLOOKUP(A19,'[2]GP Data'!$A$3:$B$1639, 2, FALSE)</f>
        <v>284.3</v>
      </c>
      <c r="C19" s="483">
        <f t="shared" si="2"/>
        <v>3.5298270384751529E-3</v>
      </c>
      <c r="E19" s="492">
        <v>45966</v>
      </c>
      <c r="F19" s="493">
        <f>VLOOKUP(E19,'[2]GP Data'!$D$3:$E$1530, 2, FALSE)</f>
        <v>4986.8900000000003</v>
      </c>
      <c r="G19" s="484">
        <f t="shared" si="3"/>
        <v>-6.4115463621745583E-3</v>
      </c>
      <c r="J19" s="483">
        <f t="shared" si="0"/>
        <v>7.8263963002489501E-3</v>
      </c>
      <c r="K19" s="484">
        <f t="shared" si="1"/>
        <v>-8.2868834481656384E-3</v>
      </c>
    </row>
    <row r="20" spans="1:11" x14ac:dyDescent="0.35">
      <c r="A20" s="490">
        <v>45965</v>
      </c>
      <c r="B20" s="491">
        <f>VLOOKUP(A20,'[2]GP Data'!$A$3:$B$1639, 2, FALSE)</f>
        <v>283.3</v>
      </c>
      <c r="C20" s="483">
        <f t="shared" si="2"/>
        <v>7.8263963002489501E-3</v>
      </c>
      <c r="E20" s="492">
        <v>45965</v>
      </c>
      <c r="F20" s="493">
        <f>VLOOKUP(E20,'[2]GP Data'!$D$3:$E$1530, 2, FALSE)</f>
        <v>5019.07</v>
      </c>
      <c r="G20" s="484">
        <f t="shared" si="3"/>
        <v>-8.2868834481656384E-3</v>
      </c>
      <c r="J20" s="483">
        <f t="shared" si="0"/>
        <v>-1.7755681818182323E-3</v>
      </c>
      <c r="K20" s="484">
        <f t="shared" si="1"/>
        <v>-1.0725427492435324E-2</v>
      </c>
    </row>
    <row r="21" spans="1:11" x14ac:dyDescent="0.35">
      <c r="A21" s="490">
        <v>45964</v>
      </c>
      <c r="B21" s="491">
        <f>VLOOKUP(A21,'[2]GP Data'!$A$3:$B$1639, 2, FALSE)</f>
        <v>281.10000000000002</v>
      </c>
      <c r="C21" s="483">
        <f t="shared" si="2"/>
        <v>-1.7755681818182323E-3</v>
      </c>
      <c r="E21" s="492">
        <v>45964</v>
      </c>
      <c r="F21" s="493">
        <f>VLOOKUP(E21,'[2]GP Data'!$D$3:$E$1530, 2, FALSE)</f>
        <v>5061.01</v>
      </c>
      <c r="G21" s="484">
        <f t="shared" si="3"/>
        <v>-1.0725427492435324E-2</v>
      </c>
      <c r="J21" s="483">
        <f t="shared" si="0"/>
        <v>-6.3514467184190293E-3</v>
      </c>
      <c r="K21" s="484">
        <f t="shared" si="1"/>
        <v>-1.2377445716896807E-3</v>
      </c>
    </row>
    <row r="22" spans="1:11" x14ac:dyDescent="0.35">
      <c r="A22" s="490">
        <v>45963</v>
      </c>
      <c r="B22" s="491">
        <f>VLOOKUP(A22,'[2]GP Data'!$A$3:$B$1639, 2, FALSE)</f>
        <v>281.60000000000002</v>
      </c>
      <c r="C22" s="483">
        <f t="shared" si="2"/>
        <v>-6.3514467184190293E-3</v>
      </c>
      <c r="E22" s="492">
        <v>45963</v>
      </c>
      <c r="F22" s="493">
        <f>VLOOKUP(E22,'[2]GP Data'!$D$3:$E$1530, 2, FALSE)</f>
        <v>5115.88</v>
      </c>
      <c r="G22" s="484">
        <f t="shared" si="3"/>
        <v>-1.2377445716896807E-3</v>
      </c>
      <c r="J22" s="483">
        <f t="shared" si="0"/>
        <v>1.6864011481880103E-2</v>
      </c>
      <c r="K22" s="484">
        <f t="shared" si="1"/>
        <v>5.8557850915090803E-3</v>
      </c>
    </row>
    <row r="23" spans="1:11" x14ac:dyDescent="0.35">
      <c r="A23" s="490">
        <v>45960</v>
      </c>
      <c r="B23" s="491">
        <f>VLOOKUP(A23,'[2]GP Data'!$A$3:$B$1639, 2, FALSE)</f>
        <v>283.39999999999998</v>
      </c>
      <c r="C23" s="483">
        <f t="shared" si="2"/>
        <v>1.6864011481880103E-2</v>
      </c>
      <c r="E23" s="492">
        <v>45960</v>
      </c>
      <c r="F23" s="493">
        <f>VLOOKUP(E23,'[2]GP Data'!$D$3:$E$1530, 2, FALSE)</f>
        <v>5122.22</v>
      </c>
      <c r="G23" s="484">
        <f t="shared" si="3"/>
        <v>5.8557850915090803E-3</v>
      </c>
      <c r="J23" s="483">
        <f t="shared" si="0"/>
        <v>-8.1850533807830139E-3</v>
      </c>
      <c r="K23" s="484">
        <f t="shared" si="1"/>
        <v>1.6266303182648212E-3</v>
      </c>
    </row>
    <row r="24" spans="1:11" x14ac:dyDescent="0.35">
      <c r="A24" s="490">
        <v>45959</v>
      </c>
      <c r="B24" s="491">
        <f>VLOOKUP(A24,'[2]GP Data'!$A$3:$B$1639, 2, FALSE)</f>
        <v>278.7</v>
      </c>
      <c r="C24" s="483">
        <f t="shared" si="2"/>
        <v>-8.1850533807830139E-3</v>
      </c>
      <c r="E24" s="492">
        <v>45959</v>
      </c>
      <c r="F24" s="493">
        <f>VLOOKUP(E24,'[2]GP Data'!$D$3:$E$1530, 2, FALSE)</f>
        <v>5092.3999999999996</v>
      </c>
      <c r="G24" s="484">
        <f t="shared" si="3"/>
        <v>1.6266303182648212E-3</v>
      </c>
      <c r="J24" s="483">
        <f t="shared" si="0"/>
        <v>-5.3097345132743223E-3</v>
      </c>
      <c r="K24" s="484">
        <f t="shared" si="1"/>
        <v>-5.3667684976577146E-4</v>
      </c>
    </row>
    <row r="25" spans="1:11" x14ac:dyDescent="0.35">
      <c r="A25" s="490">
        <v>45958</v>
      </c>
      <c r="B25" s="491">
        <f>VLOOKUP(A25,'[2]GP Data'!$A$3:$B$1639, 2, FALSE)</f>
        <v>281</v>
      </c>
      <c r="C25" s="483">
        <f t="shared" si="2"/>
        <v>-5.3097345132743223E-3</v>
      </c>
      <c r="E25" s="492">
        <v>45958</v>
      </c>
      <c r="F25" s="493">
        <f>VLOOKUP(E25,'[2]GP Data'!$D$3:$E$1530, 2, FALSE)</f>
        <v>5084.13</v>
      </c>
      <c r="G25" s="484">
        <f t="shared" si="3"/>
        <v>-5.3667684976577146E-4</v>
      </c>
      <c r="J25" s="483">
        <f t="shared" si="0"/>
        <v>-1.258301293254116E-2</v>
      </c>
      <c r="K25" s="484">
        <f t="shared" si="1"/>
        <v>-7.8252694568732295E-3</v>
      </c>
    </row>
    <row r="26" spans="1:11" x14ac:dyDescent="0.35">
      <c r="A26" s="490">
        <v>45957</v>
      </c>
      <c r="B26" s="491">
        <f>VLOOKUP(A26,'[2]GP Data'!$A$3:$B$1639, 2, FALSE)</f>
        <v>282.5</v>
      </c>
      <c r="C26" s="483">
        <f t="shared" si="2"/>
        <v>-1.258301293254116E-2</v>
      </c>
      <c r="E26" s="492">
        <v>45957</v>
      </c>
      <c r="F26" s="493">
        <f>VLOOKUP(E26,'[2]GP Data'!$D$3:$E$1530, 2, FALSE)</f>
        <v>5086.8599999999997</v>
      </c>
      <c r="G26" s="484">
        <f t="shared" si="3"/>
        <v>-7.8252694568732295E-3</v>
      </c>
      <c r="J26" s="483">
        <f t="shared" si="0"/>
        <v>-5.9068797776232751E-3</v>
      </c>
      <c r="K26" s="484">
        <f t="shared" si="1"/>
        <v>-4.4486387087880885E-3</v>
      </c>
    </row>
    <row r="27" spans="1:11" x14ac:dyDescent="0.35">
      <c r="A27" s="490">
        <v>45956</v>
      </c>
      <c r="B27" s="491">
        <f>VLOOKUP(A27,'[2]GP Data'!$A$3:$B$1639, 2, FALSE)</f>
        <v>286.10000000000002</v>
      </c>
      <c r="C27" s="483">
        <f t="shared" si="2"/>
        <v>-5.9068797776232751E-3</v>
      </c>
      <c r="E27" s="492">
        <v>45956</v>
      </c>
      <c r="F27" s="493">
        <f>VLOOKUP(E27,'[2]GP Data'!$D$3:$E$1530, 2, FALSE)</f>
        <v>5126.9799999999996</v>
      </c>
      <c r="G27" s="484">
        <f t="shared" si="3"/>
        <v>-4.4486387087880885E-3</v>
      </c>
      <c r="J27" s="483">
        <f t="shared" si="0"/>
        <v>4.8882681564246244E-3</v>
      </c>
      <c r="K27" s="484">
        <f t="shared" si="1"/>
        <v>1.0832826270438023E-2</v>
      </c>
    </row>
    <row r="28" spans="1:11" x14ac:dyDescent="0.35">
      <c r="A28" s="490">
        <v>45953</v>
      </c>
      <c r="B28" s="491">
        <f>VLOOKUP(A28,'[2]GP Data'!$A$3:$B$1639, 2, FALSE)</f>
        <v>287.8</v>
      </c>
      <c r="C28" s="483">
        <f t="shared" si="2"/>
        <v>4.8882681564246244E-3</v>
      </c>
      <c r="E28" s="492">
        <v>45953</v>
      </c>
      <c r="F28" s="493">
        <f>VLOOKUP(E28,'[2]GP Data'!$D$3:$E$1530, 2, FALSE)</f>
        <v>5149.8900000000003</v>
      </c>
      <c r="G28" s="484">
        <f t="shared" si="3"/>
        <v>1.0832826270438023E-2</v>
      </c>
      <c r="J28" s="483">
        <f t="shared" si="0"/>
        <v>1.7488632388946712E-3</v>
      </c>
      <c r="K28" s="484">
        <f t="shared" si="1"/>
        <v>1.0551487130918691E-3</v>
      </c>
    </row>
    <row r="29" spans="1:11" x14ac:dyDescent="0.35">
      <c r="A29" s="490">
        <v>45952</v>
      </c>
      <c r="B29" s="491">
        <f>VLOOKUP(A29,'[2]GP Data'!$A$3:$B$1639, 2, FALSE)</f>
        <v>286.39999999999998</v>
      </c>
      <c r="C29" s="483">
        <f t="shared" si="2"/>
        <v>1.7488632388946712E-3</v>
      </c>
      <c r="E29" s="492">
        <v>45952</v>
      </c>
      <c r="F29" s="493">
        <f>VLOOKUP(E29,'[2]GP Data'!$D$3:$E$1530, 2, FALSE)</f>
        <v>5094.7</v>
      </c>
      <c r="G29" s="484">
        <f t="shared" si="3"/>
        <v>1.0551487130918691E-3</v>
      </c>
      <c r="J29" s="483">
        <f t="shared" si="0"/>
        <v>-4.8729550991996051E-3</v>
      </c>
      <c r="K29" s="484">
        <f t="shared" si="1"/>
        <v>-4.3567571797481497E-3</v>
      </c>
    </row>
    <row r="30" spans="1:11" x14ac:dyDescent="0.35">
      <c r="A30" s="490">
        <v>45951</v>
      </c>
      <c r="B30" s="491">
        <f>VLOOKUP(A30,'[2]GP Data'!$A$3:$B$1639, 2, FALSE)</f>
        <v>285.89999999999998</v>
      </c>
      <c r="C30" s="483">
        <f t="shared" si="2"/>
        <v>-4.8729550991996051E-3</v>
      </c>
      <c r="E30" s="492">
        <v>45951</v>
      </c>
      <c r="F30" s="493">
        <f>VLOOKUP(E30,'[2]GP Data'!$D$3:$E$1530, 2, FALSE)</f>
        <v>5089.33</v>
      </c>
      <c r="G30" s="484">
        <f t="shared" si="3"/>
        <v>-4.3567571797481497E-3</v>
      </c>
      <c r="J30" s="483">
        <f t="shared" si="0"/>
        <v>6.9662138627646364E-4</v>
      </c>
      <c r="K30" s="484">
        <f t="shared" si="1"/>
        <v>1.3333756249578776E-2</v>
      </c>
    </row>
    <row r="31" spans="1:11" x14ac:dyDescent="0.35">
      <c r="A31" s="490">
        <v>45950</v>
      </c>
      <c r="B31" s="491">
        <f>VLOOKUP(A31,'[2]GP Data'!$A$3:$B$1639, 2, FALSE)</f>
        <v>287.3</v>
      </c>
      <c r="C31" s="483">
        <f t="shared" si="2"/>
        <v>6.9662138627646364E-4</v>
      </c>
      <c r="E31" s="492">
        <v>45950</v>
      </c>
      <c r="F31" s="493">
        <f>VLOOKUP(E31,'[2]GP Data'!$D$3:$E$1530, 2, FALSE)</f>
        <v>5111.6000000000004</v>
      </c>
      <c r="G31" s="484">
        <f t="shared" si="3"/>
        <v>1.3333756249578776E-2</v>
      </c>
      <c r="J31" s="483">
        <f t="shared" si="0"/>
        <v>-2.7787426189647135E-3</v>
      </c>
      <c r="K31" s="484">
        <f t="shared" si="1"/>
        <v>-1.4665723851530088E-2</v>
      </c>
    </row>
    <row r="32" spans="1:11" x14ac:dyDescent="0.35">
      <c r="A32" s="490">
        <v>45949</v>
      </c>
      <c r="B32" s="491">
        <f>VLOOKUP(A32,'[2]GP Data'!$A$3:$B$1639, 2, FALSE)</f>
        <v>287.10000000000002</v>
      </c>
      <c r="C32" s="483">
        <f t="shared" si="2"/>
        <v>-2.7787426189647135E-3</v>
      </c>
      <c r="E32" s="492">
        <v>45949</v>
      </c>
      <c r="F32" s="493">
        <f>VLOOKUP(E32,'[2]GP Data'!$D$3:$E$1530, 2, FALSE)</f>
        <v>5044.34</v>
      </c>
      <c r="G32" s="484">
        <f t="shared" si="3"/>
        <v>-1.4665723851530088E-2</v>
      </c>
      <c r="J32" s="483">
        <f t="shared" si="0"/>
        <v>-9.9724896836315136E-3</v>
      </c>
      <c r="K32" s="484">
        <f t="shared" si="1"/>
        <v>5.6874705609866183E-4</v>
      </c>
    </row>
    <row r="33" spans="1:15" x14ac:dyDescent="0.35">
      <c r="A33" s="490">
        <v>45946</v>
      </c>
      <c r="B33" s="491">
        <f>VLOOKUP(A33,'[2]GP Data'!$A$3:$B$1639, 2, FALSE)</f>
        <v>287.89999999999998</v>
      </c>
      <c r="C33" s="483">
        <f t="shared" si="2"/>
        <v>-9.9724896836315136E-3</v>
      </c>
      <c r="E33" s="492">
        <v>45946</v>
      </c>
      <c r="F33" s="493">
        <f>VLOOKUP(E33,'[2]GP Data'!$D$3:$E$1530, 2, FALSE)</f>
        <v>5119.42</v>
      </c>
      <c r="G33" s="484">
        <f t="shared" si="3"/>
        <v>5.6874705609866183E-4</v>
      </c>
      <c r="J33" s="483">
        <f t="shared" si="0"/>
        <v>-5.4719562243500386E-3</v>
      </c>
      <c r="K33" s="484">
        <f t="shared" si="1"/>
        <v>-1.5538927167532246E-2</v>
      </c>
    </row>
    <row r="34" spans="1:15" x14ac:dyDescent="0.35">
      <c r="A34" s="490">
        <v>45945</v>
      </c>
      <c r="B34" s="491">
        <f>VLOOKUP(A34,'[2]GP Data'!$A$3:$B$1639, 2, FALSE)</f>
        <v>290.8</v>
      </c>
      <c r="C34" s="483">
        <f t="shared" si="2"/>
        <v>-5.4719562243500386E-3</v>
      </c>
      <c r="E34" s="492">
        <v>45945</v>
      </c>
      <c r="F34" s="493">
        <f>VLOOKUP(E34,'[2]GP Data'!$D$3:$E$1530, 2, FALSE)</f>
        <v>5116.51</v>
      </c>
      <c r="G34" s="484">
        <f t="shared" si="3"/>
        <v>-1.5538927167532246E-2</v>
      </c>
      <c r="J34" s="483">
        <f t="shared" si="0"/>
        <v>-5.4421768707483276E-3</v>
      </c>
      <c r="K34" s="484">
        <f t="shared" si="1"/>
        <v>-5.8304241786618638E-3</v>
      </c>
    </row>
    <row r="35" spans="1:15" x14ac:dyDescent="0.35">
      <c r="A35" s="490">
        <v>45944</v>
      </c>
      <c r="B35" s="491">
        <f>VLOOKUP(A35,'[2]GP Data'!$A$3:$B$1639, 2, FALSE)</f>
        <v>292.39999999999998</v>
      </c>
      <c r="C35" s="483">
        <f t="shared" si="2"/>
        <v>-5.4421768707483276E-3</v>
      </c>
      <c r="E35" s="492">
        <v>45944</v>
      </c>
      <c r="F35" s="493">
        <f>VLOOKUP(E35,'[2]GP Data'!$D$3:$E$1530, 2, FALSE)</f>
        <v>5197.2700000000004</v>
      </c>
      <c r="G35" s="484">
        <f t="shared" si="3"/>
        <v>-5.8304241786618638E-3</v>
      </c>
      <c r="J35" s="483">
        <f t="shared" si="0"/>
        <v>1.7035775127767216E-3</v>
      </c>
      <c r="K35" s="484">
        <f t="shared" si="1"/>
        <v>4.8611618349780894E-3</v>
      </c>
    </row>
    <row r="36" spans="1:15" ht="15.5" x14ac:dyDescent="0.35">
      <c r="A36" s="490">
        <v>45943</v>
      </c>
      <c r="B36" s="491">
        <f>VLOOKUP(A36,'[2]GP Data'!$A$3:$B$1639, 2, FALSE)</f>
        <v>294</v>
      </c>
      <c r="C36" s="483">
        <f t="shared" si="2"/>
        <v>1.7035775127767216E-3</v>
      </c>
      <c r="E36" s="492">
        <v>45943</v>
      </c>
      <c r="F36" s="493">
        <f>VLOOKUP(E36,'[2]GP Data'!$D$3:$E$1530, 2, FALSE)</f>
        <v>5227.75</v>
      </c>
      <c r="G36" s="484">
        <f t="shared" si="3"/>
        <v>4.8611618349780894E-3</v>
      </c>
      <c r="J36" s="483">
        <f t="shared" si="0"/>
        <v>-2.7183146449202278E-3</v>
      </c>
      <c r="K36" s="484">
        <f t="shared" si="1"/>
        <v>-1.5379316087907768E-2</v>
      </c>
      <c r="M36" s="263" t="s">
        <v>305</v>
      </c>
      <c r="N36" s="263" t="s">
        <v>432</v>
      </c>
      <c r="O36" s="263" t="s">
        <v>433</v>
      </c>
    </row>
    <row r="37" spans="1:15" x14ac:dyDescent="0.35">
      <c r="A37" s="490">
        <v>45942</v>
      </c>
      <c r="B37" s="491">
        <f>VLOOKUP(A37,'[2]GP Data'!$A$3:$B$1639, 2, FALSE)</f>
        <v>293.5</v>
      </c>
      <c r="C37" s="483">
        <f t="shared" si="2"/>
        <v>-2.7183146449202278E-3</v>
      </c>
      <c r="E37" s="492">
        <v>45942</v>
      </c>
      <c r="F37" s="493">
        <f>VLOOKUP(E37,'[2]GP Data'!$D$3:$E$1530, 2, FALSE)</f>
        <v>5202.46</v>
      </c>
      <c r="G37" s="484">
        <f t="shared" si="3"/>
        <v>-1.5379316087907768E-2</v>
      </c>
      <c r="J37" s="483">
        <f t="shared" si="0"/>
        <v>3.399048266485849E-4</v>
      </c>
      <c r="K37" s="484">
        <f t="shared" si="1"/>
        <v>-1.0142641433083521E-2</v>
      </c>
      <c r="M37" s="502">
        <v>0.48</v>
      </c>
      <c r="N37" s="503" t="s">
        <v>434</v>
      </c>
      <c r="O37" s="502" t="s">
        <v>435</v>
      </c>
    </row>
    <row r="38" spans="1:15" x14ac:dyDescent="0.35">
      <c r="A38" s="490">
        <v>45939</v>
      </c>
      <c r="B38" s="491">
        <f>VLOOKUP(A38,'[2]GP Data'!$A$3:$B$1639, 2, FALSE)</f>
        <v>294.3</v>
      </c>
      <c r="C38" s="483">
        <f t="shared" si="2"/>
        <v>3.399048266485849E-4</v>
      </c>
      <c r="E38" s="492">
        <v>45939</v>
      </c>
      <c r="F38" s="493">
        <f>VLOOKUP(E38,'[2]GP Data'!$D$3:$E$1530, 2, FALSE)</f>
        <v>5283.72</v>
      </c>
      <c r="G38" s="484">
        <f t="shared" si="3"/>
        <v>-1.0142641433083521E-2</v>
      </c>
      <c r="J38" s="483">
        <f t="shared" si="0"/>
        <v>-1.6966406515099841E-3</v>
      </c>
      <c r="K38" s="484">
        <f t="shared" si="1"/>
        <v>-7.2791519434629581E-3</v>
      </c>
      <c r="M38" s="502">
        <v>0.98</v>
      </c>
      <c r="N38" s="502" t="s">
        <v>436</v>
      </c>
      <c r="O38" s="502"/>
    </row>
    <row r="39" spans="1:15" ht="43.5" x14ac:dyDescent="0.35">
      <c r="A39" s="490">
        <v>45938</v>
      </c>
      <c r="B39" s="491">
        <f>VLOOKUP(A39,'[2]GP Data'!$A$3:$B$1639, 2, FALSE)</f>
        <v>294.2</v>
      </c>
      <c r="C39" s="483">
        <f t="shared" si="2"/>
        <v>-1.6966406515099841E-3</v>
      </c>
      <c r="E39" s="492">
        <v>45938</v>
      </c>
      <c r="F39" s="493">
        <f>VLOOKUP(E39,'[2]GP Data'!$D$3:$E$1530, 2, FALSE)</f>
        <v>5337.86</v>
      </c>
      <c r="G39" s="484">
        <f t="shared" si="3"/>
        <v>-7.2791519434629581E-3</v>
      </c>
      <c r="J39" s="483">
        <f t="shared" si="0"/>
        <v>-1.1405568601140725E-2</v>
      </c>
      <c r="K39" s="484">
        <f t="shared" si="1"/>
        <v>-8.5993908150246989E-3</v>
      </c>
      <c r="M39" s="502">
        <v>0.7</v>
      </c>
      <c r="N39" s="504" t="s">
        <v>437</v>
      </c>
      <c r="O39" s="502" t="s">
        <v>438</v>
      </c>
    </row>
    <row r="40" spans="1:15" ht="29" x14ac:dyDescent="0.35">
      <c r="A40" s="490">
        <v>45937</v>
      </c>
      <c r="B40" s="491">
        <f>VLOOKUP(A40,'[2]GP Data'!$A$3:$B$1639, 2, FALSE)</f>
        <v>294.7</v>
      </c>
      <c r="C40" s="483">
        <f t="shared" si="2"/>
        <v>-1.1405568601140725E-2</v>
      </c>
      <c r="E40" s="492">
        <v>45937</v>
      </c>
      <c r="F40" s="493">
        <f>VLOOKUP(E40,'[2]GP Data'!$D$3:$E$1530, 2, FALSE)</f>
        <v>5377</v>
      </c>
      <c r="G40" s="484">
        <f t="shared" si="3"/>
        <v>-8.5993908150246989E-3</v>
      </c>
      <c r="J40" s="483">
        <f t="shared" si="0"/>
        <v>-2.008704385671134E-3</v>
      </c>
      <c r="K40" s="484">
        <f t="shared" si="1"/>
        <v>-4.4037498875657555E-3</v>
      </c>
      <c r="M40" s="502">
        <v>0.13</v>
      </c>
      <c r="N40" s="504" t="s">
        <v>439</v>
      </c>
      <c r="O40" s="502" t="s">
        <v>440</v>
      </c>
    </row>
    <row r="41" spans="1:15" x14ac:dyDescent="0.35">
      <c r="A41" s="490">
        <v>45936</v>
      </c>
      <c r="B41" s="491">
        <f>VLOOKUP(A41,'[2]GP Data'!$A$3:$B$1639, 2, FALSE)</f>
        <v>298.10000000000002</v>
      </c>
      <c r="C41" s="483">
        <f t="shared" si="2"/>
        <v>-2.008704385671134E-3</v>
      </c>
      <c r="E41" s="492">
        <v>45936</v>
      </c>
      <c r="F41" s="493">
        <f>VLOOKUP(E41,'[2]GP Data'!$D$3:$E$1530, 2, FALSE)</f>
        <v>5423.64</v>
      </c>
      <c r="G41" s="484">
        <f t="shared" si="3"/>
        <v>-4.4037498875657555E-3</v>
      </c>
      <c r="J41" s="483">
        <f t="shared" si="0"/>
        <v>-1.0033444816054393E-3</v>
      </c>
      <c r="K41" s="484">
        <f t="shared" si="1"/>
        <v>5.8791053567439633E-3</v>
      </c>
    </row>
    <row r="42" spans="1:15" x14ac:dyDescent="0.35">
      <c r="A42" s="490">
        <v>45935</v>
      </c>
      <c r="B42" s="491">
        <f>VLOOKUP(A42,'[2]GP Data'!$A$3:$B$1639, 2, FALSE)</f>
        <v>298.7</v>
      </c>
      <c r="C42" s="483">
        <f t="shared" si="2"/>
        <v>-1.0033444816054393E-3</v>
      </c>
      <c r="E42" s="492">
        <v>45935</v>
      </c>
      <c r="F42" s="493">
        <f>VLOOKUP(E42,'[2]GP Data'!$D$3:$E$1530, 2, FALSE)</f>
        <v>5447.63</v>
      </c>
      <c r="G42" s="484">
        <f t="shared" si="3"/>
        <v>5.8791053567439633E-3</v>
      </c>
      <c r="J42" s="483">
        <f t="shared" si="0"/>
        <v>3.3557046979866278E-3</v>
      </c>
      <c r="K42" s="484">
        <f t="shared" si="1"/>
        <v>4.8257999398861884E-3</v>
      </c>
    </row>
    <row r="43" spans="1:15" x14ac:dyDescent="0.35">
      <c r="A43" s="490">
        <v>45930</v>
      </c>
      <c r="B43" s="491">
        <f>VLOOKUP(A43,'[2]GP Data'!$A$3:$B$1639, 2, FALSE)</f>
        <v>299</v>
      </c>
      <c r="C43" s="483">
        <f t="shared" si="2"/>
        <v>3.3557046979866278E-3</v>
      </c>
      <c r="E43" s="492">
        <v>45930</v>
      </c>
      <c r="F43" s="493">
        <f>VLOOKUP(E43,'[2]GP Data'!$D$3:$E$1530, 2, FALSE)</f>
        <v>5415.79</v>
      </c>
      <c r="G43" s="484">
        <f t="shared" si="3"/>
        <v>4.8257999398861884E-3</v>
      </c>
      <c r="J43" s="483">
        <f t="shared" si="0"/>
        <v>-3.6776997659646593E-3</v>
      </c>
      <c r="K43" s="484">
        <f t="shared" si="1"/>
        <v>1.8029471680718334E-3</v>
      </c>
    </row>
    <row r="44" spans="1:15" x14ac:dyDescent="0.35">
      <c r="A44" s="490">
        <v>45929</v>
      </c>
      <c r="B44" s="491">
        <f>VLOOKUP(A44,'[2]GP Data'!$A$3:$B$1639, 2, FALSE)</f>
        <v>298</v>
      </c>
      <c r="C44" s="483">
        <f t="shared" si="2"/>
        <v>-3.6776997659646593E-3</v>
      </c>
      <c r="E44" s="492">
        <v>45929</v>
      </c>
      <c r="F44" s="493">
        <f>VLOOKUP(E44,'[2]GP Data'!$D$3:$E$1530, 2, FALSE)</f>
        <v>5389.78</v>
      </c>
      <c r="G44" s="484">
        <f t="shared" si="3"/>
        <v>1.8029471680718334E-3</v>
      </c>
      <c r="J44" s="483">
        <f t="shared" si="0"/>
        <v>2.3458445040216436E-3</v>
      </c>
      <c r="K44" s="484">
        <f t="shared" si="1"/>
        <v>-6.4726054591487392E-3</v>
      </c>
    </row>
    <row r="45" spans="1:15" x14ac:dyDescent="0.35">
      <c r="A45" s="490">
        <v>45928</v>
      </c>
      <c r="B45" s="491">
        <f>VLOOKUP(A45,'[2]GP Data'!$A$3:$B$1639, 2, FALSE)</f>
        <v>299.10000000000002</v>
      </c>
      <c r="C45" s="483">
        <f t="shared" si="2"/>
        <v>2.3458445040216436E-3</v>
      </c>
      <c r="E45" s="492">
        <v>45928</v>
      </c>
      <c r="F45" s="493">
        <f>VLOOKUP(E45,'[2]GP Data'!$D$3:$E$1530, 2, FALSE)</f>
        <v>5380.08</v>
      </c>
      <c r="G45" s="484">
        <f t="shared" si="3"/>
        <v>-6.4726054591487392E-3</v>
      </c>
      <c r="J45" s="483">
        <f t="shared" si="0"/>
        <v>-2.0066889632107676E-3</v>
      </c>
      <c r="K45" s="484">
        <f t="shared" si="1"/>
        <v>4.1686369410216528E-3</v>
      </c>
    </row>
    <row r="46" spans="1:15" x14ac:dyDescent="0.35">
      <c r="A46" s="490">
        <v>45925</v>
      </c>
      <c r="B46" s="491">
        <f>VLOOKUP(A46,'[2]GP Data'!$A$3:$B$1639, 2, FALSE)</f>
        <v>298.39999999999998</v>
      </c>
      <c r="C46" s="483">
        <f t="shared" si="2"/>
        <v>-2.0066889632107676E-3</v>
      </c>
      <c r="E46" s="492">
        <v>45925</v>
      </c>
      <c r="F46" s="493">
        <f>VLOOKUP(E46,'[2]GP Data'!$D$3:$E$1530, 2, FALSE)</f>
        <v>5415.13</v>
      </c>
      <c r="G46" s="484">
        <f t="shared" si="3"/>
        <v>4.1686369410216528E-3</v>
      </c>
      <c r="J46" s="483">
        <f t="shared" si="0"/>
        <v>1.6750418760469454E-3</v>
      </c>
      <c r="K46" s="484">
        <f t="shared" si="1"/>
        <v>8.4488552530448402E-3</v>
      </c>
    </row>
    <row r="47" spans="1:15" x14ac:dyDescent="0.35">
      <c r="A47" s="490">
        <v>45924</v>
      </c>
      <c r="B47" s="491">
        <f>VLOOKUP(A47,'[2]GP Data'!$A$3:$B$1639, 2, FALSE)</f>
        <v>299</v>
      </c>
      <c r="C47" s="483">
        <f t="shared" si="2"/>
        <v>1.6750418760469454E-3</v>
      </c>
      <c r="E47" s="492">
        <v>45924</v>
      </c>
      <c r="F47" s="493">
        <f>VLOOKUP(E47,'[2]GP Data'!$D$3:$E$1530, 2, FALSE)</f>
        <v>5392.65</v>
      </c>
      <c r="G47" s="484">
        <f t="shared" si="3"/>
        <v>8.4488552530448402E-3</v>
      </c>
      <c r="J47" s="483">
        <f t="shared" si="0"/>
        <v>-5.3315561479507778E-3</v>
      </c>
      <c r="K47" s="484">
        <f t="shared" si="1"/>
        <v>1.9354935414848118E-3</v>
      </c>
    </row>
    <row r="48" spans="1:15" x14ac:dyDescent="0.35">
      <c r="A48" s="490">
        <v>45923</v>
      </c>
      <c r="B48" s="491">
        <f>VLOOKUP(A48,'[2]GP Data'!$A$3:$B$1639, 2, FALSE)</f>
        <v>298.5</v>
      </c>
      <c r="C48" s="483">
        <f t="shared" si="2"/>
        <v>-5.3315561479507778E-3</v>
      </c>
      <c r="E48" s="492">
        <v>45923</v>
      </c>
      <c r="F48" s="493">
        <f>VLOOKUP(E48,'[2]GP Data'!$D$3:$E$1530, 2, FALSE)</f>
        <v>5347.47</v>
      </c>
      <c r="G48" s="484">
        <f t="shared" si="3"/>
        <v>1.9354935414848118E-3</v>
      </c>
      <c r="J48" s="483">
        <f t="shared" si="0"/>
        <v>-6.6600066600064345E-4</v>
      </c>
      <c r="K48" s="484">
        <f t="shared" si="1"/>
        <v>-8.307552235755411E-3</v>
      </c>
    </row>
    <row r="49" spans="1:11" x14ac:dyDescent="0.35">
      <c r="A49" s="490">
        <v>45922</v>
      </c>
      <c r="B49" s="491">
        <f>VLOOKUP(A49,'[2]GP Data'!$A$3:$B$1639, 2, FALSE)</f>
        <v>300.10000000000002</v>
      </c>
      <c r="C49" s="483">
        <f t="shared" si="2"/>
        <v>-6.6600066600064345E-4</v>
      </c>
      <c r="E49" s="492">
        <v>45922</v>
      </c>
      <c r="F49" s="493">
        <f>VLOOKUP(E49,'[2]GP Data'!$D$3:$E$1530, 2, FALSE)</f>
        <v>5337.14</v>
      </c>
      <c r="G49" s="484">
        <f t="shared" si="3"/>
        <v>-8.307552235755411E-3</v>
      </c>
      <c r="J49" s="483">
        <f t="shared" si="0"/>
        <v>-2.6569246097641885E-3</v>
      </c>
      <c r="K49" s="484">
        <f t="shared" si="1"/>
        <v>-1.249190356573382E-2</v>
      </c>
    </row>
    <row r="50" spans="1:11" x14ac:dyDescent="0.35">
      <c r="A50" s="490">
        <v>45921</v>
      </c>
      <c r="B50" s="491">
        <f>VLOOKUP(A50,'[2]GP Data'!$A$3:$B$1639, 2, FALSE)</f>
        <v>300.3</v>
      </c>
      <c r="C50" s="483">
        <f t="shared" si="2"/>
        <v>-2.6569246097641885E-3</v>
      </c>
      <c r="E50" s="492">
        <v>45921</v>
      </c>
      <c r="F50" s="493">
        <f>VLOOKUP(E50,'[2]GP Data'!$D$3:$E$1530, 2, FALSE)</f>
        <v>5381.85</v>
      </c>
      <c r="G50" s="484">
        <f t="shared" si="3"/>
        <v>-1.249190356573382E-2</v>
      </c>
      <c r="J50" s="483">
        <f t="shared" si="0"/>
        <v>-2.3194168323392717E-3</v>
      </c>
      <c r="K50" s="484">
        <f t="shared" si="1"/>
        <v>-1.0831982663019546E-2</v>
      </c>
    </row>
    <row r="51" spans="1:11" x14ac:dyDescent="0.35">
      <c r="A51" s="490">
        <v>45918</v>
      </c>
      <c r="B51" s="491">
        <f>VLOOKUP(A51,'[2]GP Data'!$A$3:$B$1639, 2, FALSE)</f>
        <v>301.10000000000002</v>
      </c>
      <c r="C51" s="483">
        <f t="shared" si="2"/>
        <v>-2.3194168323392717E-3</v>
      </c>
      <c r="E51" s="492">
        <v>45918</v>
      </c>
      <c r="F51" s="493">
        <f>VLOOKUP(E51,'[2]GP Data'!$D$3:$E$1530, 2, FALSE)</f>
        <v>5449.93</v>
      </c>
      <c r="G51" s="484">
        <f t="shared" si="3"/>
        <v>-1.0831982663019546E-2</v>
      </c>
      <c r="J51" s="483">
        <f t="shared" si="0"/>
        <v>2.6578073089700283E-3</v>
      </c>
      <c r="K51" s="484">
        <f t="shared" si="1"/>
        <v>6.3729286611917679E-3</v>
      </c>
    </row>
    <row r="52" spans="1:11" x14ac:dyDescent="0.35">
      <c r="A52" s="490">
        <v>45916</v>
      </c>
      <c r="B52" s="491">
        <f>VLOOKUP(A52,'[2]GP Data'!$A$3:$B$1639, 2, FALSE)</f>
        <v>301.8</v>
      </c>
      <c r="C52" s="483">
        <f t="shared" si="2"/>
        <v>2.6578073089700283E-3</v>
      </c>
      <c r="E52" s="492">
        <v>45916</v>
      </c>
      <c r="F52" s="493">
        <f>VLOOKUP(E52,'[2]GP Data'!$D$3:$E$1530, 2, FALSE)</f>
        <v>5509.61</v>
      </c>
      <c r="G52" s="484">
        <f t="shared" si="3"/>
        <v>6.3729286611917679E-3</v>
      </c>
      <c r="J52" s="483">
        <f t="shared" si="0"/>
        <v>3.6678892964321363E-3</v>
      </c>
      <c r="K52" s="484">
        <f t="shared" si="1"/>
        <v>1.164885203031929E-3</v>
      </c>
    </row>
    <row r="53" spans="1:11" x14ac:dyDescent="0.35">
      <c r="A53" s="490">
        <v>45915</v>
      </c>
      <c r="B53" s="491">
        <f>VLOOKUP(A53,'[2]GP Data'!$A$3:$B$1639, 2, FALSE)</f>
        <v>301</v>
      </c>
      <c r="C53" s="483">
        <f t="shared" si="2"/>
        <v>3.6678892964321363E-3</v>
      </c>
      <c r="E53" s="492">
        <v>45915</v>
      </c>
      <c r="F53" s="493">
        <f>VLOOKUP(E53,'[2]GP Data'!$D$3:$E$1530, 2, FALSE)</f>
        <v>5474.72</v>
      </c>
      <c r="G53" s="484">
        <f t="shared" si="3"/>
        <v>1.164885203031929E-3</v>
      </c>
      <c r="J53" s="483">
        <f t="shared" si="0"/>
        <v>-6.2955599734925149E-3</v>
      </c>
      <c r="K53" s="484">
        <f t="shared" si="1"/>
        <v>-1.0034795013559417E-2</v>
      </c>
    </row>
    <row r="54" spans="1:11" x14ac:dyDescent="0.35">
      <c r="A54" s="490">
        <v>45914</v>
      </c>
      <c r="B54" s="491">
        <f>VLOOKUP(A54,'[2]GP Data'!$A$3:$B$1639, 2, FALSE)</f>
        <v>299.89999999999998</v>
      </c>
      <c r="C54" s="483">
        <f t="shared" si="2"/>
        <v>-6.2955599734925149E-3</v>
      </c>
      <c r="E54" s="492">
        <v>45914</v>
      </c>
      <c r="F54" s="493">
        <f>VLOOKUP(E54,'[2]GP Data'!$D$3:$E$1530, 2, FALSE)</f>
        <v>5468.35</v>
      </c>
      <c r="G54" s="484">
        <f t="shared" si="3"/>
        <v>-1.0034795013559417E-2</v>
      </c>
      <c r="J54" s="483">
        <f t="shared" si="0"/>
        <v>4.9950049950049369E-3</v>
      </c>
      <c r="K54" s="484">
        <f t="shared" si="1"/>
        <v>9.250614362844134E-3</v>
      </c>
    </row>
    <row r="55" spans="1:11" x14ac:dyDescent="0.35">
      <c r="A55" s="490">
        <v>45911</v>
      </c>
      <c r="B55" s="491">
        <f>VLOOKUP(A55,'[2]GP Data'!$A$3:$B$1639, 2, FALSE)</f>
        <v>301.8</v>
      </c>
      <c r="C55" s="483">
        <f t="shared" si="2"/>
        <v>4.9950049950049369E-3</v>
      </c>
      <c r="E55" s="492">
        <v>45911</v>
      </c>
      <c r="F55" s="493">
        <f>VLOOKUP(E55,'[2]GP Data'!$D$3:$E$1530, 2, FALSE)</f>
        <v>5523.78</v>
      </c>
      <c r="G55" s="484">
        <f t="shared" si="3"/>
        <v>9.250614362844134E-3</v>
      </c>
      <c r="J55" s="483">
        <f t="shared" si="0"/>
        <v>-1.6622340425531679E-3</v>
      </c>
      <c r="K55" s="484">
        <f t="shared" si="1"/>
        <v>-1.175461562768032E-2</v>
      </c>
    </row>
    <row r="56" spans="1:11" x14ac:dyDescent="0.35">
      <c r="A56" s="490">
        <v>45910</v>
      </c>
      <c r="B56" s="491">
        <f>VLOOKUP(A56,'[2]GP Data'!$A$3:$B$1639, 2, FALSE)</f>
        <v>300.3</v>
      </c>
      <c r="C56" s="483">
        <f t="shared" si="2"/>
        <v>-1.6622340425531679E-3</v>
      </c>
      <c r="E56" s="492">
        <v>45910</v>
      </c>
      <c r="F56" s="493">
        <f>VLOOKUP(E56,'[2]GP Data'!$D$3:$E$1530, 2, FALSE)</f>
        <v>5473.15</v>
      </c>
      <c r="G56" s="484">
        <f t="shared" si="3"/>
        <v>-1.175461562768032E-2</v>
      </c>
      <c r="J56" s="483">
        <f t="shared" si="0"/>
        <v>-1.5062213490504184E-2</v>
      </c>
      <c r="K56" s="484">
        <f t="shared" si="1"/>
        <v>-1.5875356946757013E-2</v>
      </c>
    </row>
    <row r="57" spans="1:11" x14ac:dyDescent="0.35">
      <c r="A57" s="490">
        <v>45909</v>
      </c>
      <c r="B57" s="491">
        <f>VLOOKUP(A57,'[2]GP Data'!$A$3:$B$1639, 2, FALSE)</f>
        <v>300.8</v>
      </c>
      <c r="C57" s="483">
        <f t="shared" si="2"/>
        <v>-1.5062213490504184E-2</v>
      </c>
      <c r="E57" s="492">
        <v>45909</v>
      </c>
      <c r="F57" s="493">
        <f>VLOOKUP(E57,'[2]GP Data'!$D$3:$E$1530, 2, FALSE)</f>
        <v>5538.25</v>
      </c>
      <c r="G57" s="484">
        <f t="shared" si="3"/>
        <v>-1.5875356946757013E-2</v>
      </c>
      <c r="J57" s="483">
        <f t="shared" si="0"/>
        <v>-2.9382957884428462E-3</v>
      </c>
      <c r="K57" s="484">
        <f t="shared" si="1"/>
        <v>-1.5187672435970079E-3</v>
      </c>
    </row>
    <row r="58" spans="1:11" x14ac:dyDescent="0.35">
      <c r="A58" s="490">
        <v>45908</v>
      </c>
      <c r="B58" s="491">
        <f>VLOOKUP(A58,'[2]GP Data'!$A$3:$B$1639, 2, FALSE)</f>
        <v>305.39999999999998</v>
      </c>
      <c r="C58" s="483">
        <f t="shared" si="2"/>
        <v>-2.9382957884428462E-3</v>
      </c>
      <c r="E58" s="492">
        <v>45908</v>
      </c>
      <c r="F58" s="493">
        <f>VLOOKUP(E58,'[2]GP Data'!$D$3:$E$1530, 2, FALSE)</f>
        <v>5627.59</v>
      </c>
      <c r="G58" s="484">
        <f t="shared" si="3"/>
        <v>-1.5187672435970079E-3</v>
      </c>
      <c r="J58" s="483">
        <f t="shared" si="0"/>
        <v>6.2417871222077981E-3</v>
      </c>
      <c r="K58" s="484">
        <f t="shared" si="1"/>
        <v>3.8954238121362561E-3</v>
      </c>
    </row>
    <row r="59" spans="1:11" x14ac:dyDescent="0.35">
      <c r="A59" s="490">
        <v>45907</v>
      </c>
      <c r="B59" s="491">
        <f>VLOOKUP(A59,'[2]GP Data'!$A$3:$B$1639, 2, FALSE)</f>
        <v>306.3</v>
      </c>
      <c r="C59" s="483">
        <f t="shared" si="2"/>
        <v>6.2417871222077981E-3</v>
      </c>
      <c r="E59" s="492">
        <v>45907</v>
      </c>
      <c r="F59" s="493">
        <f>VLOOKUP(E59,'[2]GP Data'!$D$3:$E$1530, 2, FALSE)</f>
        <v>5636.15</v>
      </c>
      <c r="G59" s="484">
        <f t="shared" si="3"/>
        <v>3.8954238121362561E-3</v>
      </c>
      <c r="J59" s="483">
        <f t="shared" si="0"/>
        <v>-1.7113335485954173E-2</v>
      </c>
      <c r="K59" s="484">
        <f t="shared" si="1"/>
        <v>-3.0790429752007853E-3</v>
      </c>
    </row>
    <row r="60" spans="1:11" x14ac:dyDescent="0.35">
      <c r="A60" s="490">
        <v>45904</v>
      </c>
      <c r="B60" s="491">
        <f>VLOOKUP(A60,'[2]GP Data'!$A$3:$B$1639, 2, FALSE)</f>
        <v>304.39999999999998</v>
      </c>
      <c r="C60" s="483">
        <f t="shared" si="2"/>
        <v>-1.7113335485954173E-2</v>
      </c>
      <c r="E60" s="492">
        <v>45904</v>
      </c>
      <c r="F60" s="493">
        <f>VLOOKUP(E60,'[2]GP Data'!$D$3:$E$1530, 2, FALSE)</f>
        <v>5614.28</v>
      </c>
      <c r="G60" s="484">
        <f t="shared" si="3"/>
        <v>-3.0790429752007853E-3</v>
      </c>
      <c r="J60" s="483">
        <f t="shared" si="0"/>
        <v>-1.9336126329358994E-3</v>
      </c>
      <c r="K60" s="484">
        <f t="shared" si="1"/>
        <v>1.9036029689090128E-3</v>
      </c>
    </row>
    <row r="61" spans="1:11" x14ac:dyDescent="0.35">
      <c r="A61" s="490">
        <v>45903</v>
      </c>
      <c r="B61" s="491">
        <f>VLOOKUP(A61,'[2]GP Data'!$A$3:$B$1639, 2, FALSE)</f>
        <v>309.7</v>
      </c>
      <c r="C61" s="483">
        <f t="shared" si="2"/>
        <v>-1.9336126329358994E-3</v>
      </c>
      <c r="E61" s="492">
        <v>45903</v>
      </c>
      <c r="F61" s="493">
        <f>VLOOKUP(E61,'[2]GP Data'!$D$3:$E$1530, 2, FALSE)</f>
        <v>5631.62</v>
      </c>
      <c r="G61" s="484">
        <f t="shared" si="3"/>
        <v>1.9036029689090128E-3</v>
      </c>
      <c r="J61" s="483">
        <f t="shared" si="0"/>
        <v>1.0749185667752403E-2</v>
      </c>
      <c r="K61" s="484">
        <f t="shared" si="1"/>
        <v>6.6496053755602524E-3</v>
      </c>
    </row>
    <row r="62" spans="1:11" x14ac:dyDescent="0.35">
      <c r="A62" s="490">
        <v>45902</v>
      </c>
      <c r="B62" s="491">
        <f>VLOOKUP(A62,'[2]GP Data'!$A$3:$B$1639, 2, FALSE)</f>
        <v>310.3</v>
      </c>
      <c r="C62" s="483">
        <f t="shared" si="2"/>
        <v>1.0749185667752403E-2</v>
      </c>
      <c r="E62" s="492">
        <v>45902</v>
      </c>
      <c r="F62" s="493">
        <f>VLOOKUP(E62,'[2]GP Data'!$D$3:$E$1530, 2, FALSE)</f>
        <v>5620.92</v>
      </c>
      <c r="G62" s="484">
        <f t="shared" si="3"/>
        <v>6.6496053755602524E-3</v>
      </c>
      <c r="J62" s="483">
        <f t="shared" si="0"/>
        <v>-1.0953608247422641E-2</v>
      </c>
      <c r="K62" s="484">
        <f t="shared" si="1"/>
        <v>-1.8947552816304114E-3</v>
      </c>
    </row>
    <row r="63" spans="1:11" x14ac:dyDescent="0.35">
      <c r="A63" s="490">
        <v>45901</v>
      </c>
      <c r="B63" s="491">
        <f>VLOOKUP(A63,'[2]GP Data'!$A$3:$B$1639, 2, FALSE)</f>
        <v>307</v>
      </c>
      <c r="C63" s="483">
        <f t="shared" si="2"/>
        <v>-1.0953608247422641E-2</v>
      </c>
      <c r="E63" s="492">
        <v>45901</v>
      </c>
      <c r="F63" s="493">
        <f>VLOOKUP(E63,'[2]GP Data'!$D$3:$E$1530, 2, FALSE)</f>
        <v>5583.79</v>
      </c>
      <c r="G63" s="484">
        <f t="shared" si="3"/>
        <v>-1.8947552816304114E-3</v>
      </c>
      <c r="J63" s="483">
        <f t="shared" si="0"/>
        <v>1.6371971185330736E-2</v>
      </c>
      <c r="K63" s="484">
        <f t="shared" si="1"/>
        <v>1.3852970759068217E-2</v>
      </c>
    </row>
    <row r="64" spans="1:11" x14ac:dyDescent="0.35">
      <c r="A64" s="490">
        <v>45900</v>
      </c>
      <c r="B64" s="491">
        <f>VLOOKUP(A64,'[2]GP Data'!$A$3:$B$1639, 2, FALSE)</f>
        <v>310.39999999999998</v>
      </c>
      <c r="C64" s="483">
        <f t="shared" si="2"/>
        <v>1.6371971185330736E-2</v>
      </c>
      <c r="E64" s="492">
        <v>45900</v>
      </c>
      <c r="F64" s="493">
        <f>VLOOKUP(E64,'[2]GP Data'!$D$3:$E$1530, 2, FALSE)</f>
        <v>5594.39</v>
      </c>
      <c r="G64" s="484">
        <f t="shared" si="3"/>
        <v>1.3852970759068217E-2</v>
      </c>
      <c r="J64" s="483">
        <f t="shared" si="0"/>
        <v>2.2772940388479324E-2</v>
      </c>
      <c r="K64" s="484">
        <f t="shared" si="1"/>
        <v>1.2685292071875853E-2</v>
      </c>
    </row>
    <row r="65" spans="1:11" x14ac:dyDescent="0.35">
      <c r="A65" s="490">
        <v>45897</v>
      </c>
      <c r="B65" s="491">
        <f>VLOOKUP(A65,'[2]GP Data'!$A$3:$B$1639, 2, FALSE)</f>
        <v>305.39999999999998</v>
      </c>
      <c r="C65" s="483">
        <f t="shared" si="2"/>
        <v>2.2772940388479324E-2</v>
      </c>
      <c r="E65" s="492">
        <v>45897</v>
      </c>
      <c r="F65" s="493">
        <f>VLOOKUP(E65,'[2]GP Data'!$D$3:$E$1530, 2, FALSE)</f>
        <v>5517.95</v>
      </c>
      <c r="G65" s="484">
        <f t="shared" si="3"/>
        <v>1.2685292071875853E-2</v>
      </c>
      <c r="J65" s="483">
        <f t="shared" si="0"/>
        <v>-3.3478406427844831E-4</v>
      </c>
      <c r="K65" s="484">
        <f t="shared" si="1"/>
        <v>-1.2043113245591153E-3</v>
      </c>
    </row>
    <row r="66" spans="1:11" x14ac:dyDescent="0.35">
      <c r="A66" s="490">
        <v>45895</v>
      </c>
      <c r="B66" s="491">
        <f>VLOOKUP(A66,'[2]GP Data'!$A$3:$B$1639, 2, FALSE)</f>
        <v>298.60000000000002</v>
      </c>
      <c r="C66" s="483">
        <f t="shared" si="2"/>
        <v>-3.3478406427844831E-4</v>
      </c>
      <c r="E66" s="492">
        <v>45895</v>
      </c>
      <c r="F66" s="505">
        <v>5448.83</v>
      </c>
      <c r="G66" s="484">
        <f t="shared" si="3"/>
        <v>-1.2043113245591153E-3</v>
      </c>
      <c r="J66" s="483">
        <f t="shared" si="0"/>
        <v>7.0802427511800214E-3</v>
      </c>
      <c r="K66" s="484">
        <f t="shared" si="1"/>
        <v>1.2289462013630903E-2</v>
      </c>
    </row>
    <row r="67" spans="1:11" x14ac:dyDescent="0.35">
      <c r="A67" s="490">
        <v>45894</v>
      </c>
      <c r="B67" s="491">
        <f>VLOOKUP(A67,'[2]GP Data'!$A$3:$B$1639, 2, FALSE)</f>
        <v>298.7</v>
      </c>
      <c r="C67" s="483">
        <f t="shared" si="2"/>
        <v>7.0802427511800214E-3</v>
      </c>
      <c r="E67" s="492">
        <v>45894</v>
      </c>
      <c r="F67" s="493">
        <f>VLOOKUP(E67,'[2]GP Data'!$D$3:$E$1530, 2, FALSE)</f>
        <v>5455.4</v>
      </c>
      <c r="G67" s="484">
        <f t="shared" si="3"/>
        <v>1.2289462013630903E-2</v>
      </c>
      <c r="J67" s="483">
        <f t="shared" ref="J67:J130" si="4">(B68/B69)-1</f>
        <v>-8.6898395721923816E-3</v>
      </c>
      <c r="K67" s="484">
        <f t="shared" ref="K67:K130" si="5">(F68/F69)-1</f>
        <v>2.6437406045811684E-3</v>
      </c>
    </row>
    <row r="68" spans="1:11" x14ac:dyDescent="0.35">
      <c r="A68" s="490">
        <v>45893</v>
      </c>
      <c r="B68" s="491">
        <f>VLOOKUP(A68,'[2]GP Data'!$A$3:$B$1639, 2, FALSE)</f>
        <v>296.60000000000002</v>
      </c>
      <c r="C68" s="483">
        <f t="shared" ref="C68:C131" si="6">(B68/B69)-1</f>
        <v>-8.6898395721923816E-3</v>
      </c>
      <c r="E68" s="492">
        <v>45893</v>
      </c>
      <c r="F68" s="493">
        <f>VLOOKUP(E68,'[2]GP Data'!$D$3:$E$1530, 2, FALSE)</f>
        <v>5389.17</v>
      </c>
      <c r="G68" s="484">
        <f t="shared" ref="G68:G131" si="7">(F68/F69)-1</f>
        <v>2.6437406045811684E-3</v>
      </c>
      <c r="J68" s="483">
        <f t="shared" si="4"/>
        <v>-8.6149768058317866E-3</v>
      </c>
      <c r="K68" s="484">
        <f t="shared" si="5"/>
        <v>-8.2722826480963185E-4</v>
      </c>
    </row>
    <row r="69" spans="1:11" x14ac:dyDescent="0.35">
      <c r="A69" s="490">
        <v>45890</v>
      </c>
      <c r="B69" s="491">
        <f>VLOOKUP(A69,'[2]GP Data'!$A$3:$B$1639, 2, FALSE)</f>
        <v>299.2</v>
      </c>
      <c r="C69" s="483">
        <f t="shared" si="6"/>
        <v>-8.6149768058317866E-3</v>
      </c>
      <c r="E69" s="492">
        <v>45890</v>
      </c>
      <c r="F69" s="493">
        <f>VLOOKUP(E69,'[2]GP Data'!$D$3:$E$1530, 2, FALSE)</f>
        <v>5374.96</v>
      </c>
      <c r="G69" s="484">
        <f t="shared" si="7"/>
        <v>-8.2722826480963185E-4</v>
      </c>
      <c r="J69" s="483">
        <f t="shared" si="4"/>
        <v>-9.930486593843213E-4</v>
      </c>
      <c r="K69" s="484">
        <f t="shared" si="5"/>
        <v>-5.8197342401448138E-3</v>
      </c>
    </row>
    <row r="70" spans="1:11" x14ac:dyDescent="0.35">
      <c r="A70" s="490">
        <v>45889</v>
      </c>
      <c r="B70" s="491">
        <f>VLOOKUP(A70,'[2]GP Data'!$A$3:$B$1639, 2, FALSE)</f>
        <v>301.8</v>
      </c>
      <c r="C70" s="483">
        <f t="shared" si="6"/>
        <v>-9.930486593843213E-4</v>
      </c>
      <c r="E70" s="492">
        <v>45889</v>
      </c>
      <c r="F70" s="493">
        <f>VLOOKUP(E70,'[2]GP Data'!$D$3:$E$1530, 2, FALSE)</f>
        <v>5379.41</v>
      </c>
      <c r="G70" s="484">
        <f t="shared" si="7"/>
        <v>-5.8197342401448138E-3</v>
      </c>
      <c r="J70" s="483">
        <f t="shared" si="4"/>
        <v>-9.5081967213114238E-3</v>
      </c>
      <c r="K70" s="484">
        <f t="shared" si="5"/>
        <v>-1.6623892278654351E-3</v>
      </c>
    </row>
    <row r="71" spans="1:11" x14ac:dyDescent="0.35">
      <c r="A71" s="490">
        <v>45888</v>
      </c>
      <c r="B71" s="491">
        <f>VLOOKUP(A71,'[2]GP Data'!$A$3:$B$1639, 2, FALSE)</f>
        <v>302.10000000000002</v>
      </c>
      <c r="C71" s="483">
        <f t="shared" si="6"/>
        <v>-9.5081967213114238E-3</v>
      </c>
      <c r="E71" s="492">
        <v>45888</v>
      </c>
      <c r="F71" s="493">
        <f>VLOOKUP(E71,'[2]GP Data'!$D$3:$E$1530, 2, FALSE)</f>
        <v>5410.9</v>
      </c>
      <c r="G71" s="484">
        <f t="shared" si="7"/>
        <v>-1.6623892278654351E-3</v>
      </c>
      <c r="J71" s="483">
        <f t="shared" si="4"/>
        <v>3.9499670836076195E-3</v>
      </c>
      <c r="K71" s="484">
        <f t="shared" si="5"/>
        <v>3.4101701567530451E-3</v>
      </c>
    </row>
    <row r="72" spans="1:11" x14ac:dyDescent="0.35">
      <c r="A72" s="490">
        <v>45887</v>
      </c>
      <c r="B72" s="491">
        <f>VLOOKUP(A72,'[2]GP Data'!$A$3:$B$1639, 2, FALSE)</f>
        <v>305</v>
      </c>
      <c r="C72" s="483">
        <f t="shared" si="6"/>
        <v>3.9499670836076195E-3</v>
      </c>
      <c r="E72" s="492">
        <v>45887</v>
      </c>
      <c r="F72" s="493">
        <f>VLOOKUP(E72,'[2]GP Data'!$D$3:$E$1530, 2, FALSE)</f>
        <v>5419.91</v>
      </c>
      <c r="G72" s="484">
        <f t="shared" si="7"/>
        <v>3.4101701567530451E-3</v>
      </c>
      <c r="J72" s="483">
        <f t="shared" si="4"/>
        <v>-3.2808398950131545E-3</v>
      </c>
      <c r="K72" s="484">
        <f t="shared" si="5"/>
        <v>9.5771225643661584E-3</v>
      </c>
    </row>
    <row r="73" spans="1:11" x14ac:dyDescent="0.35">
      <c r="A73" s="490">
        <v>45886</v>
      </c>
      <c r="B73" s="491">
        <f>VLOOKUP(A73,'[2]GP Data'!$A$3:$B$1639, 2, FALSE)</f>
        <v>303.8</v>
      </c>
      <c r="C73" s="483">
        <f t="shared" si="6"/>
        <v>-3.2808398950131545E-3</v>
      </c>
      <c r="E73" s="492">
        <v>45886</v>
      </c>
      <c r="F73" s="493">
        <f>VLOOKUP(E73,'[2]GP Data'!$D$3:$E$1530, 2, FALSE)</f>
        <v>5401.49</v>
      </c>
      <c r="G73" s="484">
        <f t="shared" si="7"/>
        <v>9.5771225643661584E-3</v>
      </c>
      <c r="J73" s="483">
        <f t="shared" si="4"/>
        <v>-3.3301617507136005E-2</v>
      </c>
      <c r="K73" s="484">
        <f t="shared" si="5"/>
        <v>6.5469527509429692E-3</v>
      </c>
    </row>
    <row r="74" spans="1:11" x14ac:dyDescent="0.35">
      <c r="A74" s="490">
        <v>45883</v>
      </c>
      <c r="B74" s="491">
        <f>VLOOKUP(A74,'[2]GP Data'!$A$3:$B$1639, 2, FALSE)</f>
        <v>304.8</v>
      </c>
      <c r="C74" s="483">
        <f t="shared" si="6"/>
        <v>-3.3301617507136005E-2</v>
      </c>
      <c r="E74" s="492">
        <v>45883</v>
      </c>
      <c r="F74" s="493">
        <f>VLOOKUP(E74,'[2]GP Data'!$D$3:$E$1530, 2, FALSE)</f>
        <v>5350.25</v>
      </c>
      <c r="G74" s="484">
        <f t="shared" si="7"/>
        <v>6.5469527509429692E-3</v>
      </c>
      <c r="J74" s="483">
        <f t="shared" si="4"/>
        <v>-3.7914691943127243E-3</v>
      </c>
      <c r="K74" s="484">
        <f t="shared" si="5"/>
        <v>-5.3517463347088068E-3</v>
      </c>
    </row>
    <row r="75" spans="1:11" x14ac:dyDescent="0.35">
      <c r="A75" s="490">
        <v>45881</v>
      </c>
      <c r="B75" s="491">
        <f>VLOOKUP(A75,'[2]GP Data'!$A$3:$B$1639, 2, FALSE)</f>
        <v>315.3</v>
      </c>
      <c r="C75" s="483">
        <f t="shared" si="6"/>
        <v>-3.7914691943127243E-3</v>
      </c>
      <c r="E75" s="492">
        <v>45881</v>
      </c>
      <c r="F75" s="493">
        <f>VLOOKUP(E75,'[2]GP Data'!$D$3:$E$1530, 2, FALSE)</f>
        <v>5315.45</v>
      </c>
      <c r="G75" s="484">
        <f t="shared" si="7"/>
        <v>-5.3517463347088068E-3</v>
      </c>
      <c r="J75" s="483">
        <f t="shared" si="4"/>
        <v>9.4876660341558505E-4</v>
      </c>
      <c r="K75" s="484">
        <f t="shared" si="5"/>
        <v>-1.3044217655291401E-3</v>
      </c>
    </row>
    <row r="76" spans="1:11" x14ac:dyDescent="0.35">
      <c r="A76" s="490">
        <v>45880</v>
      </c>
      <c r="B76" s="491">
        <f>VLOOKUP(A76,'[2]GP Data'!$A$3:$B$1639, 2, FALSE)</f>
        <v>316.5</v>
      </c>
      <c r="C76" s="483">
        <f t="shared" si="6"/>
        <v>9.4876660341558505E-4</v>
      </c>
      <c r="E76" s="492">
        <v>45880</v>
      </c>
      <c r="F76" s="493">
        <f>VLOOKUP(E76,'[2]GP Data'!$D$3:$E$1530, 2, FALSE)</f>
        <v>5344.05</v>
      </c>
      <c r="G76" s="484">
        <f t="shared" si="7"/>
        <v>-1.3044217655291401E-3</v>
      </c>
      <c r="J76" s="483">
        <f t="shared" si="4"/>
        <v>1.5837820715869366E-3</v>
      </c>
      <c r="K76" s="484">
        <f t="shared" si="5"/>
        <v>-1.0547200757386688E-2</v>
      </c>
    </row>
    <row r="77" spans="1:11" x14ac:dyDescent="0.35">
      <c r="A77" s="490">
        <v>45879</v>
      </c>
      <c r="B77" s="491">
        <f>VLOOKUP(A77,'[2]GP Data'!$A$3:$B$1639, 2, FALSE)</f>
        <v>316.2</v>
      </c>
      <c r="C77" s="483">
        <f t="shared" si="6"/>
        <v>1.5837820715869366E-3</v>
      </c>
      <c r="E77" s="492">
        <v>45879</v>
      </c>
      <c r="F77" s="493">
        <f>VLOOKUP(E77,'[2]GP Data'!$D$3:$E$1530, 2, FALSE)</f>
        <v>5351.03</v>
      </c>
      <c r="G77" s="484">
        <f t="shared" si="7"/>
        <v>-1.0547200757386688E-2</v>
      </c>
      <c r="J77" s="483">
        <f t="shared" si="4"/>
        <v>-4.1009463722397888E-3</v>
      </c>
      <c r="K77" s="484">
        <f t="shared" si="5"/>
        <v>-1.1531375430438917E-2</v>
      </c>
    </row>
    <row r="78" spans="1:11" x14ac:dyDescent="0.35">
      <c r="A78" s="490">
        <v>45876</v>
      </c>
      <c r="B78" s="491">
        <f>VLOOKUP(A78,'[2]GP Data'!$A$3:$B$1639, 2, FALSE)</f>
        <v>315.7</v>
      </c>
      <c r="C78" s="483">
        <f t="shared" si="6"/>
        <v>-4.1009463722397888E-3</v>
      </c>
      <c r="E78" s="492">
        <v>45876</v>
      </c>
      <c r="F78" s="493">
        <f>VLOOKUP(E78,'[2]GP Data'!$D$3:$E$1530, 2, FALSE)</f>
        <v>5408.07</v>
      </c>
      <c r="G78" s="484">
        <f t="shared" si="7"/>
        <v>-1.1531375430438917E-2</v>
      </c>
      <c r="J78" s="483">
        <f t="shared" si="4"/>
        <v>-6.3051702395966469E-4</v>
      </c>
      <c r="K78" s="484">
        <f t="shared" si="5"/>
        <v>-2.6887061581396532E-3</v>
      </c>
    </row>
    <row r="79" spans="1:11" x14ac:dyDescent="0.35">
      <c r="A79" s="490">
        <v>45875</v>
      </c>
      <c r="B79" s="491">
        <f>VLOOKUP(A79,'[2]GP Data'!$A$3:$B$1639, 2, FALSE)</f>
        <v>317</v>
      </c>
      <c r="C79" s="483">
        <f t="shared" si="6"/>
        <v>-6.3051702395966469E-4</v>
      </c>
      <c r="E79" s="492">
        <v>45875</v>
      </c>
      <c r="F79" s="493">
        <f>VLOOKUP(E79,'[2]GP Data'!$D$3:$E$1530, 2, FALSE)</f>
        <v>5471.16</v>
      </c>
      <c r="G79" s="484">
        <f t="shared" si="7"/>
        <v>-2.6887061581396532E-3</v>
      </c>
      <c r="J79" s="483">
        <f t="shared" si="4"/>
        <v>-4.0816326530612734E-3</v>
      </c>
      <c r="K79" s="484">
        <f t="shared" si="5"/>
        <v>-9.0731087002858812E-3</v>
      </c>
    </row>
    <row r="80" spans="1:11" x14ac:dyDescent="0.35">
      <c r="A80" s="490">
        <v>45873</v>
      </c>
      <c r="B80" s="491">
        <f>VLOOKUP(A80,'[2]GP Data'!$A$3:$B$1639, 2, FALSE)</f>
        <v>317.2</v>
      </c>
      <c r="C80" s="483">
        <f t="shared" si="6"/>
        <v>-4.0816326530612734E-3</v>
      </c>
      <c r="E80" s="492">
        <v>45873</v>
      </c>
      <c r="F80" s="493">
        <f>VLOOKUP(E80,'[2]GP Data'!$D$3:$E$1530, 2, FALSE)</f>
        <v>5485.91</v>
      </c>
      <c r="G80" s="484">
        <f t="shared" si="7"/>
        <v>-9.0731087002858812E-3</v>
      </c>
      <c r="J80" s="483">
        <f t="shared" si="4"/>
        <v>1.7571884984025621E-2</v>
      </c>
      <c r="K80" s="484">
        <f t="shared" si="5"/>
        <v>1.7033409143516476E-2</v>
      </c>
    </row>
    <row r="81" spans="1:11" x14ac:dyDescent="0.35">
      <c r="A81" s="490">
        <v>45872</v>
      </c>
      <c r="B81" s="491">
        <f>VLOOKUP(A81,'[2]GP Data'!$A$3:$B$1639, 2, FALSE)</f>
        <v>318.5</v>
      </c>
      <c r="C81" s="483">
        <f t="shared" si="6"/>
        <v>1.7571884984025621E-2</v>
      </c>
      <c r="E81" s="492">
        <v>45872</v>
      </c>
      <c r="F81" s="493">
        <f>VLOOKUP(E81,'[2]GP Data'!$D$3:$E$1530, 2, FALSE)</f>
        <v>5536.14</v>
      </c>
      <c r="G81" s="484">
        <f t="shared" si="7"/>
        <v>1.7033409143516476E-2</v>
      </c>
      <c r="J81" s="483">
        <f t="shared" si="4"/>
        <v>9.5938599296463423E-4</v>
      </c>
      <c r="K81" s="484">
        <f t="shared" si="5"/>
        <v>1.7043458764620212E-2</v>
      </c>
    </row>
    <row r="82" spans="1:11" x14ac:dyDescent="0.35">
      <c r="A82" s="490">
        <v>45869</v>
      </c>
      <c r="B82" s="491">
        <f>VLOOKUP(A82,'[2]GP Data'!$A$3:$B$1639, 2, FALSE)</f>
        <v>313</v>
      </c>
      <c r="C82" s="483">
        <f t="shared" si="6"/>
        <v>9.5938599296463423E-4</v>
      </c>
      <c r="E82" s="492">
        <v>45869</v>
      </c>
      <c r="F82" s="493">
        <f>VLOOKUP(E82,'[2]GP Data'!$D$3:$E$1530, 2, FALSE)</f>
        <v>5443.42</v>
      </c>
      <c r="G82" s="484">
        <f t="shared" si="7"/>
        <v>1.7043458764620212E-2</v>
      </c>
      <c r="J82" s="483">
        <f t="shared" si="4"/>
        <v>1.6015374759770218E-3</v>
      </c>
      <c r="K82" s="484">
        <f t="shared" si="5"/>
        <v>1.0140663248069615E-2</v>
      </c>
    </row>
    <row r="83" spans="1:11" x14ac:dyDescent="0.35">
      <c r="A83" s="490">
        <v>45868</v>
      </c>
      <c r="B83" s="491">
        <f>VLOOKUP(A83,'[2]GP Data'!$A$3:$B$1639, 2, FALSE)</f>
        <v>312.7</v>
      </c>
      <c r="C83" s="483">
        <f t="shared" si="6"/>
        <v>1.6015374759770218E-3</v>
      </c>
      <c r="E83" s="492">
        <v>45868</v>
      </c>
      <c r="F83" s="493">
        <f>VLOOKUP(E83,'[2]GP Data'!$D$3:$E$1530, 2, FALSE)</f>
        <v>5352.2</v>
      </c>
      <c r="G83" s="484">
        <f t="shared" si="7"/>
        <v>1.0140663248069615E-2</v>
      </c>
      <c r="J83" s="483">
        <f t="shared" si="4"/>
        <v>-2.2236141559661804E-2</v>
      </c>
      <c r="K83" s="484">
        <f t="shared" si="5"/>
        <v>-6.3014926660751591E-3</v>
      </c>
    </row>
    <row r="84" spans="1:11" x14ac:dyDescent="0.35">
      <c r="A84" s="490">
        <v>45867</v>
      </c>
      <c r="B84" s="491">
        <f>VLOOKUP(A84,'[2]GP Data'!$A$3:$B$1639, 2, FALSE)</f>
        <v>312.2</v>
      </c>
      <c r="C84" s="483">
        <f t="shared" si="6"/>
        <v>-2.2236141559661804E-2</v>
      </c>
      <c r="E84" s="492">
        <v>45867</v>
      </c>
      <c r="F84" s="493">
        <f>VLOOKUP(E84,'[2]GP Data'!$D$3:$E$1530, 2, FALSE)</f>
        <v>5298.47</v>
      </c>
      <c r="G84" s="484">
        <f t="shared" si="7"/>
        <v>-6.3014926660751591E-3</v>
      </c>
      <c r="J84" s="483">
        <f t="shared" si="4"/>
        <v>-4.6758104738154893E-3</v>
      </c>
      <c r="K84" s="484">
        <f t="shared" si="5"/>
        <v>-4.2503683590329189E-3</v>
      </c>
    </row>
    <row r="85" spans="1:11" x14ac:dyDescent="0.35">
      <c r="A85" s="490">
        <v>45866</v>
      </c>
      <c r="B85" s="491">
        <f>VLOOKUP(A85,'[2]GP Data'!$A$3:$B$1639, 2, FALSE)</f>
        <v>319.3</v>
      </c>
      <c r="C85" s="483">
        <f t="shared" si="6"/>
        <v>-4.6758104738154893E-3</v>
      </c>
      <c r="E85" s="492">
        <v>45866</v>
      </c>
      <c r="F85" s="493">
        <f>VLOOKUP(E85,'[2]GP Data'!$D$3:$E$1530, 2, FALSE)</f>
        <v>5332.07</v>
      </c>
      <c r="G85" s="484">
        <f t="shared" si="7"/>
        <v>-4.2503683590329189E-3</v>
      </c>
      <c r="J85" s="483">
        <f t="shared" si="4"/>
        <v>-9.3428838368114775E-4</v>
      </c>
      <c r="K85" s="484">
        <f t="shared" si="5"/>
        <v>-6.9009131979733684E-3</v>
      </c>
    </row>
    <row r="86" spans="1:11" x14ac:dyDescent="0.35">
      <c r="A86" s="490">
        <v>45865</v>
      </c>
      <c r="B86" s="491">
        <f>VLOOKUP(A86,'[2]GP Data'!$A$3:$B$1639, 2, FALSE)</f>
        <v>320.8</v>
      </c>
      <c r="C86" s="483">
        <f t="shared" si="6"/>
        <v>-9.3428838368114775E-4</v>
      </c>
      <c r="E86" s="492">
        <v>45865</v>
      </c>
      <c r="F86" s="493">
        <f>VLOOKUP(E86,'[2]GP Data'!$D$3:$E$1530, 2, FALSE)</f>
        <v>5354.83</v>
      </c>
      <c r="G86" s="484">
        <f t="shared" si="7"/>
        <v>-6.9009131979733684E-3</v>
      </c>
      <c r="J86" s="483">
        <f t="shared" si="4"/>
        <v>-6.804825239715373E-3</v>
      </c>
      <c r="K86" s="484">
        <f t="shared" si="5"/>
        <v>5.2368124236803482E-3</v>
      </c>
    </row>
    <row r="87" spans="1:11" x14ac:dyDescent="0.35">
      <c r="A87" s="490">
        <v>45862</v>
      </c>
      <c r="B87" s="491">
        <f>VLOOKUP(A87,'[2]GP Data'!$A$3:$B$1639, 2, FALSE)</f>
        <v>321.10000000000002</v>
      </c>
      <c r="C87" s="483">
        <f t="shared" si="6"/>
        <v>-6.804825239715373E-3</v>
      </c>
      <c r="E87" s="492">
        <v>45862</v>
      </c>
      <c r="F87" s="493">
        <f>VLOOKUP(E87,'[2]GP Data'!$D$3:$E$1530, 2, FALSE)</f>
        <v>5392.04</v>
      </c>
      <c r="G87" s="484">
        <f t="shared" si="7"/>
        <v>5.2368124236803482E-3</v>
      </c>
      <c r="J87" s="483">
        <f t="shared" si="4"/>
        <v>3.1589023611997558E-2</v>
      </c>
      <c r="K87" s="484">
        <f t="shared" si="5"/>
        <v>1.7717248798517105E-2</v>
      </c>
    </row>
    <row r="88" spans="1:11" x14ac:dyDescent="0.35">
      <c r="A88" s="490">
        <v>45861</v>
      </c>
      <c r="B88" s="491">
        <f>VLOOKUP(A88,'[2]GP Data'!$A$3:$B$1639, 2, FALSE)</f>
        <v>323.3</v>
      </c>
      <c r="C88" s="483">
        <f t="shared" si="6"/>
        <v>3.1589023611997558E-2</v>
      </c>
      <c r="E88" s="492">
        <v>45861</v>
      </c>
      <c r="F88" s="493">
        <f>VLOOKUP(E88,'[2]GP Data'!$D$3:$E$1530, 2, FALSE)</f>
        <v>5363.95</v>
      </c>
      <c r="G88" s="484">
        <f t="shared" si="7"/>
        <v>1.7717248798517105E-2</v>
      </c>
      <c r="J88" s="483">
        <f t="shared" si="4"/>
        <v>1.0641728474685364E-2</v>
      </c>
      <c r="K88" s="484">
        <f t="shared" si="5"/>
        <v>9.7612469873284979E-3</v>
      </c>
    </row>
    <row r="89" spans="1:11" x14ac:dyDescent="0.35">
      <c r="A89" s="490">
        <v>45860</v>
      </c>
      <c r="B89" s="491">
        <f>VLOOKUP(A89,'[2]GP Data'!$A$3:$B$1639, 2, FALSE)</f>
        <v>313.39999999999998</v>
      </c>
      <c r="C89" s="483">
        <f t="shared" si="6"/>
        <v>1.0641728474685364E-2</v>
      </c>
      <c r="E89" s="492">
        <v>45860</v>
      </c>
      <c r="F89" s="493">
        <f>VLOOKUP(E89,'[2]GP Data'!$D$3:$E$1530, 2, FALSE)</f>
        <v>5270.57</v>
      </c>
      <c r="G89" s="484">
        <f t="shared" si="7"/>
        <v>9.7612469873284979E-3</v>
      </c>
      <c r="J89" s="483">
        <f t="shared" si="4"/>
        <v>2.3432343234323527E-2</v>
      </c>
      <c r="K89" s="484">
        <f t="shared" si="5"/>
        <v>4.9268102032526961E-3</v>
      </c>
    </row>
    <row r="90" spans="1:11" x14ac:dyDescent="0.35">
      <c r="A90" s="490">
        <v>45859</v>
      </c>
      <c r="B90" s="491">
        <f>VLOOKUP(A90,'[2]GP Data'!$A$3:$B$1639, 2, FALSE)</f>
        <v>310.10000000000002</v>
      </c>
      <c r="C90" s="483">
        <f t="shared" si="6"/>
        <v>2.3432343234323527E-2</v>
      </c>
      <c r="E90" s="492">
        <v>45859</v>
      </c>
      <c r="F90" s="493">
        <f>VLOOKUP(E90,'[2]GP Data'!$D$3:$E$1530, 2, FALSE)</f>
        <v>5219.62</v>
      </c>
      <c r="G90" s="484">
        <f t="shared" si="7"/>
        <v>4.9268102032526961E-3</v>
      </c>
      <c r="J90" s="483">
        <f t="shared" si="4"/>
        <v>9.327115256495766E-3</v>
      </c>
      <c r="K90" s="484">
        <f t="shared" si="5"/>
        <v>1.1992253257684382E-2</v>
      </c>
    </row>
    <row r="91" spans="1:11" x14ac:dyDescent="0.35">
      <c r="A91" s="490">
        <v>45858</v>
      </c>
      <c r="B91" s="491">
        <f>VLOOKUP(A91,'[2]GP Data'!$A$3:$B$1639, 2, FALSE)</f>
        <v>303</v>
      </c>
      <c r="C91" s="483">
        <f t="shared" si="6"/>
        <v>9.327115256495766E-3</v>
      </c>
      <c r="E91" s="492">
        <v>45858</v>
      </c>
      <c r="F91" s="493">
        <f>VLOOKUP(E91,'[2]GP Data'!$D$3:$E$1530, 2, FALSE)</f>
        <v>5194.03</v>
      </c>
      <c r="G91" s="484">
        <f t="shared" si="7"/>
        <v>1.1992253257684382E-2</v>
      </c>
      <c r="J91" s="483">
        <f t="shared" si="4"/>
        <v>1.1455525606469008E-2</v>
      </c>
      <c r="K91" s="484">
        <f t="shared" si="5"/>
        <v>3.0448122886903572E-3</v>
      </c>
    </row>
    <row r="92" spans="1:11" x14ac:dyDescent="0.35">
      <c r="A92" s="490">
        <v>45855</v>
      </c>
      <c r="B92" s="491">
        <f>VLOOKUP(A92,'[2]GP Data'!$A$3:$B$1639, 2, FALSE)</f>
        <v>300.2</v>
      </c>
      <c r="C92" s="483">
        <f t="shared" si="6"/>
        <v>1.1455525606469008E-2</v>
      </c>
      <c r="E92" s="492">
        <v>45855</v>
      </c>
      <c r="F92" s="493">
        <f>VLOOKUP(E92,'[2]GP Data'!$D$3:$E$1530, 2, FALSE)</f>
        <v>5132.4799999999996</v>
      </c>
      <c r="G92" s="484">
        <f t="shared" si="7"/>
        <v>3.0448122886903572E-3</v>
      </c>
      <c r="J92" s="483">
        <f t="shared" si="4"/>
        <v>-2.6881720430107503E-3</v>
      </c>
      <c r="K92" s="484">
        <f t="shared" si="5"/>
        <v>1.0805578602188781E-2</v>
      </c>
    </row>
    <row r="93" spans="1:11" x14ac:dyDescent="0.35">
      <c r="A93" s="490">
        <v>45854</v>
      </c>
      <c r="B93" s="491">
        <f>VLOOKUP(A93,'[2]GP Data'!$A$3:$B$1639, 2, FALSE)</f>
        <v>296.8</v>
      </c>
      <c r="C93" s="483">
        <f t="shared" si="6"/>
        <v>-2.6881720430107503E-3</v>
      </c>
      <c r="E93" s="492">
        <v>45854</v>
      </c>
      <c r="F93" s="493">
        <f>VLOOKUP(E93,'[2]GP Data'!$D$3:$E$1530, 2, FALSE)</f>
        <v>5116.8999999999996</v>
      </c>
      <c r="G93" s="484">
        <f t="shared" si="7"/>
        <v>1.0805578602188781E-2</v>
      </c>
      <c r="J93" s="483">
        <f t="shared" si="4"/>
        <v>-1.3422818791946067E-3</v>
      </c>
      <c r="K93" s="484">
        <f t="shared" si="5"/>
        <v>7.3096093705204979E-5</v>
      </c>
    </row>
    <row r="94" spans="1:11" x14ac:dyDescent="0.35">
      <c r="A94" s="490">
        <v>45853</v>
      </c>
      <c r="B94" s="491">
        <f>VLOOKUP(A94,'[2]GP Data'!$A$3:$B$1639, 2, FALSE)</f>
        <v>297.60000000000002</v>
      </c>
      <c r="C94" s="483">
        <f t="shared" si="6"/>
        <v>-1.3422818791946067E-3</v>
      </c>
      <c r="E94" s="492">
        <v>45853</v>
      </c>
      <c r="F94" s="493">
        <f>VLOOKUP(E94,'[2]GP Data'!$D$3:$E$1530, 2, FALSE)</f>
        <v>5062.2</v>
      </c>
      <c r="G94" s="484">
        <f t="shared" si="7"/>
        <v>7.3096093705204979E-5</v>
      </c>
      <c r="J94" s="483">
        <f t="shared" si="4"/>
        <v>-5.6723390056723222E-3</v>
      </c>
      <c r="K94" s="484">
        <f t="shared" si="5"/>
        <v>-9.099091275135418E-4</v>
      </c>
    </row>
    <row r="95" spans="1:11" x14ac:dyDescent="0.35">
      <c r="A95" s="490">
        <v>45852</v>
      </c>
      <c r="B95" s="491">
        <f>VLOOKUP(A95,'[2]GP Data'!$A$3:$B$1639, 2, FALSE)</f>
        <v>298</v>
      </c>
      <c r="C95" s="483">
        <f t="shared" si="6"/>
        <v>-5.6723390056723222E-3</v>
      </c>
      <c r="E95" s="492">
        <v>45852</v>
      </c>
      <c r="F95" s="493">
        <f>VLOOKUP(E95,'[2]GP Data'!$D$3:$E$1530, 2, FALSE)</f>
        <v>5061.83</v>
      </c>
      <c r="G95" s="484">
        <f t="shared" si="7"/>
        <v>-9.099091275135418E-4</v>
      </c>
      <c r="J95" s="483">
        <f t="shared" si="4"/>
        <v>1.3364517206815307E-3</v>
      </c>
      <c r="K95" s="484">
        <f t="shared" si="5"/>
        <v>-3.1570390131108184E-4</v>
      </c>
    </row>
    <row r="96" spans="1:11" x14ac:dyDescent="0.35">
      <c r="A96" s="490">
        <v>45851</v>
      </c>
      <c r="B96" s="491">
        <f>VLOOKUP(A96,'[2]GP Data'!$A$3:$B$1639, 2, FALSE)</f>
        <v>299.7</v>
      </c>
      <c r="C96" s="483">
        <f t="shared" si="6"/>
        <v>1.3364517206815307E-3</v>
      </c>
      <c r="E96" s="492">
        <v>45851</v>
      </c>
      <c r="F96" s="493">
        <f>VLOOKUP(E96,'[2]GP Data'!$D$3:$E$1530, 2, FALSE)</f>
        <v>5066.4399999999996</v>
      </c>
      <c r="G96" s="484">
        <f t="shared" si="7"/>
        <v>-3.1570390131108184E-4</v>
      </c>
      <c r="J96" s="483">
        <f t="shared" si="4"/>
        <v>-1.0013351134846582E-3</v>
      </c>
      <c r="K96" s="484">
        <f t="shared" si="5"/>
        <v>6.4681151908361212E-3</v>
      </c>
    </row>
    <row r="97" spans="1:11" x14ac:dyDescent="0.35">
      <c r="A97" s="490">
        <v>45848</v>
      </c>
      <c r="B97" s="491">
        <f>VLOOKUP(A97,'[2]GP Data'!$A$3:$B$1639, 2, FALSE)</f>
        <v>299.3</v>
      </c>
      <c r="C97" s="483">
        <f t="shared" si="6"/>
        <v>-1.0013351134846582E-3</v>
      </c>
      <c r="E97" s="492">
        <v>45848</v>
      </c>
      <c r="F97" s="493">
        <f>VLOOKUP(E97,'[2]GP Data'!$D$3:$E$1530, 2, FALSE)</f>
        <v>5068.04</v>
      </c>
      <c r="G97" s="484">
        <f t="shared" si="7"/>
        <v>6.4681151908361212E-3</v>
      </c>
      <c r="J97" s="483">
        <f t="shared" si="4"/>
        <v>3.013056578506923E-3</v>
      </c>
      <c r="K97" s="484">
        <f t="shared" si="5"/>
        <v>1.0805678451273115E-2</v>
      </c>
    </row>
    <row r="98" spans="1:11" x14ac:dyDescent="0.35">
      <c r="A98" s="490">
        <v>45847</v>
      </c>
      <c r="B98" s="491">
        <f>VLOOKUP(A98,'[2]GP Data'!$A$3:$B$1639, 2, FALSE)</f>
        <v>299.60000000000002</v>
      </c>
      <c r="C98" s="483">
        <f t="shared" si="6"/>
        <v>3.013056578506923E-3</v>
      </c>
      <c r="E98" s="492">
        <v>45847</v>
      </c>
      <c r="F98" s="493">
        <f>VLOOKUP(E98,'[2]GP Data'!$D$3:$E$1530, 2, FALSE)</f>
        <v>5035.47</v>
      </c>
      <c r="G98" s="484">
        <f t="shared" si="7"/>
        <v>1.0805678451273115E-2</v>
      </c>
      <c r="J98" s="483">
        <f t="shared" si="4"/>
        <v>-3.3366700033367058E-3</v>
      </c>
      <c r="K98" s="484">
        <f t="shared" si="5"/>
        <v>1.1012507636412039E-3</v>
      </c>
    </row>
    <row r="99" spans="1:11" x14ac:dyDescent="0.35">
      <c r="A99" s="490">
        <v>45846</v>
      </c>
      <c r="B99" s="491">
        <f>VLOOKUP(A99,'[2]GP Data'!$A$3:$B$1639, 2, FALSE)</f>
        <v>298.7</v>
      </c>
      <c r="C99" s="483">
        <f t="shared" si="6"/>
        <v>-3.3366700033367058E-3</v>
      </c>
      <c r="E99" s="492">
        <v>45846</v>
      </c>
      <c r="F99" s="493">
        <f>VLOOKUP(E99,'[2]GP Data'!$D$3:$E$1530, 2, FALSE)</f>
        <v>4981.6400000000003</v>
      </c>
      <c r="G99" s="484">
        <f t="shared" si="7"/>
        <v>1.1012507636412039E-3</v>
      </c>
      <c r="J99" s="483">
        <f t="shared" si="4"/>
        <v>2.34113712374584E-3</v>
      </c>
      <c r="K99" s="484">
        <f t="shared" si="5"/>
        <v>1.6773360413725236E-2</v>
      </c>
    </row>
    <row r="100" spans="1:11" x14ac:dyDescent="0.35">
      <c r="A100" s="490">
        <v>45845</v>
      </c>
      <c r="B100" s="491">
        <f>VLOOKUP(A100,'[2]GP Data'!$A$3:$B$1639, 2, FALSE)</f>
        <v>299.7</v>
      </c>
      <c r="C100" s="483">
        <f t="shared" si="6"/>
        <v>2.34113712374584E-3</v>
      </c>
      <c r="E100" s="492">
        <v>45845</v>
      </c>
      <c r="F100" s="493">
        <f>VLOOKUP(E100,'[2]GP Data'!$D$3:$E$1530, 2, FALSE)</f>
        <v>4976.16</v>
      </c>
      <c r="G100" s="484">
        <f t="shared" si="7"/>
        <v>1.6773360413725236E-2</v>
      </c>
      <c r="J100" s="483">
        <f t="shared" si="4"/>
        <v>-3.0010003334444146E-3</v>
      </c>
      <c r="K100" s="484">
        <f t="shared" si="5"/>
        <v>5.9071018820922028E-3</v>
      </c>
    </row>
    <row r="101" spans="1:11" x14ac:dyDescent="0.35">
      <c r="A101" s="490">
        <v>45841</v>
      </c>
      <c r="B101" s="491">
        <f>VLOOKUP(A101,'[2]GP Data'!$A$3:$B$1639, 2, FALSE)</f>
        <v>299</v>
      </c>
      <c r="C101" s="483">
        <f t="shared" si="6"/>
        <v>-3.0010003334444146E-3</v>
      </c>
      <c r="E101" s="492">
        <v>45841</v>
      </c>
      <c r="F101" s="493">
        <f>VLOOKUP(E101,'[2]GP Data'!$D$3:$E$1530, 2, FALSE)</f>
        <v>4894.07</v>
      </c>
      <c r="G101" s="484">
        <f t="shared" si="7"/>
        <v>5.9071018820922028E-3</v>
      </c>
      <c r="J101" s="483">
        <f t="shared" si="4"/>
        <v>-1.0557571758495699E-2</v>
      </c>
      <c r="K101" s="484">
        <f t="shared" si="5"/>
        <v>5.5679678570763613E-3</v>
      </c>
    </row>
    <row r="102" spans="1:11" x14ac:dyDescent="0.35">
      <c r="A102" s="490">
        <v>45840</v>
      </c>
      <c r="B102" s="491">
        <f>VLOOKUP(A102,'[2]GP Data'!$A$3:$B$1639, 2, FALSE)</f>
        <v>299.89999999999998</v>
      </c>
      <c r="C102" s="483">
        <f t="shared" si="6"/>
        <v>-1.0557571758495699E-2</v>
      </c>
      <c r="E102" s="492">
        <v>45840</v>
      </c>
      <c r="F102" s="493">
        <f>VLOOKUP(E102,'[2]GP Data'!$D$3:$E$1530, 2, FALSE)</f>
        <v>4865.33</v>
      </c>
      <c r="G102" s="484">
        <f t="shared" si="7"/>
        <v>5.5679678570763613E-3</v>
      </c>
      <c r="J102" s="483">
        <f t="shared" si="4"/>
        <v>-1.3179571663920475E-3</v>
      </c>
      <c r="K102" s="484">
        <f t="shared" si="5"/>
        <v>-2.8720313733254788E-4</v>
      </c>
    </row>
    <row r="103" spans="1:11" x14ac:dyDescent="0.35">
      <c r="A103" s="490">
        <v>45838</v>
      </c>
      <c r="B103" s="491">
        <f>VLOOKUP(A103,'[2]GP Data'!$A$3:$B$1639, 2, FALSE)</f>
        <v>303.10000000000002</v>
      </c>
      <c r="C103" s="483">
        <f t="shared" si="6"/>
        <v>-1.3179571663920475E-3</v>
      </c>
      <c r="E103" s="492">
        <v>45838</v>
      </c>
      <c r="F103" s="493">
        <f>VLOOKUP(E103,'[2]GP Data'!$D$3:$E$1530, 2, FALSE)</f>
        <v>4838.3900000000003</v>
      </c>
      <c r="G103" s="484">
        <f t="shared" si="7"/>
        <v>-2.8720313733254788E-4</v>
      </c>
      <c r="J103" s="483">
        <f t="shared" si="4"/>
        <v>2.6428807400067367E-3</v>
      </c>
      <c r="K103" s="484">
        <f t="shared" si="5"/>
        <v>1.4380807932412587E-3</v>
      </c>
    </row>
    <row r="104" spans="1:11" x14ac:dyDescent="0.35">
      <c r="A104" s="490">
        <v>45837</v>
      </c>
      <c r="B104" s="491">
        <f>VLOOKUP(A104,'[2]GP Data'!$A$3:$B$1639, 2, FALSE)</f>
        <v>303.5</v>
      </c>
      <c r="C104" s="483">
        <f t="shared" si="6"/>
        <v>2.6428807400067367E-3</v>
      </c>
      <c r="E104" s="492">
        <v>45837</v>
      </c>
      <c r="F104" s="493">
        <f>VLOOKUP(E104,'[2]GP Data'!$D$3:$E$1530, 2, FALSE)</f>
        <v>4839.78</v>
      </c>
      <c r="G104" s="484">
        <f t="shared" si="7"/>
        <v>1.4380807932412587E-3</v>
      </c>
      <c r="J104" s="483">
        <f t="shared" si="4"/>
        <v>2.33265720081135E-2</v>
      </c>
      <c r="K104" s="484">
        <f t="shared" si="5"/>
        <v>1.3673431718837836E-2</v>
      </c>
    </row>
    <row r="105" spans="1:11" x14ac:dyDescent="0.35">
      <c r="A105" s="490">
        <v>45834</v>
      </c>
      <c r="B105" s="491">
        <f>VLOOKUP(A105,'[2]GP Data'!$A$3:$B$1639, 2, FALSE)</f>
        <v>302.7</v>
      </c>
      <c r="C105" s="483">
        <f t="shared" si="6"/>
        <v>2.33265720081135E-2</v>
      </c>
      <c r="E105" s="492">
        <v>45834</v>
      </c>
      <c r="F105" s="493">
        <f>VLOOKUP(E105,'[2]GP Data'!$D$3:$E$1530, 2, FALSE)</f>
        <v>4832.83</v>
      </c>
      <c r="G105" s="484">
        <f t="shared" si="7"/>
        <v>1.3673431718837836E-2</v>
      </c>
      <c r="J105" s="483">
        <f t="shared" si="4"/>
        <v>3.3818058843437804E-4</v>
      </c>
      <c r="K105" s="484">
        <f t="shared" si="5"/>
        <v>1.0594235277658903E-2</v>
      </c>
    </row>
    <row r="106" spans="1:11" x14ac:dyDescent="0.35">
      <c r="A106" s="490">
        <v>45833</v>
      </c>
      <c r="B106" s="491">
        <f>VLOOKUP(A106,'[2]GP Data'!$A$3:$B$1639, 2, FALSE)</f>
        <v>295.8</v>
      </c>
      <c r="C106" s="483">
        <f t="shared" si="6"/>
        <v>3.3818058843437804E-4</v>
      </c>
      <c r="E106" s="492">
        <v>45833</v>
      </c>
      <c r="F106" s="493">
        <f>VLOOKUP(E106,'[2]GP Data'!$D$3:$E$1530, 2, FALSE)</f>
        <v>4767.6400000000003</v>
      </c>
      <c r="G106" s="484">
        <f t="shared" si="7"/>
        <v>1.0594235277658903E-2</v>
      </c>
      <c r="J106" s="483">
        <f t="shared" si="4"/>
        <v>6.7681895093052447E-4</v>
      </c>
      <c r="K106" s="484">
        <f t="shared" si="5"/>
        <v>4.8199905005932298E-3</v>
      </c>
    </row>
    <row r="107" spans="1:11" x14ac:dyDescent="0.35">
      <c r="A107" s="490">
        <v>45832</v>
      </c>
      <c r="B107" s="491">
        <f>VLOOKUP(A107,'[2]GP Data'!$A$3:$B$1639, 2, FALSE)</f>
        <v>295.7</v>
      </c>
      <c r="C107" s="483">
        <f t="shared" si="6"/>
        <v>6.7681895093052447E-4</v>
      </c>
      <c r="E107" s="492">
        <v>45832</v>
      </c>
      <c r="F107" s="493">
        <f>VLOOKUP(E107,'[2]GP Data'!$D$3:$E$1530, 2, FALSE)</f>
        <v>4717.66</v>
      </c>
      <c r="G107" s="484">
        <f t="shared" si="7"/>
        <v>4.8199905005932298E-3</v>
      </c>
      <c r="J107" s="483">
        <f t="shared" si="4"/>
        <v>1.8965517241379404E-2</v>
      </c>
      <c r="K107" s="484">
        <f t="shared" si="5"/>
        <v>3.7262698819906515E-3</v>
      </c>
    </row>
    <row r="108" spans="1:11" x14ac:dyDescent="0.35">
      <c r="A108" s="490">
        <v>45831</v>
      </c>
      <c r="B108" s="491">
        <f>VLOOKUP(A108,'[2]GP Data'!$A$3:$B$1639, 2, FALSE)</f>
        <v>295.5</v>
      </c>
      <c r="C108" s="483">
        <f t="shared" si="6"/>
        <v>1.8965517241379404E-2</v>
      </c>
      <c r="E108" s="492">
        <v>45831</v>
      </c>
      <c r="F108" s="493">
        <f>VLOOKUP(E108,'[2]GP Data'!$D$3:$E$1530, 2, FALSE)</f>
        <v>4695.03</v>
      </c>
      <c r="G108" s="484">
        <f t="shared" si="7"/>
        <v>3.7262698819906515E-3</v>
      </c>
      <c r="J108" s="483">
        <f t="shared" si="4"/>
        <v>-1.4276002719238567E-2</v>
      </c>
      <c r="K108" s="484">
        <f t="shared" si="5"/>
        <v>-1.6155527184235186E-2</v>
      </c>
    </row>
    <row r="109" spans="1:11" x14ac:dyDescent="0.35">
      <c r="A109" s="490">
        <v>45830</v>
      </c>
      <c r="B109" s="491">
        <f>VLOOKUP(A109,'[2]GP Data'!$A$3:$B$1639, 2, FALSE)</f>
        <v>290</v>
      </c>
      <c r="C109" s="483">
        <f t="shared" si="6"/>
        <v>-1.4276002719238567E-2</v>
      </c>
      <c r="E109" s="492">
        <v>45830</v>
      </c>
      <c r="F109" s="493">
        <f>VLOOKUP(E109,'[2]GP Data'!$D$3:$E$1530, 2, FALSE)</f>
        <v>4677.6000000000004</v>
      </c>
      <c r="G109" s="484">
        <f t="shared" si="7"/>
        <v>-1.6155527184235186E-2</v>
      </c>
      <c r="J109" s="483">
        <f t="shared" si="4"/>
        <v>9.608785175017287E-3</v>
      </c>
      <c r="K109" s="484">
        <f t="shared" si="5"/>
        <v>-4.693489196810452E-3</v>
      </c>
    </row>
    <row r="110" spans="1:11" x14ac:dyDescent="0.35">
      <c r="A110" s="490">
        <v>45827</v>
      </c>
      <c r="B110" s="491">
        <f>VLOOKUP(A110,'[2]GP Data'!$A$3:$B$1639, 2, FALSE)</f>
        <v>294.2</v>
      </c>
      <c r="C110" s="483">
        <f t="shared" si="6"/>
        <v>9.608785175017287E-3</v>
      </c>
      <c r="E110" s="492">
        <v>45827</v>
      </c>
      <c r="F110" s="493">
        <f>VLOOKUP(E110,'[2]GP Data'!$D$3:$E$1530, 2, FALSE)</f>
        <v>4754.41</v>
      </c>
      <c r="G110" s="484">
        <f t="shared" si="7"/>
        <v>-4.693489196810452E-3</v>
      </c>
      <c r="J110" s="483">
        <f t="shared" si="4"/>
        <v>2.3893183415319541E-2</v>
      </c>
      <c r="K110" s="484">
        <f t="shared" si="5"/>
        <v>7.8359555160780747E-3</v>
      </c>
    </row>
    <row r="111" spans="1:11" x14ac:dyDescent="0.35">
      <c r="A111" s="490">
        <v>45826</v>
      </c>
      <c r="B111" s="491">
        <f>VLOOKUP(A111,'[2]GP Data'!$A$3:$B$1639, 2, FALSE)</f>
        <v>291.39999999999998</v>
      </c>
      <c r="C111" s="483">
        <f t="shared" si="6"/>
        <v>2.3893183415319541E-2</v>
      </c>
      <c r="E111" s="492">
        <v>45826</v>
      </c>
      <c r="F111" s="493">
        <f>VLOOKUP(E111,'[2]GP Data'!$D$3:$E$1530, 2, FALSE)</f>
        <v>4776.83</v>
      </c>
      <c r="G111" s="484">
        <f t="shared" si="7"/>
        <v>7.8359555160780747E-3</v>
      </c>
      <c r="J111" s="483">
        <f t="shared" si="4"/>
        <v>-6.2849162011171522E-3</v>
      </c>
      <c r="K111" s="484">
        <f t="shared" si="5"/>
        <v>-9.1917067684577081E-3</v>
      </c>
    </row>
    <row r="112" spans="1:11" x14ac:dyDescent="0.35">
      <c r="A112" s="490">
        <v>45825</v>
      </c>
      <c r="B112" s="491">
        <f>VLOOKUP(A112,'[2]GP Data'!$A$3:$B$1639, 2, FALSE)</f>
        <v>284.60000000000002</v>
      </c>
      <c r="C112" s="483">
        <f t="shared" si="6"/>
        <v>-6.2849162011171522E-3</v>
      </c>
      <c r="E112" s="492">
        <v>45825</v>
      </c>
      <c r="F112" s="493">
        <f>VLOOKUP(E112,'[2]GP Data'!$D$3:$E$1530, 2, FALSE)</f>
        <v>4739.6899999999996</v>
      </c>
      <c r="G112" s="484">
        <f t="shared" si="7"/>
        <v>-9.1917067684577081E-3</v>
      </c>
      <c r="J112" s="483">
        <f t="shared" si="4"/>
        <v>7.3865634892718024E-3</v>
      </c>
      <c r="K112" s="484">
        <f t="shared" si="5"/>
        <v>1.2629127857747724E-2</v>
      </c>
    </row>
    <row r="113" spans="1:11" x14ac:dyDescent="0.35">
      <c r="A113" s="490">
        <v>45824</v>
      </c>
      <c r="B113" s="491">
        <f>VLOOKUP(A113,'[2]GP Data'!$A$3:$B$1639, 2, FALSE)</f>
        <v>286.39999999999998</v>
      </c>
      <c r="C113" s="483">
        <f t="shared" si="6"/>
        <v>7.3865634892718024E-3</v>
      </c>
      <c r="E113" s="492">
        <v>45824</v>
      </c>
      <c r="F113" s="493">
        <f>VLOOKUP(E113,'[2]GP Data'!$D$3:$E$1530, 2, FALSE)</f>
        <v>4783.66</v>
      </c>
      <c r="G113" s="484">
        <f t="shared" si="7"/>
        <v>1.2629127857747724E-2</v>
      </c>
      <c r="J113" s="483">
        <f t="shared" si="4"/>
        <v>-6.6387141858839094E-3</v>
      </c>
      <c r="K113" s="484">
        <f t="shared" si="5"/>
        <v>3.1662168274548819E-3</v>
      </c>
    </row>
    <row r="114" spans="1:11" x14ac:dyDescent="0.35">
      <c r="A114" s="490">
        <v>45823</v>
      </c>
      <c r="B114" s="491">
        <f>VLOOKUP(A114,'[2]GP Data'!$A$3:$B$1639, 2, FALSE)</f>
        <v>284.3</v>
      </c>
      <c r="C114" s="483">
        <f t="shared" si="6"/>
        <v>-6.6387141858839094E-3</v>
      </c>
      <c r="E114" s="492">
        <v>45823</v>
      </c>
      <c r="F114" s="493">
        <f>VLOOKUP(E114,'[2]GP Data'!$D$3:$E$1530, 2, FALSE)</f>
        <v>4724</v>
      </c>
      <c r="G114" s="484">
        <f t="shared" si="7"/>
        <v>3.1662168274548819E-3</v>
      </c>
      <c r="J114" s="483">
        <f t="shared" si="4"/>
        <v>6.3291139240506666E-3</v>
      </c>
      <c r="K114" s="484">
        <f t="shared" si="5"/>
        <v>9.4966761633428209E-3</v>
      </c>
    </row>
    <row r="115" spans="1:11" x14ac:dyDescent="0.35">
      <c r="A115" s="490">
        <v>45812</v>
      </c>
      <c r="B115" s="491">
        <f>VLOOKUP(A115,'[2]GP Data'!$A$3:$B$1639, 2, FALSE)</f>
        <v>286.2</v>
      </c>
      <c r="C115" s="483">
        <f t="shared" si="6"/>
        <v>6.3291139240506666E-3</v>
      </c>
      <c r="E115" s="492">
        <v>45812</v>
      </c>
      <c r="F115" s="493">
        <f>VLOOKUP(E115,'[2]GP Data'!$D$3:$E$1530, 2, FALSE)</f>
        <v>4709.09</v>
      </c>
      <c r="G115" s="484">
        <f t="shared" si="7"/>
        <v>9.4966761633428209E-3</v>
      </c>
      <c r="J115" s="483">
        <f t="shared" si="4"/>
        <v>-9.7493036211699913E-3</v>
      </c>
      <c r="K115" s="484">
        <f t="shared" si="5"/>
        <v>-5.2734608232826163E-3</v>
      </c>
    </row>
    <row r="116" spans="1:11" x14ac:dyDescent="0.35">
      <c r="A116" s="490">
        <v>45811</v>
      </c>
      <c r="B116" s="491">
        <f>VLOOKUP(A116,'[2]GP Data'!$A$3:$B$1639, 2, FALSE)</f>
        <v>284.39999999999998</v>
      </c>
      <c r="C116" s="483">
        <f t="shared" si="6"/>
        <v>-9.7493036211699913E-3</v>
      </c>
      <c r="E116" s="492">
        <v>45811</v>
      </c>
      <c r="F116" s="493">
        <f>VLOOKUP(E116,'[2]GP Data'!$D$3:$E$1530, 2, FALSE)</f>
        <v>4664.79</v>
      </c>
      <c r="G116" s="484">
        <f t="shared" si="7"/>
        <v>-5.2734608232826163E-3</v>
      </c>
      <c r="J116" s="483">
        <f t="shared" si="4"/>
        <v>3.483106931381208E-4</v>
      </c>
      <c r="K116" s="484">
        <f t="shared" si="5"/>
        <v>4.5218821825847577E-3</v>
      </c>
    </row>
    <row r="117" spans="1:11" x14ac:dyDescent="0.35">
      <c r="A117" s="490">
        <v>45810</v>
      </c>
      <c r="B117" s="491">
        <f>VLOOKUP(A117,'[2]GP Data'!$A$3:$B$1639, 2, FALSE)</f>
        <v>287.2</v>
      </c>
      <c r="C117" s="483">
        <f t="shared" si="6"/>
        <v>3.483106931381208E-4</v>
      </c>
      <c r="E117" s="492">
        <v>45810</v>
      </c>
      <c r="F117" s="493">
        <f>VLOOKUP(E117,'[2]GP Data'!$D$3:$E$1530, 2, FALSE)</f>
        <v>4689.5200000000004</v>
      </c>
      <c r="G117" s="484">
        <f t="shared" si="7"/>
        <v>4.5218821825847577E-3</v>
      </c>
      <c r="J117" s="483">
        <f t="shared" si="4"/>
        <v>1.3055751587861764E-2</v>
      </c>
      <c r="K117" s="484">
        <f t="shared" si="5"/>
        <v>6.5740676855141622E-3</v>
      </c>
    </row>
    <row r="118" spans="1:11" x14ac:dyDescent="0.35">
      <c r="A118" s="490">
        <v>45809</v>
      </c>
      <c r="B118" s="491">
        <f>VLOOKUP(A118,'[2]GP Data'!$A$3:$B$1639, 2, FALSE)</f>
        <v>287.10000000000002</v>
      </c>
      <c r="C118" s="483">
        <f t="shared" si="6"/>
        <v>1.3055751587861764E-2</v>
      </c>
      <c r="E118" s="492">
        <v>45809</v>
      </c>
      <c r="F118" s="493">
        <f>VLOOKUP(E118,'[2]GP Data'!$D$3:$E$1530, 2, FALSE)</f>
        <v>4668.41</v>
      </c>
      <c r="G118" s="484">
        <f t="shared" si="7"/>
        <v>6.5740676855141622E-3</v>
      </c>
      <c r="J118" s="483">
        <f t="shared" si="4"/>
        <v>3.7335285505124327E-2</v>
      </c>
      <c r="K118" s="484">
        <f t="shared" si="5"/>
        <v>4.8771398423976819E-3</v>
      </c>
    </row>
    <row r="119" spans="1:11" x14ac:dyDescent="0.35">
      <c r="A119" s="490">
        <v>45806</v>
      </c>
      <c r="B119" s="491">
        <f>VLOOKUP(A119,'[2]GP Data'!$A$3:$B$1639, 2, FALSE)</f>
        <v>283.39999999999998</v>
      </c>
      <c r="C119" s="483">
        <f t="shared" si="6"/>
        <v>3.7335285505124327E-2</v>
      </c>
      <c r="E119" s="492">
        <v>45806</v>
      </c>
      <c r="F119" s="493">
        <f>VLOOKUP(E119,'[2]GP Data'!$D$3:$E$1530, 2, FALSE)</f>
        <v>4637.92</v>
      </c>
      <c r="G119" s="484">
        <f t="shared" si="7"/>
        <v>4.8771398423976819E-3</v>
      </c>
      <c r="J119" s="483">
        <f t="shared" si="4"/>
        <v>-1.4619883040937198E-3</v>
      </c>
      <c r="K119" s="484">
        <f t="shared" si="5"/>
        <v>-1.3407066498793418E-2</v>
      </c>
    </row>
    <row r="120" spans="1:11" x14ac:dyDescent="0.35">
      <c r="A120" s="490">
        <v>45805</v>
      </c>
      <c r="B120" s="491">
        <f>VLOOKUP(A120,'[2]GP Data'!$A$3:$B$1639, 2, FALSE)</f>
        <v>273.2</v>
      </c>
      <c r="C120" s="483">
        <f t="shared" si="6"/>
        <v>-1.4619883040937198E-3</v>
      </c>
      <c r="E120" s="492">
        <v>45805</v>
      </c>
      <c r="F120" s="493">
        <f>VLOOKUP(E120,'[2]GP Data'!$D$3:$E$1530, 2, FALSE)</f>
        <v>4615.41</v>
      </c>
      <c r="G120" s="484">
        <f t="shared" si="7"/>
        <v>-1.3407066498793418E-2</v>
      </c>
      <c r="J120" s="483">
        <f t="shared" si="4"/>
        <v>8.8495575221241296E-3</v>
      </c>
      <c r="K120" s="484">
        <f t="shared" si="5"/>
        <v>-8.7426553007909913E-3</v>
      </c>
    </row>
    <row r="121" spans="1:11" x14ac:dyDescent="0.35">
      <c r="A121" s="490">
        <v>45804</v>
      </c>
      <c r="B121" s="491">
        <f>VLOOKUP(A121,'[2]GP Data'!$A$3:$B$1639, 2, FALSE)</f>
        <v>273.60000000000002</v>
      </c>
      <c r="C121" s="483">
        <f t="shared" si="6"/>
        <v>8.8495575221241296E-3</v>
      </c>
      <c r="E121" s="492">
        <v>45804</v>
      </c>
      <c r="F121" s="493">
        <f>VLOOKUP(E121,'[2]GP Data'!$D$3:$E$1530, 2, FALSE)</f>
        <v>4678.13</v>
      </c>
      <c r="G121" s="484">
        <f t="shared" si="7"/>
        <v>-8.7426553007909913E-3</v>
      </c>
      <c r="J121" s="483">
        <f t="shared" si="4"/>
        <v>-4.0396621373486319E-3</v>
      </c>
      <c r="K121" s="484">
        <f t="shared" si="5"/>
        <v>-3.5787126768770383E-3</v>
      </c>
    </row>
    <row r="122" spans="1:11" x14ac:dyDescent="0.35">
      <c r="A122" s="490">
        <v>45803</v>
      </c>
      <c r="B122" s="491">
        <f>VLOOKUP(A122,'[2]GP Data'!$A$3:$B$1639, 2, FALSE)</f>
        <v>271.2</v>
      </c>
      <c r="C122" s="483">
        <f t="shared" si="6"/>
        <v>-4.0396621373486319E-3</v>
      </c>
      <c r="E122" s="492">
        <v>45803</v>
      </c>
      <c r="F122" s="493">
        <f>VLOOKUP(E122,'[2]GP Data'!$D$3:$E$1530, 2, FALSE)</f>
        <v>4719.3900000000003</v>
      </c>
      <c r="G122" s="484">
        <f t="shared" si="7"/>
        <v>-3.5787126768770383E-3</v>
      </c>
      <c r="J122" s="483">
        <f t="shared" si="4"/>
        <v>-3.4054629301170536E-2</v>
      </c>
      <c r="K122" s="484">
        <f t="shared" si="5"/>
        <v>-1.0194101715317427E-2</v>
      </c>
    </row>
    <row r="123" spans="1:11" x14ac:dyDescent="0.35">
      <c r="A123" s="490">
        <v>45802</v>
      </c>
      <c r="B123" s="491">
        <f>VLOOKUP(A123,'[2]GP Data'!$A$3:$B$1639, 2, FALSE)</f>
        <v>272.3</v>
      </c>
      <c r="C123" s="483">
        <f t="shared" si="6"/>
        <v>-3.4054629301170536E-2</v>
      </c>
      <c r="E123" s="492">
        <v>45802</v>
      </c>
      <c r="F123" s="493">
        <f>VLOOKUP(E123,'[2]GP Data'!$D$3:$E$1530, 2, FALSE)</f>
        <v>4736.34</v>
      </c>
      <c r="G123" s="484">
        <f t="shared" si="7"/>
        <v>-1.0194101715317427E-2</v>
      </c>
      <c r="J123" s="483">
        <f t="shared" si="4"/>
        <v>-2.2538141470180295E-2</v>
      </c>
      <c r="K123" s="484">
        <f t="shared" si="5"/>
        <v>-3.374072130164163E-3</v>
      </c>
    </row>
    <row r="124" spans="1:11" x14ac:dyDescent="0.35">
      <c r="A124" s="490">
        <v>45799</v>
      </c>
      <c r="B124" s="491">
        <f>VLOOKUP(A124,'[2]GP Data'!$A$3:$B$1639, 2, FALSE)</f>
        <v>281.89999999999998</v>
      </c>
      <c r="C124" s="483">
        <f t="shared" si="6"/>
        <v>-2.2538141470180295E-2</v>
      </c>
      <c r="E124" s="492">
        <v>45799</v>
      </c>
      <c r="F124" s="505">
        <v>4785.12</v>
      </c>
      <c r="G124" s="484">
        <f t="shared" si="7"/>
        <v>-3.374072130164163E-3</v>
      </c>
      <c r="J124" s="483">
        <f t="shared" si="4"/>
        <v>-2.0713073005093507E-2</v>
      </c>
      <c r="K124" s="484">
        <f t="shared" si="5"/>
        <v>1.3075984609127733E-3</v>
      </c>
    </row>
    <row r="125" spans="1:11" x14ac:dyDescent="0.35">
      <c r="A125" s="490">
        <v>45798</v>
      </c>
      <c r="B125" s="491">
        <f>VLOOKUP(A125,'[2]GP Data'!$A$3:$B$1639, 2, FALSE)</f>
        <v>288.39999999999998</v>
      </c>
      <c r="C125" s="483">
        <f t="shared" si="6"/>
        <v>-2.0713073005093507E-2</v>
      </c>
      <c r="E125" s="492">
        <v>45798</v>
      </c>
      <c r="F125" s="493">
        <f>VLOOKUP(E125,'[2]GP Data'!$D$3:$E$1530, 2, FALSE)</f>
        <v>4801.32</v>
      </c>
      <c r="G125" s="484">
        <f t="shared" si="7"/>
        <v>1.3075984609127733E-3</v>
      </c>
      <c r="J125" s="483">
        <f t="shared" si="4"/>
        <v>1.3600816048962017E-3</v>
      </c>
      <c r="K125" s="484">
        <f t="shared" si="5"/>
        <v>3.9193271821671427E-3</v>
      </c>
    </row>
    <row r="126" spans="1:11" x14ac:dyDescent="0.35">
      <c r="A126" s="490">
        <v>45797</v>
      </c>
      <c r="B126" s="491">
        <f>VLOOKUP(A126,'[2]GP Data'!$A$3:$B$1639, 2, FALSE)</f>
        <v>294.5</v>
      </c>
      <c r="C126" s="483">
        <f t="shared" si="6"/>
        <v>1.3600816048962017E-3</v>
      </c>
      <c r="E126" s="492">
        <v>45797</v>
      </c>
      <c r="F126" s="493">
        <f>VLOOKUP(E126,'[2]GP Data'!$D$3:$E$1530, 2, FALSE)</f>
        <v>4795.05</v>
      </c>
      <c r="G126" s="484">
        <f t="shared" si="7"/>
        <v>3.9193271821671427E-3</v>
      </c>
      <c r="J126" s="483">
        <f t="shared" si="4"/>
        <v>-7.0898041863604044E-3</v>
      </c>
      <c r="K126" s="484">
        <f t="shared" si="5"/>
        <v>-3.080718583871378E-3</v>
      </c>
    </row>
    <row r="127" spans="1:11" x14ac:dyDescent="0.35">
      <c r="A127" s="490">
        <v>45796</v>
      </c>
      <c r="B127" s="491">
        <f>VLOOKUP(A127,'[2]GP Data'!$A$3:$B$1639, 2, FALSE)</f>
        <v>294.10000000000002</v>
      </c>
      <c r="C127" s="483">
        <f t="shared" si="6"/>
        <v>-7.0898041863604044E-3</v>
      </c>
      <c r="E127" s="492">
        <v>45796</v>
      </c>
      <c r="F127" s="493">
        <f>VLOOKUP(E127,'[2]GP Data'!$D$3:$E$1530, 2, FALSE)</f>
        <v>4776.33</v>
      </c>
      <c r="G127" s="484">
        <f t="shared" si="7"/>
        <v>-3.080718583871378E-3</v>
      </c>
      <c r="J127" s="483">
        <f t="shared" si="4"/>
        <v>4.4082739911834867E-3</v>
      </c>
      <c r="K127" s="484">
        <f t="shared" si="5"/>
        <v>2.1062451108757596E-3</v>
      </c>
    </row>
    <row r="128" spans="1:11" x14ac:dyDescent="0.35">
      <c r="A128" s="490">
        <v>45795</v>
      </c>
      <c r="B128" s="491">
        <f>VLOOKUP(A128,'[2]GP Data'!$A$3:$B$1639, 2, FALSE)</f>
        <v>296.2</v>
      </c>
      <c r="C128" s="483">
        <f t="shared" si="6"/>
        <v>4.4082739911834867E-3</v>
      </c>
      <c r="E128" s="492">
        <v>45795</v>
      </c>
      <c r="F128" s="493">
        <f>VLOOKUP(E128,'[2]GP Data'!$D$3:$E$1530, 2, FALSE)</f>
        <v>4791.09</v>
      </c>
      <c r="G128" s="484">
        <f t="shared" si="7"/>
        <v>2.1062451108757596E-3</v>
      </c>
      <c r="J128" s="483">
        <f t="shared" si="4"/>
        <v>-6.7362748400134898E-3</v>
      </c>
      <c r="K128" s="484">
        <f t="shared" si="5"/>
        <v>-1.1287120522789351E-2</v>
      </c>
    </row>
    <row r="129" spans="1:11" x14ac:dyDescent="0.35">
      <c r="A129" s="490">
        <v>45792</v>
      </c>
      <c r="B129" s="491">
        <f>VLOOKUP(A129,'[2]GP Data'!$A$3:$B$1639, 2, FALSE)</f>
        <v>294.89999999999998</v>
      </c>
      <c r="C129" s="483">
        <f t="shared" si="6"/>
        <v>-6.7362748400134898E-3</v>
      </c>
      <c r="E129" s="492">
        <v>45792</v>
      </c>
      <c r="F129" s="493">
        <f>VLOOKUP(E129,'[2]GP Data'!$D$3:$E$1530, 2, FALSE)</f>
        <v>4781.0200000000004</v>
      </c>
      <c r="G129" s="484">
        <f t="shared" si="7"/>
        <v>-1.1287120522789351E-2</v>
      </c>
      <c r="J129" s="483">
        <f t="shared" si="4"/>
        <v>-3.3670033670041288E-4</v>
      </c>
      <c r="K129" s="484">
        <f t="shared" si="5"/>
        <v>-7.996586372569392E-3</v>
      </c>
    </row>
    <row r="130" spans="1:11" x14ac:dyDescent="0.35">
      <c r="A130" s="490">
        <v>45791</v>
      </c>
      <c r="B130" s="491">
        <f>VLOOKUP(A130,'[2]GP Data'!$A$3:$B$1639, 2, FALSE)</f>
        <v>296.89999999999998</v>
      </c>
      <c r="C130" s="483">
        <f t="shared" si="6"/>
        <v>-3.3670033670041288E-4</v>
      </c>
      <c r="E130" s="492">
        <v>45791</v>
      </c>
      <c r="F130" s="493">
        <f>VLOOKUP(E130,'[2]GP Data'!$D$3:$E$1530, 2, FALSE)</f>
        <v>4835.6000000000004</v>
      </c>
      <c r="G130" s="484">
        <f t="shared" si="7"/>
        <v>-7.996586372569392E-3</v>
      </c>
      <c r="J130" s="483">
        <f t="shared" si="4"/>
        <v>-3.6900369003690647E-3</v>
      </c>
      <c r="K130" s="484">
        <f t="shared" si="5"/>
        <v>-9.545753785385247E-3</v>
      </c>
    </row>
    <row r="131" spans="1:11" x14ac:dyDescent="0.35">
      <c r="A131" s="490">
        <v>45790</v>
      </c>
      <c r="B131" s="491">
        <f>VLOOKUP(A131,'[2]GP Data'!$A$3:$B$1639, 2, FALSE)</f>
        <v>297</v>
      </c>
      <c r="C131" s="483">
        <f t="shared" si="6"/>
        <v>-3.6900369003690647E-3</v>
      </c>
      <c r="E131" s="492">
        <v>45790</v>
      </c>
      <c r="F131" s="493">
        <f>VLOOKUP(E131,'[2]GP Data'!$D$3:$E$1530, 2, FALSE)</f>
        <v>4874.58</v>
      </c>
      <c r="G131" s="484">
        <f t="shared" si="7"/>
        <v>-9.545753785385247E-3</v>
      </c>
      <c r="J131" s="483">
        <f t="shared" ref="J131:J194" si="8">(B132/B133)-1</f>
        <v>3.3557046979870719E-4</v>
      </c>
      <c r="K131" s="484">
        <f t="shared" ref="K131:K194" si="9">(F132/F133)-1</f>
        <v>3.9328638919033931E-3</v>
      </c>
    </row>
    <row r="132" spans="1:11" x14ac:dyDescent="0.35">
      <c r="A132" s="490">
        <v>45789</v>
      </c>
      <c r="B132" s="491">
        <f>VLOOKUP(A132,'[2]GP Data'!$A$3:$B$1639, 2, FALSE)</f>
        <v>298.10000000000002</v>
      </c>
      <c r="C132" s="483">
        <f t="shared" ref="C132:C195" si="10">(B132/B133)-1</f>
        <v>3.3557046979870719E-4</v>
      </c>
      <c r="E132" s="492">
        <v>45789</v>
      </c>
      <c r="F132" s="493">
        <f>VLOOKUP(E132,'[2]GP Data'!$D$3:$E$1530, 2, FALSE)</f>
        <v>4921.5600000000004</v>
      </c>
      <c r="G132" s="484">
        <f t="shared" ref="G132:G195" si="11">(F132/F133)-1</f>
        <v>3.9328638919033931E-3</v>
      </c>
      <c r="J132" s="483">
        <f t="shared" si="8"/>
        <v>2.3545240497813147E-3</v>
      </c>
      <c r="K132" s="484">
        <f t="shared" si="9"/>
        <v>2.079368318472774E-2</v>
      </c>
    </row>
    <row r="133" spans="1:11" x14ac:dyDescent="0.35">
      <c r="A133" s="490">
        <v>45785</v>
      </c>
      <c r="B133" s="491">
        <f>VLOOKUP(A133,'[2]GP Data'!$A$3:$B$1639, 2, FALSE)</f>
        <v>298</v>
      </c>
      <c r="C133" s="483">
        <f t="shared" si="10"/>
        <v>2.3545240497813147E-3</v>
      </c>
      <c r="E133" s="492">
        <v>45785</v>
      </c>
      <c r="F133" s="493">
        <f>VLOOKUP(E133,'[2]GP Data'!$D$3:$E$1530, 2, FALSE)</f>
        <v>4902.28</v>
      </c>
      <c r="G133" s="484">
        <f t="shared" si="11"/>
        <v>2.079368318472774E-2</v>
      </c>
      <c r="J133" s="483">
        <f t="shared" si="8"/>
        <v>-1.588877855014903E-2</v>
      </c>
      <c r="K133" s="484">
        <f t="shared" si="9"/>
        <v>-3.0153098008170787E-2</v>
      </c>
    </row>
    <row r="134" spans="1:11" x14ac:dyDescent="0.35">
      <c r="A134" s="490">
        <v>45784</v>
      </c>
      <c r="B134" s="491">
        <f>VLOOKUP(A134,'[2]GP Data'!$A$3:$B$1639, 2, FALSE)</f>
        <v>297.3</v>
      </c>
      <c r="C134" s="483">
        <f t="shared" si="10"/>
        <v>-1.588877855014903E-2</v>
      </c>
      <c r="E134" s="492">
        <v>45784</v>
      </c>
      <c r="F134" s="493">
        <f>VLOOKUP(E134,'[2]GP Data'!$D$3:$E$1530, 2, FALSE)</f>
        <v>4802.42</v>
      </c>
      <c r="G134" s="484">
        <f t="shared" si="11"/>
        <v>-3.0153098008170787E-2</v>
      </c>
      <c r="J134" s="483">
        <f t="shared" si="8"/>
        <v>-6.5767839526471583E-3</v>
      </c>
      <c r="K134" s="484">
        <f t="shared" si="9"/>
        <v>-2.6064169421130545E-3</v>
      </c>
    </row>
    <row r="135" spans="1:11" x14ac:dyDescent="0.35">
      <c r="A135" s="490">
        <v>45783</v>
      </c>
      <c r="B135" s="491">
        <f>VLOOKUP(A135,'[2]GP Data'!$A$3:$B$1639, 2, FALSE)</f>
        <v>302.10000000000002</v>
      </c>
      <c r="C135" s="483">
        <f t="shared" si="10"/>
        <v>-6.5767839526471583E-3</v>
      </c>
      <c r="E135" s="492">
        <v>45783</v>
      </c>
      <c r="F135" s="493">
        <f>VLOOKUP(E135,'[2]GP Data'!$D$3:$E$1530, 2, FALSE)</f>
        <v>4951.7299999999996</v>
      </c>
      <c r="G135" s="484">
        <f t="shared" si="11"/>
        <v>-2.6064169421130545E-3</v>
      </c>
      <c r="J135" s="483">
        <f t="shared" si="8"/>
        <v>1.2991339107262023E-2</v>
      </c>
      <c r="K135" s="484">
        <f t="shared" si="9"/>
        <v>1.6988650693567919E-3</v>
      </c>
    </row>
    <row r="136" spans="1:11" x14ac:dyDescent="0.35">
      <c r="A136" s="490">
        <v>45782</v>
      </c>
      <c r="B136" s="491">
        <f>VLOOKUP(A136,'[2]GP Data'!$A$3:$B$1639, 2, FALSE)</f>
        <v>304.10000000000002</v>
      </c>
      <c r="C136" s="483">
        <f t="shared" si="10"/>
        <v>1.2991339107262023E-2</v>
      </c>
      <c r="E136" s="492">
        <v>45782</v>
      </c>
      <c r="F136" s="493">
        <f>VLOOKUP(E136,'[2]GP Data'!$D$3:$E$1530, 2, FALSE)</f>
        <v>4964.67</v>
      </c>
      <c r="G136" s="484">
        <f t="shared" si="11"/>
        <v>1.6988650693567919E-3</v>
      </c>
      <c r="J136" s="483">
        <f t="shared" si="8"/>
        <v>2.0026702269690944E-3</v>
      </c>
      <c r="K136" s="484">
        <f t="shared" si="9"/>
        <v>7.7939454078146397E-3</v>
      </c>
    </row>
    <row r="137" spans="1:11" x14ac:dyDescent="0.35">
      <c r="A137" s="490">
        <v>45781</v>
      </c>
      <c r="B137" s="491">
        <f>VLOOKUP(A137,'[2]GP Data'!$A$3:$B$1639, 2, FALSE)</f>
        <v>300.2</v>
      </c>
      <c r="C137" s="483">
        <f t="shared" si="10"/>
        <v>2.0026702269690944E-3</v>
      </c>
      <c r="E137" s="492">
        <v>45781</v>
      </c>
      <c r="F137" s="493">
        <f>VLOOKUP(E137,'[2]GP Data'!$D$3:$E$1530, 2, FALSE)</f>
        <v>4956.25</v>
      </c>
      <c r="G137" s="484">
        <f t="shared" si="11"/>
        <v>7.7939454078146397E-3</v>
      </c>
      <c r="J137" s="483">
        <f t="shared" si="8"/>
        <v>-1.9986675549632515E-3</v>
      </c>
      <c r="K137" s="484">
        <f t="shared" si="9"/>
        <v>-3.5861755969868181E-3</v>
      </c>
    </row>
    <row r="138" spans="1:11" x14ac:dyDescent="0.35">
      <c r="A138" s="490">
        <v>45777</v>
      </c>
      <c r="B138" s="491">
        <f>VLOOKUP(A138,'[2]GP Data'!$A$3:$B$1639, 2, FALSE)</f>
        <v>299.60000000000002</v>
      </c>
      <c r="C138" s="483">
        <f t="shared" si="10"/>
        <v>-1.9986675549632515E-3</v>
      </c>
      <c r="E138" s="492">
        <v>45777</v>
      </c>
      <c r="F138" s="493">
        <f>VLOOKUP(E138,'[2]GP Data'!$D$3:$E$1530, 2, FALSE)</f>
        <v>4917.92</v>
      </c>
      <c r="G138" s="484">
        <f t="shared" si="11"/>
        <v>-3.5861755969868181E-3</v>
      </c>
      <c r="J138" s="483">
        <f t="shared" si="8"/>
        <v>-7.603305785124026E-3</v>
      </c>
      <c r="K138" s="484">
        <f t="shared" si="9"/>
        <v>-3.4667328919659735E-3</v>
      </c>
    </row>
    <row r="139" spans="1:11" x14ac:dyDescent="0.35">
      <c r="A139" s="490">
        <v>45776</v>
      </c>
      <c r="B139" s="491">
        <f>VLOOKUP(A139,'[2]GP Data'!$A$3:$B$1639, 2, FALSE)</f>
        <v>300.2</v>
      </c>
      <c r="C139" s="483">
        <f t="shared" si="10"/>
        <v>-7.603305785124026E-3</v>
      </c>
      <c r="E139" s="492">
        <v>45776</v>
      </c>
      <c r="F139" s="493">
        <f>VLOOKUP(E139,'[2]GP Data'!$D$3:$E$1530, 2, FALSE)</f>
        <v>4935.62</v>
      </c>
      <c r="G139" s="484">
        <f t="shared" si="11"/>
        <v>-3.4667328919659735E-3</v>
      </c>
      <c r="J139" s="483">
        <f t="shared" si="8"/>
        <v>-1.7218973359324319E-2</v>
      </c>
      <c r="K139" s="484">
        <f t="shared" si="9"/>
        <v>-8.5437406290099771E-3</v>
      </c>
    </row>
    <row r="140" spans="1:11" x14ac:dyDescent="0.35">
      <c r="A140" s="490">
        <v>45775</v>
      </c>
      <c r="B140" s="491">
        <f>VLOOKUP(A140,'[2]GP Data'!$A$3:$B$1639, 2, FALSE)</f>
        <v>302.5</v>
      </c>
      <c r="C140" s="483">
        <f t="shared" si="10"/>
        <v>-1.7218973359324319E-2</v>
      </c>
      <c r="E140" s="492">
        <v>45775</v>
      </c>
      <c r="F140" s="493">
        <f>VLOOKUP(E140,'[2]GP Data'!$D$3:$E$1530, 2, FALSE)</f>
        <v>4952.79</v>
      </c>
      <c r="G140" s="484">
        <f t="shared" si="11"/>
        <v>-8.5437406290099771E-3</v>
      </c>
      <c r="J140" s="483">
        <f t="shared" si="8"/>
        <v>-3.9625585023400856E-2</v>
      </c>
      <c r="K140" s="484">
        <f t="shared" si="9"/>
        <v>4.599203635924809E-3</v>
      </c>
    </row>
    <row r="141" spans="1:11" x14ac:dyDescent="0.35">
      <c r="A141" s="490">
        <v>45774</v>
      </c>
      <c r="B141" s="491">
        <f>VLOOKUP(A141,'[2]GP Data'!$A$3:$B$1639, 2, FALSE)</f>
        <v>307.8</v>
      </c>
      <c r="C141" s="483">
        <f t="shared" si="10"/>
        <v>-3.9625585023400856E-2</v>
      </c>
      <c r="E141" s="492">
        <v>45774</v>
      </c>
      <c r="F141" s="493">
        <f>VLOOKUP(E141,'[2]GP Data'!$D$3:$E$1530, 2, FALSE)</f>
        <v>4995.47</v>
      </c>
      <c r="G141" s="484">
        <f t="shared" si="11"/>
        <v>4.599203635924809E-3</v>
      </c>
      <c r="J141" s="483">
        <f t="shared" si="8"/>
        <v>-2.4898848428260845E-3</v>
      </c>
      <c r="K141" s="484">
        <f t="shared" si="9"/>
        <v>-9.9293773780629868E-3</v>
      </c>
    </row>
    <row r="142" spans="1:11" x14ac:dyDescent="0.35">
      <c r="A142" s="490">
        <v>45771</v>
      </c>
      <c r="B142" s="491">
        <f>VLOOKUP(A142,'[2]GP Data'!$A$3:$B$1639, 2, FALSE)</f>
        <v>320.5</v>
      </c>
      <c r="C142" s="483">
        <f t="shared" si="10"/>
        <v>-2.4898848428260845E-3</v>
      </c>
      <c r="E142" s="492">
        <v>45771</v>
      </c>
      <c r="F142" s="493">
        <f>VLOOKUP(E142,'[2]GP Data'!$D$3:$E$1530, 2, FALSE)</f>
        <v>4972.6000000000004</v>
      </c>
      <c r="G142" s="484">
        <f t="shared" si="11"/>
        <v>-9.9293773780629868E-3</v>
      </c>
      <c r="J142" s="483">
        <f t="shared" si="8"/>
        <v>5.0046918986550448E-3</v>
      </c>
      <c r="K142" s="484">
        <f t="shared" si="9"/>
        <v>-8.1566555324996681E-4</v>
      </c>
    </row>
    <row r="143" spans="1:11" x14ac:dyDescent="0.35">
      <c r="A143" s="490">
        <v>45770</v>
      </c>
      <c r="B143" s="491">
        <f>VLOOKUP(A143,'[2]GP Data'!$A$3:$B$1639, 2, FALSE)</f>
        <v>321.3</v>
      </c>
      <c r="C143" s="483">
        <f t="shared" si="10"/>
        <v>5.0046918986550448E-3</v>
      </c>
      <c r="E143" s="492">
        <v>45770</v>
      </c>
      <c r="F143" s="493">
        <f>VLOOKUP(E143,'[2]GP Data'!$D$3:$E$1530, 2, FALSE)</f>
        <v>5022.47</v>
      </c>
      <c r="G143" s="484">
        <f t="shared" si="11"/>
        <v>-8.1566555324996681E-4</v>
      </c>
      <c r="J143" s="483">
        <f t="shared" si="8"/>
        <v>6.2597809076669897E-4</v>
      </c>
      <c r="K143" s="484">
        <f t="shared" si="9"/>
        <v>-3.6234972298483381E-3</v>
      </c>
    </row>
    <row r="144" spans="1:11" x14ac:dyDescent="0.35">
      <c r="A144" s="490">
        <v>45769</v>
      </c>
      <c r="B144" s="491">
        <f>VLOOKUP(A144,'[2]GP Data'!$A$3:$B$1639, 2, FALSE)</f>
        <v>319.7</v>
      </c>
      <c r="C144" s="483">
        <f t="shared" si="10"/>
        <v>6.2597809076669897E-4</v>
      </c>
      <c r="E144" s="492">
        <v>45769</v>
      </c>
      <c r="F144" s="493">
        <f>VLOOKUP(E144,'[2]GP Data'!$D$3:$E$1530, 2, FALSE)</f>
        <v>5026.57</v>
      </c>
      <c r="G144" s="484">
        <f t="shared" si="11"/>
        <v>-3.6234972298483381E-3</v>
      </c>
      <c r="J144" s="483">
        <f t="shared" si="8"/>
        <v>-4.982871379632603E-3</v>
      </c>
      <c r="K144" s="484">
        <f t="shared" si="9"/>
        <v>-5.8194301569846063E-3</v>
      </c>
    </row>
    <row r="145" spans="1:11" x14ac:dyDescent="0.35">
      <c r="A145" s="490">
        <v>45768</v>
      </c>
      <c r="B145" s="491">
        <f>VLOOKUP(A145,'[2]GP Data'!$A$3:$B$1639, 2, FALSE)</f>
        <v>319.5</v>
      </c>
      <c r="C145" s="483">
        <f t="shared" si="10"/>
        <v>-4.982871379632603E-3</v>
      </c>
      <c r="E145" s="492">
        <v>45768</v>
      </c>
      <c r="F145" s="493">
        <f>VLOOKUP(E145,'[2]GP Data'!$D$3:$E$1530, 2, FALSE)</f>
        <v>5044.8500000000004</v>
      </c>
      <c r="G145" s="484">
        <f t="shared" si="11"/>
        <v>-5.8194301569846063E-3</v>
      </c>
      <c r="J145" s="483">
        <f t="shared" si="8"/>
        <v>3.7511722413254844E-3</v>
      </c>
      <c r="K145" s="484">
        <f t="shared" si="9"/>
        <v>-4.5023571163727016E-3</v>
      </c>
    </row>
    <row r="146" spans="1:11" x14ac:dyDescent="0.35">
      <c r="A146" s="490">
        <v>45767</v>
      </c>
      <c r="B146" s="491">
        <f>VLOOKUP(A146,'[2]GP Data'!$A$3:$B$1639, 2, FALSE)</f>
        <v>321.10000000000002</v>
      </c>
      <c r="C146" s="483">
        <f t="shared" si="10"/>
        <v>3.7511722413254844E-3</v>
      </c>
      <c r="E146" s="492">
        <v>45767</v>
      </c>
      <c r="F146" s="493">
        <f>VLOOKUP(E146,'[2]GP Data'!$D$3:$E$1530, 2, FALSE)</f>
        <v>5074.38</v>
      </c>
      <c r="G146" s="484">
        <f t="shared" si="11"/>
        <v>-4.5023571163727016E-3</v>
      </c>
      <c r="J146" s="483">
        <f t="shared" si="8"/>
        <v>-3.1162355874103653E-3</v>
      </c>
      <c r="K146" s="484">
        <f t="shared" si="9"/>
        <v>-1.6373888739816822E-3</v>
      </c>
    </row>
    <row r="147" spans="1:11" x14ac:dyDescent="0.35">
      <c r="A147" s="490">
        <v>45764</v>
      </c>
      <c r="B147" s="491">
        <f>VLOOKUP(A147,'[2]GP Data'!$A$3:$B$1639, 2, FALSE)</f>
        <v>319.89999999999998</v>
      </c>
      <c r="C147" s="483">
        <f t="shared" si="10"/>
        <v>-3.1162355874103653E-3</v>
      </c>
      <c r="E147" s="492">
        <v>45764</v>
      </c>
      <c r="F147" s="493">
        <f>VLOOKUP(E147,'[2]GP Data'!$D$3:$E$1530, 2, FALSE)</f>
        <v>5097.33</v>
      </c>
      <c r="G147" s="484">
        <f t="shared" si="11"/>
        <v>-1.6373888739816822E-3</v>
      </c>
      <c r="J147" s="483">
        <f t="shared" si="8"/>
        <v>3.1172069825435855E-4</v>
      </c>
      <c r="K147" s="484">
        <f t="shared" si="9"/>
        <v>-5.1305333962067268E-3</v>
      </c>
    </row>
    <row r="148" spans="1:11" x14ac:dyDescent="0.35">
      <c r="A148" s="490">
        <v>45763</v>
      </c>
      <c r="B148" s="491">
        <f>VLOOKUP(A148,'[2]GP Data'!$A$3:$B$1639, 2, FALSE)</f>
        <v>320.89999999999998</v>
      </c>
      <c r="C148" s="483">
        <f t="shared" si="10"/>
        <v>3.1172069825435855E-4</v>
      </c>
      <c r="E148" s="492">
        <v>45763</v>
      </c>
      <c r="F148" s="493">
        <f>VLOOKUP(E148,'[2]GP Data'!$D$3:$E$1530, 2, FALSE)</f>
        <v>5105.6899999999996</v>
      </c>
      <c r="G148" s="484">
        <f t="shared" si="11"/>
        <v>-5.1305333962067268E-3</v>
      </c>
      <c r="J148" s="483">
        <f t="shared" si="8"/>
        <v>2.1868166198062422E-3</v>
      </c>
      <c r="K148" s="484">
        <f t="shared" si="9"/>
        <v>-7.2847835842837494E-3</v>
      </c>
    </row>
    <row r="149" spans="1:11" x14ac:dyDescent="0.35">
      <c r="A149" s="490">
        <v>45762</v>
      </c>
      <c r="B149" s="491">
        <f>VLOOKUP(A149,'[2]GP Data'!$A$3:$B$1639, 2, FALSE)</f>
        <v>320.8</v>
      </c>
      <c r="C149" s="483">
        <f t="shared" si="10"/>
        <v>2.1868166198062422E-3</v>
      </c>
      <c r="E149" s="492">
        <v>45762</v>
      </c>
      <c r="F149" s="493">
        <f>VLOOKUP(E149,'[2]GP Data'!$D$3:$E$1530, 2, FALSE)</f>
        <v>5132.0200000000004</v>
      </c>
      <c r="G149" s="484">
        <f t="shared" si="11"/>
        <v>-7.2847835842837494E-3</v>
      </c>
      <c r="J149" s="483">
        <f t="shared" si="8"/>
        <v>-1.5595757953836831E-3</v>
      </c>
      <c r="K149" s="484">
        <f t="shared" si="9"/>
        <v>-6.8296693902093475E-3</v>
      </c>
    </row>
    <row r="150" spans="1:11" x14ac:dyDescent="0.35">
      <c r="A150" s="490">
        <v>45760</v>
      </c>
      <c r="B150" s="491">
        <f>VLOOKUP(A150,'[2]GP Data'!$A$3:$B$1639, 2, FALSE)</f>
        <v>320.10000000000002</v>
      </c>
      <c r="C150" s="483">
        <f t="shared" si="10"/>
        <v>-1.5595757953836831E-3</v>
      </c>
      <c r="E150" s="492">
        <v>45760</v>
      </c>
      <c r="F150" s="493">
        <f>VLOOKUP(E150,'[2]GP Data'!$D$3:$E$1530, 2, FALSE)</f>
        <v>5169.68</v>
      </c>
      <c r="G150" s="484">
        <f t="shared" si="11"/>
        <v>-6.8296693902093475E-3</v>
      </c>
      <c r="J150" s="483">
        <f t="shared" si="8"/>
        <v>-6.2344139650871711E-4</v>
      </c>
      <c r="K150" s="484">
        <f t="shared" si="9"/>
        <v>1.7667266481267152E-3</v>
      </c>
    </row>
    <row r="151" spans="1:11" x14ac:dyDescent="0.35">
      <c r="A151" s="490">
        <v>45757</v>
      </c>
      <c r="B151" s="491">
        <f>VLOOKUP(A151,'[2]GP Data'!$A$3:$B$1639, 2, FALSE)</f>
        <v>320.60000000000002</v>
      </c>
      <c r="C151" s="483">
        <f t="shared" si="10"/>
        <v>-6.2344139650871711E-4</v>
      </c>
      <c r="E151" s="492">
        <v>45757</v>
      </c>
      <c r="F151" s="493">
        <f>VLOOKUP(E151,'[2]GP Data'!$D$3:$E$1530, 2, FALSE)</f>
        <v>5205.2299999999996</v>
      </c>
      <c r="G151" s="484">
        <f t="shared" si="11"/>
        <v>1.7667266481267152E-3</v>
      </c>
      <c r="J151" s="483">
        <f t="shared" si="8"/>
        <v>9.3603744149772794E-4</v>
      </c>
      <c r="K151" s="484">
        <f t="shared" si="9"/>
        <v>1.970754922548501E-3</v>
      </c>
    </row>
    <row r="152" spans="1:11" x14ac:dyDescent="0.35">
      <c r="A152" s="490">
        <v>45756</v>
      </c>
      <c r="B152" s="491">
        <f>VLOOKUP(A152,'[2]GP Data'!$A$3:$B$1639, 2, FALSE)</f>
        <v>320.8</v>
      </c>
      <c r="C152" s="483">
        <f t="shared" si="10"/>
        <v>9.3603744149772794E-4</v>
      </c>
      <c r="E152" s="492">
        <v>45756</v>
      </c>
      <c r="F152" s="493">
        <f>VLOOKUP(E152,'[2]GP Data'!$D$3:$E$1530, 2, FALSE)</f>
        <v>5196.05</v>
      </c>
      <c r="G152" s="484">
        <f t="shared" si="11"/>
        <v>1.970754922548501E-3</v>
      </c>
      <c r="J152" s="483">
        <f t="shared" si="8"/>
        <v>-6.2015503875969546E-3</v>
      </c>
      <c r="K152" s="484">
        <f t="shared" si="9"/>
        <v>-2.0917120480304918E-3</v>
      </c>
    </row>
    <row r="153" spans="1:11" x14ac:dyDescent="0.35">
      <c r="A153" s="490">
        <v>45755</v>
      </c>
      <c r="B153" s="491">
        <f>VLOOKUP(A153,'[2]GP Data'!$A$3:$B$1639, 2, FALSE)</f>
        <v>320.5</v>
      </c>
      <c r="C153" s="483">
        <f t="shared" si="10"/>
        <v>-6.2015503875969546E-3</v>
      </c>
      <c r="E153" s="492">
        <v>45755</v>
      </c>
      <c r="F153" s="493">
        <f>VLOOKUP(E153,'[2]GP Data'!$D$3:$E$1530, 2, FALSE)</f>
        <v>5185.83</v>
      </c>
      <c r="G153" s="484">
        <f t="shared" si="11"/>
        <v>-2.0917120480304918E-3</v>
      </c>
      <c r="J153" s="483">
        <f t="shared" si="8"/>
        <v>5.2992518703240954E-3</v>
      </c>
      <c r="K153" s="484">
        <f t="shared" si="9"/>
        <v>-1.6310643799745117E-3</v>
      </c>
    </row>
    <row r="154" spans="1:11" x14ac:dyDescent="0.35">
      <c r="A154" s="490">
        <v>45754</v>
      </c>
      <c r="B154" s="491">
        <f>VLOOKUP(A154,'[2]GP Data'!$A$3:$B$1639, 2, FALSE)</f>
        <v>322.5</v>
      </c>
      <c r="C154" s="483">
        <f t="shared" si="10"/>
        <v>5.2992518703240954E-3</v>
      </c>
      <c r="E154" s="492">
        <v>45754</v>
      </c>
      <c r="F154" s="493">
        <f>VLOOKUP(E154,'[2]GP Data'!$D$3:$E$1530, 2, FALSE)</f>
        <v>5196.7</v>
      </c>
      <c r="G154" s="484">
        <f t="shared" si="11"/>
        <v>-1.6310643799745117E-3</v>
      </c>
      <c r="J154" s="483">
        <f t="shared" si="8"/>
        <v>-3.4172103137619647E-3</v>
      </c>
      <c r="K154" s="484">
        <f t="shared" si="9"/>
        <v>-2.6766759401896101E-3</v>
      </c>
    </row>
    <row r="155" spans="1:11" x14ac:dyDescent="0.35">
      <c r="A155" s="490">
        <v>45753</v>
      </c>
      <c r="B155" s="491">
        <f>VLOOKUP(A155,'[2]GP Data'!$A$3:$B$1639, 2, FALSE)</f>
        <v>320.8</v>
      </c>
      <c r="C155" s="483">
        <f t="shared" si="10"/>
        <v>-3.4172103137619647E-3</v>
      </c>
      <c r="E155" s="492">
        <v>45753</v>
      </c>
      <c r="F155" s="493">
        <f>VLOOKUP(E155,'[2]GP Data'!$D$3:$E$1530, 2, FALSE)</f>
        <v>5205.1899999999996</v>
      </c>
      <c r="G155" s="484">
        <f t="shared" si="11"/>
        <v>-2.6766759401896101E-3</v>
      </c>
      <c r="J155" s="483">
        <f t="shared" si="8"/>
        <v>7.5117370892017199E-3</v>
      </c>
      <c r="K155" s="484">
        <f t="shared" si="9"/>
        <v>9.4932885326826089E-4</v>
      </c>
    </row>
    <row r="156" spans="1:11" x14ac:dyDescent="0.35">
      <c r="A156" s="490">
        <v>45743</v>
      </c>
      <c r="B156" s="491">
        <f>VLOOKUP(A156,'[2]GP Data'!$A$3:$B$1639, 2, FALSE)</f>
        <v>321.89999999999998</v>
      </c>
      <c r="C156" s="483">
        <f t="shared" si="10"/>
        <v>7.5117370892017199E-3</v>
      </c>
      <c r="E156" s="492">
        <v>45743</v>
      </c>
      <c r="F156" s="493">
        <f>VLOOKUP(E156,'[2]GP Data'!$D$3:$E$1530, 2, FALSE)</f>
        <v>5219.16</v>
      </c>
      <c r="G156" s="484">
        <f t="shared" si="11"/>
        <v>9.4932885326826089E-4</v>
      </c>
      <c r="J156" s="483">
        <f t="shared" si="8"/>
        <v>3.4547738693468943E-3</v>
      </c>
      <c r="K156" s="484">
        <f t="shared" si="9"/>
        <v>3.3327624790979726E-3</v>
      </c>
    </row>
    <row r="157" spans="1:11" x14ac:dyDescent="0.35">
      <c r="A157" s="490">
        <v>45741</v>
      </c>
      <c r="B157" s="491">
        <f>VLOOKUP(A157,'[2]GP Data'!$A$3:$B$1639, 2, FALSE)</f>
        <v>319.5</v>
      </c>
      <c r="C157" s="483">
        <f t="shared" si="10"/>
        <v>3.4547738693468943E-3</v>
      </c>
      <c r="E157" s="492">
        <v>45741</v>
      </c>
      <c r="F157" s="493">
        <f>VLOOKUP(E157,'[2]GP Data'!$D$3:$E$1530, 2, FALSE)</f>
        <v>5214.21</v>
      </c>
      <c r="G157" s="484">
        <f t="shared" si="11"/>
        <v>3.3327624790979726E-3</v>
      </c>
      <c r="J157" s="483">
        <f t="shared" si="8"/>
        <v>-4.6889653016567445E-3</v>
      </c>
      <c r="K157" s="484">
        <f t="shared" si="9"/>
        <v>2.6102759599950787E-3</v>
      </c>
    </row>
    <row r="158" spans="1:11" x14ac:dyDescent="0.35">
      <c r="A158" s="490">
        <v>45740</v>
      </c>
      <c r="B158" s="491">
        <f>VLOOKUP(A158,'[2]GP Data'!$A$3:$B$1639, 2, FALSE)</f>
        <v>318.39999999999998</v>
      </c>
      <c r="C158" s="483">
        <f t="shared" si="10"/>
        <v>-4.6889653016567445E-3</v>
      </c>
      <c r="E158" s="492">
        <v>45740</v>
      </c>
      <c r="F158" s="493">
        <f>VLOOKUP(E158,'[2]GP Data'!$D$3:$E$1530, 2, FALSE)</f>
        <v>5196.8900000000003</v>
      </c>
      <c r="G158" s="484">
        <f t="shared" si="11"/>
        <v>2.6102759599950787E-3</v>
      </c>
      <c r="J158" s="483">
        <f t="shared" si="8"/>
        <v>9.3867334167696548E-4</v>
      </c>
      <c r="K158" s="484">
        <f t="shared" si="9"/>
        <v>-3.5257704212084962E-3</v>
      </c>
    </row>
    <row r="159" spans="1:11" x14ac:dyDescent="0.35">
      <c r="A159" s="490">
        <v>45739</v>
      </c>
      <c r="B159" s="491">
        <f>VLOOKUP(A159,'[2]GP Data'!$A$3:$B$1639, 2, FALSE)</f>
        <v>319.89999999999998</v>
      </c>
      <c r="C159" s="483">
        <f t="shared" si="10"/>
        <v>9.3867334167696548E-4</v>
      </c>
      <c r="E159" s="492">
        <v>45739</v>
      </c>
      <c r="F159" s="493">
        <f>VLOOKUP(E159,'[2]GP Data'!$D$3:$E$1530, 2, FALSE)</f>
        <v>5183.3599999999997</v>
      </c>
      <c r="G159" s="484">
        <f t="shared" si="11"/>
        <v>-3.5257704212084962E-3</v>
      </c>
      <c r="J159" s="483">
        <f t="shared" si="8"/>
        <v>-3.1279324366584316E-4</v>
      </c>
      <c r="K159" s="484">
        <f t="shared" si="9"/>
        <v>-1.0869231241934507E-3</v>
      </c>
    </row>
    <row r="160" spans="1:11" x14ac:dyDescent="0.35">
      <c r="A160" s="490">
        <v>45736</v>
      </c>
      <c r="B160" s="491">
        <f>VLOOKUP(A160,'[2]GP Data'!$A$3:$B$1639, 2, FALSE)</f>
        <v>319.60000000000002</v>
      </c>
      <c r="C160" s="483">
        <f t="shared" si="10"/>
        <v>-3.1279324366584316E-4</v>
      </c>
      <c r="E160" s="492">
        <v>45736</v>
      </c>
      <c r="F160" s="493">
        <f>VLOOKUP(E160,'[2]GP Data'!$D$3:$E$1530, 2, FALSE)</f>
        <v>5201.7</v>
      </c>
      <c r="G160" s="484">
        <f t="shared" si="11"/>
        <v>-1.0869231241934507E-3</v>
      </c>
      <c r="J160" s="483">
        <f t="shared" si="8"/>
        <v>-4.6699875466998941E-3</v>
      </c>
      <c r="K160" s="484">
        <f t="shared" si="9"/>
        <v>-5.6234873682659003E-4</v>
      </c>
    </row>
    <row r="161" spans="1:11" x14ac:dyDescent="0.35">
      <c r="A161" s="490">
        <v>45735</v>
      </c>
      <c r="B161" s="491">
        <f>VLOOKUP(A161,'[2]GP Data'!$A$3:$B$1639, 2, FALSE)</f>
        <v>319.7</v>
      </c>
      <c r="C161" s="483">
        <f t="shared" si="10"/>
        <v>-4.6699875466998941E-3</v>
      </c>
      <c r="E161" s="492">
        <v>45735</v>
      </c>
      <c r="F161" s="493">
        <f>VLOOKUP(E161,'[2]GP Data'!$D$3:$E$1530, 2, FALSE)</f>
        <v>5207.3599999999997</v>
      </c>
      <c r="G161" s="484">
        <f t="shared" si="11"/>
        <v>-5.6234873682659003E-4</v>
      </c>
      <c r="J161" s="483">
        <f t="shared" si="8"/>
        <v>-4.3397396156231727E-3</v>
      </c>
      <c r="K161" s="484">
        <f t="shared" si="9"/>
        <v>9.3171758775434377E-4</v>
      </c>
    </row>
    <row r="162" spans="1:11" x14ac:dyDescent="0.35">
      <c r="A162" s="490">
        <v>45734</v>
      </c>
      <c r="B162" s="491">
        <f>VLOOKUP(A162,'[2]GP Data'!$A$3:$B$1639, 2, FALSE)</f>
        <v>321.2</v>
      </c>
      <c r="C162" s="483">
        <f t="shared" si="10"/>
        <v>-4.3397396156231727E-3</v>
      </c>
      <c r="E162" s="492">
        <v>45734</v>
      </c>
      <c r="F162" s="493">
        <f>VLOOKUP(E162,'[2]GP Data'!$D$3:$E$1530, 2, FALSE)</f>
        <v>5210.29</v>
      </c>
      <c r="G162" s="484">
        <f t="shared" si="11"/>
        <v>9.3171758775434377E-4</v>
      </c>
      <c r="J162" s="483">
        <f t="shared" si="8"/>
        <v>-6.7733990147782475E-3</v>
      </c>
      <c r="K162" s="484">
        <f t="shared" si="9"/>
        <v>-3.1616541713345159E-3</v>
      </c>
    </row>
    <row r="163" spans="1:11" x14ac:dyDescent="0.35">
      <c r="A163" s="490">
        <v>45733</v>
      </c>
      <c r="B163" s="491">
        <f>VLOOKUP(A163,'[2]GP Data'!$A$3:$B$1639, 2, FALSE)</f>
        <v>322.60000000000002</v>
      </c>
      <c r="C163" s="483">
        <f t="shared" si="10"/>
        <v>-6.7733990147782475E-3</v>
      </c>
      <c r="E163" s="492">
        <v>45733</v>
      </c>
      <c r="F163" s="493">
        <f>VLOOKUP(E163,'[2]GP Data'!$D$3:$E$1530, 2, FALSE)</f>
        <v>5205.4399999999996</v>
      </c>
      <c r="G163" s="484">
        <f t="shared" si="11"/>
        <v>-3.1616541713345159E-3</v>
      </c>
      <c r="J163" s="483">
        <f t="shared" si="8"/>
        <v>-1.8438844499076845E-3</v>
      </c>
      <c r="K163" s="484">
        <f t="shared" si="9"/>
        <v>-7.0039670009813815E-4</v>
      </c>
    </row>
    <row r="164" spans="1:11" x14ac:dyDescent="0.35">
      <c r="A164" s="490">
        <v>45732</v>
      </c>
      <c r="B164" s="491">
        <f>VLOOKUP(A164,'[2]GP Data'!$A$3:$B$1639, 2, FALSE)</f>
        <v>324.8</v>
      </c>
      <c r="C164" s="483">
        <f t="shared" si="10"/>
        <v>-1.8438844499076845E-3</v>
      </c>
      <c r="E164" s="492">
        <v>45732</v>
      </c>
      <c r="F164" s="493">
        <f>VLOOKUP(E164,'[2]GP Data'!$D$3:$E$1530, 2, FALSE)</f>
        <v>5221.95</v>
      </c>
      <c r="G164" s="484">
        <f t="shared" si="11"/>
        <v>-7.0039670009813815E-4</v>
      </c>
      <c r="J164" s="483">
        <f t="shared" si="8"/>
        <v>-3.0721966205848883E-4</v>
      </c>
      <c r="K164" s="484">
        <f t="shared" si="9"/>
        <v>1.8289631849266463E-3</v>
      </c>
    </row>
    <row r="165" spans="1:11" x14ac:dyDescent="0.35">
      <c r="A165" s="490">
        <v>45729</v>
      </c>
      <c r="B165" s="491">
        <f>VLOOKUP(A165,'[2]GP Data'!$A$3:$B$1639, 2, FALSE)</f>
        <v>325.39999999999998</v>
      </c>
      <c r="C165" s="483">
        <f t="shared" si="10"/>
        <v>-3.0721966205848883E-4</v>
      </c>
      <c r="E165" s="492">
        <v>45729</v>
      </c>
      <c r="F165" s="493">
        <f>VLOOKUP(E165,'[2]GP Data'!$D$3:$E$1530, 2, FALSE)</f>
        <v>5225.6099999999997</v>
      </c>
      <c r="G165" s="484">
        <f t="shared" si="11"/>
        <v>1.8289631849266463E-3</v>
      </c>
      <c r="J165" s="483">
        <f t="shared" si="8"/>
        <v>1.8467220683286989E-3</v>
      </c>
      <c r="K165" s="484">
        <f t="shared" si="9"/>
        <v>3.2254341930644248E-3</v>
      </c>
    </row>
    <row r="166" spans="1:11" x14ac:dyDescent="0.35">
      <c r="A166" s="490">
        <v>45728</v>
      </c>
      <c r="B166" s="491">
        <f>VLOOKUP(A166,'[2]GP Data'!$A$3:$B$1639, 2, FALSE)</f>
        <v>325.5</v>
      </c>
      <c r="C166" s="483">
        <f t="shared" si="10"/>
        <v>1.8467220683286989E-3</v>
      </c>
      <c r="E166" s="492">
        <v>45728</v>
      </c>
      <c r="F166" s="493">
        <f>VLOOKUP(E166,'[2]GP Data'!$D$3:$E$1530, 2, FALSE)</f>
        <v>5216.07</v>
      </c>
      <c r="G166" s="484">
        <f t="shared" si="11"/>
        <v>3.2254341930644248E-3</v>
      </c>
      <c r="J166" s="483">
        <f t="shared" si="8"/>
        <v>-5.8139534883722144E-3</v>
      </c>
      <c r="K166" s="484">
        <f t="shared" si="9"/>
        <v>1.608568759090323E-3</v>
      </c>
    </row>
    <row r="167" spans="1:11" x14ac:dyDescent="0.35">
      <c r="A167" s="490">
        <v>45727</v>
      </c>
      <c r="B167" s="491">
        <f>VLOOKUP(A167,'[2]GP Data'!$A$3:$B$1639, 2, FALSE)</f>
        <v>324.89999999999998</v>
      </c>
      <c r="C167" s="483">
        <f t="shared" si="10"/>
        <v>-5.8139534883722144E-3</v>
      </c>
      <c r="E167" s="492">
        <v>45727</v>
      </c>
      <c r="F167" s="493">
        <f>VLOOKUP(E167,'[2]GP Data'!$D$3:$E$1530, 2, FALSE)</f>
        <v>5199.3</v>
      </c>
      <c r="G167" s="484">
        <f t="shared" si="11"/>
        <v>1.608568759090323E-3</v>
      </c>
      <c r="J167" s="483">
        <f t="shared" si="8"/>
        <v>8.9533806730472953E-3</v>
      </c>
      <c r="K167" s="484">
        <f t="shared" si="9"/>
        <v>3.1906834362753766E-3</v>
      </c>
    </row>
    <row r="168" spans="1:11" x14ac:dyDescent="0.35">
      <c r="A168" s="490">
        <v>45726</v>
      </c>
      <c r="B168" s="491">
        <f>VLOOKUP(A168,'[2]GP Data'!$A$3:$B$1639, 2, FALSE)</f>
        <v>326.8</v>
      </c>
      <c r="C168" s="483">
        <f t="shared" si="10"/>
        <v>8.9533806730472953E-3</v>
      </c>
      <c r="E168" s="492">
        <v>45726</v>
      </c>
      <c r="F168" s="493">
        <f>VLOOKUP(E168,'[2]GP Data'!$D$3:$E$1530, 2, FALSE)</f>
        <v>5190.95</v>
      </c>
      <c r="G168" s="484">
        <f t="shared" si="11"/>
        <v>3.1906834362753766E-3</v>
      </c>
      <c r="J168" s="483">
        <f t="shared" si="8"/>
        <v>-2.7709359605911921E-3</v>
      </c>
      <c r="K168" s="484">
        <f t="shared" si="9"/>
        <v>-5.6726031714310343E-3</v>
      </c>
    </row>
    <row r="169" spans="1:11" x14ac:dyDescent="0.35">
      <c r="A169" s="490">
        <v>45725</v>
      </c>
      <c r="B169" s="491">
        <f>VLOOKUP(A169,'[2]GP Data'!$A$3:$B$1639, 2, FALSE)</f>
        <v>323.89999999999998</v>
      </c>
      <c r="C169" s="483">
        <f t="shared" si="10"/>
        <v>-2.7709359605911921E-3</v>
      </c>
      <c r="E169" s="492">
        <v>45725</v>
      </c>
      <c r="F169" s="493">
        <f>VLOOKUP(E169,'[2]GP Data'!$D$3:$E$1530, 2, FALSE)</f>
        <v>5174.4399999999996</v>
      </c>
      <c r="G169" s="484">
        <f t="shared" si="11"/>
        <v>-5.6726031714310343E-3</v>
      </c>
      <c r="J169" s="483">
        <f t="shared" si="8"/>
        <v>-1.5370427297879408E-3</v>
      </c>
      <c r="K169" s="484">
        <f t="shared" si="9"/>
        <v>1.4047484345713901E-3</v>
      </c>
    </row>
    <row r="170" spans="1:11" x14ac:dyDescent="0.35">
      <c r="A170" s="490">
        <v>45722</v>
      </c>
      <c r="B170" s="491">
        <f>VLOOKUP(A170,'[2]GP Data'!$A$3:$B$1639, 2, FALSE)</f>
        <v>324.8</v>
      </c>
      <c r="C170" s="483">
        <f t="shared" si="10"/>
        <v>-1.5370427297879408E-3</v>
      </c>
      <c r="E170" s="492">
        <v>45722</v>
      </c>
      <c r="F170" s="493">
        <f>VLOOKUP(E170,'[2]GP Data'!$D$3:$E$1530, 2, FALSE)</f>
        <v>5203.96</v>
      </c>
      <c r="G170" s="484">
        <f t="shared" si="11"/>
        <v>1.4047484345713901E-3</v>
      </c>
      <c r="J170" s="483">
        <f t="shared" si="8"/>
        <v>-3.0731407498452157E-4</v>
      </c>
      <c r="K170" s="484">
        <f t="shared" si="9"/>
        <v>4.9094070013921964E-4</v>
      </c>
    </row>
    <row r="171" spans="1:11" x14ac:dyDescent="0.35">
      <c r="A171" s="490">
        <v>45721</v>
      </c>
      <c r="B171" s="491">
        <f>VLOOKUP(A171,'[2]GP Data'!$A$3:$B$1639, 2, FALSE)</f>
        <v>325.3</v>
      </c>
      <c r="C171" s="483">
        <f t="shared" si="10"/>
        <v>-3.0731407498452157E-4</v>
      </c>
      <c r="E171" s="492">
        <v>45721</v>
      </c>
      <c r="F171" s="493">
        <f>VLOOKUP(E171,'[2]GP Data'!$D$3:$E$1530, 2, FALSE)</f>
        <v>5196.66</v>
      </c>
      <c r="G171" s="484">
        <f t="shared" si="11"/>
        <v>4.9094070013921964E-4</v>
      </c>
      <c r="J171" s="483">
        <f t="shared" si="8"/>
        <v>-4.5885591924136326E-3</v>
      </c>
      <c r="K171" s="484">
        <f t="shared" si="9"/>
        <v>-5.0874696159689536E-3</v>
      </c>
    </row>
    <row r="172" spans="1:11" x14ac:dyDescent="0.35">
      <c r="A172" s="490">
        <v>45720</v>
      </c>
      <c r="B172" s="491">
        <f>VLOOKUP(A172,'[2]GP Data'!$A$3:$B$1639, 2, FALSE)</f>
        <v>325.39999999999998</v>
      </c>
      <c r="C172" s="483">
        <f t="shared" si="10"/>
        <v>-4.5885591924136326E-3</v>
      </c>
      <c r="E172" s="492">
        <v>45720</v>
      </c>
      <c r="F172" s="493">
        <f>VLOOKUP(E172,'[2]GP Data'!$D$3:$E$1530, 2, FALSE)</f>
        <v>5194.1099999999997</v>
      </c>
      <c r="G172" s="484">
        <f t="shared" si="11"/>
        <v>-5.0874696159689536E-3</v>
      </c>
      <c r="J172" s="483">
        <f t="shared" si="8"/>
        <v>6.1557402277623297E-3</v>
      </c>
      <c r="K172" s="484">
        <f t="shared" si="9"/>
        <v>-3.0896435834519842E-3</v>
      </c>
    </row>
    <row r="173" spans="1:11" x14ac:dyDescent="0.35">
      <c r="A173" s="490">
        <v>45719</v>
      </c>
      <c r="B173" s="491">
        <f>VLOOKUP(A173,'[2]GP Data'!$A$3:$B$1639, 2, FALSE)</f>
        <v>326.89999999999998</v>
      </c>
      <c r="C173" s="483">
        <f t="shared" si="10"/>
        <v>6.1557402277623297E-3</v>
      </c>
      <c r="E173" s="492">
        <v>45719</v>
      </c>
      <c r="F173" s="493">
        <f>VLOOKUP(E173,'[2]GP Data'!$D$3:$E$1530, 2, FALSE)</f>
        <v>5220.67</v>
      </c>
      <c r="G173" s="484">
        <f t="shared" si="11"/>
        <v>-3.0896435834519842E-3</v>
      </c>
      <c r="J173" s="483">
        <f t="shared" si="8"/>
        <v>-1.0054844606947055E-2</v>
      </c>
      <c r="K173" s="484">
        <f t="shared" si="9"/>
        <v>-1.9915003906770812E-3</v>
      </c>
    </row>
    <row r="174" spans="1:11" x14ac:dyDescent="0.35">
      <c r="A174" s="490">
        <v>45718</v>
      </c>
      <c r="B174" s="491">
        <f>VLOOKUP(A174,'[2]GP Data'!$A$3:$B$1639, 2, FALSE)</f>
        <v>324.89999999999998</v>
      </c>
      <c r="C174" s="483">
        <f t="shared" si="10"/>
        <v>-1.0054844606947055E-2</v>
      </c>
      <c r="E174" s="492">
        <v>45718</v>
      </c>
      <c r="F174" s="493">
        <f>VLOOKUP(E174,'[2]GP Data'!$D$3:$E$1530, 2, FALSE)</f>
        <v>5236.8500000000004</v>
      </c>
      <c r="G174" s="484">
        <f t="shared" si="11"/>
        <v>-1.9915003906770812E-3</v>
      </c>
      <c r="J174" s="483">
        <f t="shared" si="8"/>
        <v>-4.6207497820401122E-2</v>
      </c>
      <c r="K174" s="484">
        <f t="shared" si="9"/>
        <v>-3.9085857905157839E-3</v>
      </c>
    </row>
    <row r="175" spans="1:11" x14ac:dyDescent="0.35">
      <c r="A175" s="490">
        <v>45715</v>
      </c>
      <c r="B175" s="491">
        <f>VLOOKUP(A175,'[2]GP Data'!$A$3:$B$1639, 2, FALSE)</f>
        <v>328.2</v>
      </c>
      <c r="C175" s="483">
        <f t="shared" si="10"/>
        <v>-4.6207497820401122E-2</v>
      </c>
      <c r="E175" s="492">
        <v>45715</v>
      </c>
      <c r="F175" s="493">
        <f>VLOOKUP(E175,'[2]GP Data'!$D$3:$E$1530, 2, FALSE)</f>
        <v>5247.3</v>
      </c>
      <c r="G175" s="484">
        <f t="shared" si="11"/>
        <v>-3.9085857905157839E-3</v>
      </c>
      <c r="J175" s="483">
        <f t="shared" si="8"/>
        <v>-2.3195129022903771E-3</v>
      </c>
      <c r="K175" s="484">
        <f t="shared" si="9"/>
        <v>6.2923237089180795E-3</v>
      </c>
    </row>
    <row r="176" spans="1:11" x14ac:dyDescent="0.35">
      <c r="A176" s="490">
        <v>45713</v>
      </c>
      <c r="B176" s="491">
        <f>VLOOKUP(A176,'[2]GP Data'!$A$3:$B$1639, 2, FALSE)</f>
        <v>344.1</v>
      </c>
      <c r="C176" s="483">
        <f t="shared" si="10"/>
        <v>-2.3195129022903771E-3</v>
      </c>
      <c r="E176" s="492">
        <v>45713</v>
      </c>
      <c r="F176" s="493">
        <f>VLOOKUP(E176,'[2]GP Data'!$D$3:$E$1530, 2, FALSE)</f>
        <v>5267.89</v>
      </c>
      <c r="G176" s="484">
        <f t="shared" si="11"/>
        <v>6.2923237089180795E-3</v>
      </c>
      <c r="J176" s="483">
        <f t="shared" si="8"/>
        <v>-4.3302540415703916E-3</v>
      </c>
      <c r="K176" s="484">
        <f t="shared" si="9"/>
        <v>2.0251245604732127E-3</v>
      </c>
    </row>
    <row r="177" spans="1:11" x14ac:dyDescent="0.35">
      <c r="A177" s="490">
        <v>45712</v>
      </c>
      <c r="B177" s="491">
        <f>VLOOKUP(A177,'[2]GP Data'!$A$3:$B$1639, 2, FALSE)</f>
        <v>344.9</v>
      </c>
      <c r="C177" s="483">
        <f t="shared" si="10"/>
        <v>-4.3302540415703916E-3</v>
      </c>
      <c r="E177" s="492">
        <v>45712</v>
      </c>
      <c r="F177" s="493">
        <f>VLOOKUP(E177,'[2]GP Data'!$D$3:$E$1530, 2, FALSE)</f>
        <v>5234.95</v>
      </c>
      <c r="G177" s="484">
        <f t="shared" si="11"/>
        <v>2.0251245604732127E-3</v>
      </c>
      <c r="J177" s="483">
        <f t="shared" si="8"/>
        <v>2.0248770610356015E-3</v>
      </c>
      <c r="K177" s="484">
        <f t="shared" si="9"/>
        <v>4.6150562363831416E-3</v>
      </c>
    </row>
    <row r="178" spans="1:11" x14ac:dyDescent="0.35">
      <c r="A178" s="490">
        <v>45711</v>
      </c>
      <c r="B178" s="491">
        <f>VLOOKUP(A178,'[2]GP Data'!$A$3:$B$1639, 2, FALSE)</f>
        <v>346.4</v>
      </c>
      <c r="C178" s="483">
        <f t="shared" si="10"/>
        <v>2.0248770610356015E-3</v>
      </c>
      <c r="E178" s="492">
        <v>45711</v>
      </c>
      <c r="F178" s="493">
        <f>VLOOKUP(E178,'[2]GP Data'!$D$3:$E$1530, 2, FALSE)</f>
        <v>5224.37</v>
      </c>
      <c r="G178" s="484">
        <f t="shared" si="11"/>
        <v>4.6150562363831416E-3</v>
      </c>
      <c r="J178" s="483">
        <f t="shared" si="8"/>
        <v>5.8190282222869705E-3</v>
      </c>
      <c r="K178" s="484">
        <f t="shared" si="9"/>
        <v>1.5272203434224529E-3</v>
      </c>
    </row>
    <row r="179" spans="1:11" x14ac:dyDescent="0.35">
      <c r="A179" s="490">
        <v>45708</v>
      </c>
      <c r="B179" s="491">
        <f>VLOOKUP(A179,'[2]GP Data'!$A$3:$B$1639, 2, FALSE)</f>
        <v>345.7</v>
      </c>
      <c r="C179" s="483">
        <f t="shared" si="10"/>
        <v>5.8190282222869705E-3</v>
      </c>
      <c r="E179" s="492">
        <v>45708</v>
      </c>
      <c r="F179" s="493">
        <f>VLOOKUP(E179,'[2]GP Data'!$D$3:$E$1530, 2, FALSE)</f>
        <v>5200.37</v>
      </c>
      <c r="G179" s="484">
        <f t="shared" si="11"/>
        <v>1.5272203434224529E-3</v>
      </c>
      <c r="J179" s="483">
        <f t="shared" si="8"/>
        <v>-2.9086678301348812E-4</v>
      </c>
      <c r="K179" s="484">
        <f t="shared" si="9"/>
        <v>-2.0679581795818303E-3</v>
      </c>
    </row>
    <row r="180" spans="1:11" x14ac:dyDescent="0.35">
      <c r="A180" s="490">
        <v>45707</v>
      </c>
      <c r="B180" s="491">
        <f>VLOOKUP(A180,'[2]GP Data'!$A$3:$B$1639, 2, FALSE)</f>
        <v>343.7</v>
      </c>
      <c r="C180" s="483">
        <f t="shared" si="10"/>
        <v>-2.9086678301348812E-4</v>
      </c>
      <c r="E180" s="492">
        <v>45707</v>
      </c>
      <c r="F180" s="493">
        <f>VLOOKUP(E180,'[2]GP Data'!$D$3:$E$1530, 2, FALSE)</f>
        <v>5192.4399999999996</v>
      </c>
      <c r="G180" s="484">
        <f t="shared" si="11"/>
        <v>-2.0679581795818303E-3</v>
      </c>
      <c r="J180" s="483">
        <f t="shared" si="8"/>
        <v>-5.7836899942163011E-3</v>
      </c>
      <c r="K180" s="484">
        <f t="shared" si="9"/>
        <v>-1.5983789789179026E-3</v>
      </c>
    </row>
    <row r="181" spans="1:11" x14ac:dyDescent="0.35">
      <c r="A181" s="490">
        <v>45706</v>
      </c>
      <c r="B181" s="491">
        <f>VLOOKUP(A181,'[2]GP Data'!$A$3:$B$1639, 2, FALSE)</f>
        <v>343.8</v>
      </c>
      <c r="C181" s="483">
        <f t="shared" si="10"/>
        <v>-5.7836899942163011E-3</v>
      </c>
      <c r="E181" s="492">
        <v>45706</v>
      </c>
      <c r="F181" s="493">
        <f>VLOOKUP(E181,'[2]GP Data'!$D$3:$E$1530, 2, FALSE)</f>
        <v>5203.2</v>
      </c>
      <c r="G181" s="484">
        <f t="shared" si="11"/>
        <v>-1.5983789789179026E-3</v>
      </c>
      <c r="J181" s="483">
        <f t="shared" si="8"/>
        <v>1.5267175572519109E-2</v>
      </c>
      <c r="K181" s="484">
        <f t="shared" si="9"/>
        <v>2.4524984707949837E-3</v>
      </c>
    </row>
    <row r="182" spans="1:11" x14ac:dyDescent="0.35">
      <c r="A182" s="490">
        <v>45705</v>
      </c>
      <c r="B182" s="491">
        <f>VLOOKUP(A182,'[2]GP Data'!$A$3:$B$1639, 2, FALSE)</f>
        <v>345.8</v>
      </c>
      <c r="C182" s="483">
        <f t="shared" si="10"/>
        <v>1.5267175572519109E-2</v>
      </c>
      <c r="E182" s="492">
        <v>45705</v>
      </c>
      <c r="F182" s="493">
        <f>VLOOKUP(E182,'[2]GP Data'!$D$3:$E$1530, 2, FALSE)</f>
        <v>5211.53</v>
      </c>
      <c r="G182" s="484">
        <f t="shared" si="11"/>
        <v>2.4524984707949837E-3</v>
      </c>
      <c r="J182" s="483">
        <f t="shared" si="8"/>
        <v>5.9066745422327038E-3</v>
      </c>
      <c r="K182" s="484">
        <f t="shared" si="9"/>
        <v>-5.1908303021441782E-4</v>
      </c>
    </row>
    <row r="183" spans="1:11" x14ac:dyDescent="0.35">
      <c r="A183" s="490">
        <v>45704</v>
      </c>
      <c r="B183" s="491">
        <f>VLOOKUP(A183,'[2]GP Data'!$A$3:$B$1639, 2, FALSE)</f>
        <v>340.6</v>
      </c>
      <c r="C183" s="483">
        <f t="shared" si="10"/>
        <v>5.9066745422327038E-3</v>
      </c>
      <c r="E183" s="492">
        <v>45704</v>
      </c>
      <c r="F183" s="493">
        <f>VLOOKUP(E183,'[2]GP Data'!$D$3:$E$1530, 2, FALSE)</f>
        <v>5198.78</v>
      </c>
      <c r="G183" s="484">
        <f t="shared" si="11"/>
        <v>-5.1908303021441782E-4</v>
      </c>
      <c r="J183" s="483">
        <f t="shared" si="8"/>
        <v>5.046007717423695E-3</v>
      </c>
      <c r="K183" s="484">
        <f t="shared" si="9"/>
        <v>2.2853311032406953E-3</v>
      </c>
    </row>
    <row r="184" spans="1:11" x14ac:dyDescent="0.35">
      <c r="A184" s="490">
        <v>45701</v>
      </c>
      <c r="B184" s="491">
        <f>VLOOKUP(A184,'[2]GP Data'!$A$3:$B$1639, 2, FALSE)</f>
        <v>338.6</v>
      </c>
      <c r="C184" s="483">
        <f t="shared" si="10"/>
        <v>5.046007717423695E-3</v>
      </c>
      <c r="E184" s="492">
        <v>45701</v>
      </c>
      <c r="F184" s="493">
        <f>VLOOKUP(E184,'[2]GP Data'!$D$3:$E$1530, 2, FALSE)</f>
        <v>5201.4799999999996</v>
      </c>
      <c r="G184" s="484">
        <f t="shared" si="11"/>
        <v>2.2853311032406953E-3</v>
      </c>
      <c r="J184" s="483">
        <f t="shared" si="8"/>
        <v>-5.9329575793543032E-4</v>
      </c>
      <c r="K184" s="484">
        <f t="shared" si="9"/>
        <v>-4.6802322781946959E-4</v>
      </c>
    </row>
    <row r="185" spans="1:11" x14ac:dyDescent="0.35">
      <c r="A185" s="490">
        <v>45700</v>
      </c>
      <c r="B185" s="491">
        <f>VLOOKUP(A185,'[2]GP Data'!$A$3:$B$1639, 2, FALSE)</f>
        <v>336.9</v>
      </c>
      <c r="C185" s="483">
        <f t="shared" si="10"/>
        <v>-5.9329575793543032E-4</v>
      </c>
      <c r="E185" s="492">
        <v>45700</v>
      </c>
      <c r="F185" s="493">
        <f>VLOOKUP(E185,'[2]GP Data'!$D$3:$E$1530, 2, FALSE)</f>
        <v>5189.62</v>
      </c>
      <c r="G185" s="484">
        <f t="shared" si="11"/>
        <v>-4.6802322781946959E-4</v>
      </c>
      <c r="J185" s="483">
        <f t="shared" si="8"/>
        <v>-1.481042654028486E-3</v>
      </c>
      <c r="K185" s="484">
        <f t="shared" si="9"/>
        <v>3.4342942399716581E-3</v>
      </c>
    </row>
    <row r="186" spans="1:11" x14ac:dyDescent="0.35">
      <c r="A186" s="490">
        <v>45699</v>
      </c>
      <c r="B186" s="491">
        <f>VLOOKUP(A186,'[2]GP Data'!$A$3:$B$1639, 2, FALSE)</f>
        <v>337.1</v>
      </c>
      <c r="C186" s="483">
        <f t="shared" si="10"/>
        <v>-1.481042654028486E-3</v>
      </c>
      <c r="E186" s="492">
        <v>45699</v>
      </c>
      <c r="F186" s="493">
        <f>VLOOKUP(E186,'[2]GP Data'!$D$3:$E$1530, 2, FALSE)</f>
        <v>5192.05</v>
      </c>
      <c r="G186" s="484">
        <f t="shared" si="11"/>
        <v>3.4342942399716581E-3</v>
      </c>
      <c r="J186" s="483">
        <f t="shared" si="8"/>
        <v>2.9708853238266109E-3</v>
      </c>
      <c r="K186" s="484">
        <f t="shared" si="9"/>
        <v>1.6260540314525507E-3</v>
      </c>
    </row>
    <row r="187" spans="1:11" x14ac:dyDescent="0.35">
      <c r="A187" s="490">
        <v>45698</v>
      </c>
      <c r="B187" s="491">
        <f>VLOOKUP(A187,'[2]GP Data'!$A$3:$B$1639, 2, FALSE)</f>
        <v>337.6</v>
      </c>
      <c r="C187" s="483">
        <f t="shared" si="10"/>
        <v>2.9708853238266109E-3</v>
      </c>
      <c r="E187" s="492">
        <v>45698</v>
      </c>
      <c r="F187" s="493">
        <f>VLOOKUP(E187,'[2]GP Data'!$D$3:$E$1530, 2, FALSE)</f>
        <v>5174.28</v>
      </c>
      <c r="G187" s="484">
        <f t="shared" si="11"/>
        <v>1.6260540314525507E-3</v>
      </c>
      <c r="J187" s="483">
        <f t="shared" si="8"/>
        <v>-3.5523978685612079E-3</v>
      </c>
      <c r="K187" s="484">
        <f t="shared" si="9"/>
        <v>-2.5679740808390861E-3</v>
      </c>
    </row>
    <row r="188" spans="1:11" x14ac:dyDescent="0.35">
      <c r="A188" s="490">
        <v>45697</v>
      </c>
      <c r="B188" s="491">
        <f>VLOOKUP(A188,'[2]GP Data'!$A$3:$B$1639, 2, FALSE)</f>
        <v>336.6</v>
      </c>
      <c r="C188" s="483">
        <f t="shared" si="10"/>
        <v>-3.5523978685612079E-3</v>
      </c>
      <c r="E188" s="492">
        <v>45697</v>
      </c>
      <c r="F188" s="493">
        <f>VLOOKUP(E188,'[2]GP Data'!$D$3:$E$1530, 2, FALSE)</f>
        <v>5165.88</v>
      </c>
      <c r="G188" s="484">
        <f t="shared" si="11"/>
        <v>-2.5679740808390861E-3</v>
      </c>
      <c r="J188" s="483">
        <f t="shared" si="8"/>
        <v>-5.9171597633134176E-4</v>
      </c>
      <c r="K188" s="484">
        <f t="shared" si="9"/>
        <v>1.7640027388463597E-3</v>
      </c>
    </row>
    <row r="189" spans="1:11" x14ac:dyDescent="0.35">
      <c r="A189" s="490">
        <v>45694</v>
      </c>
      <c r="B189" s="491">
        <f>VLOOKUP(A189,'[2]GP Data'!$A$3:$B$1639, 2, FALSE)</f>
        <v>337.8</v>
      </c>
      <c r="C189" s="483">
        <f t="shared" si="10"/>
        <v>-5.9171597633134176E-4</v>
      </c>
      <c r="E189" s="492">
        <v>45694</v>
      </c>
      <c r="F189" s="493">
        <f>VLOOKUP(E189,'[2]GP Data'!$D$3:$E$1530, 2, FALSE)</f>
        <v>5179.18</v>
      </c>
      <c r="G189" s="484">
        <f t="shared" si="11"/>
        <v>1.7640027388463597E-3</v>
      </c>
      <c r="J189" s="483">
        <f t="shared" si="8"/>
        <v>-1.7720023626698334E-3</v>
      </c>
      <c r="K189" s="484">
        <f t="shared" si="9"/>
        <v>4.4139303018646547E-3</v>
      </c>
    </row>
    <row r="190" spans="1:11" x14ac:dyDescent="0.35">
      <c r="A190" s="490">
        <v>45693</v>
      </c>
      <c r="B190" s="491">
        <f>VLOOKUP(A190,'[2]GP Data'!$A$3:$B$1639, 2, FALSE)</f>
        <v>338</v>
      </c>
      <c r="C190" s="483">
        <f t="shared" si="10"/>
        <v>-1.7720023626698334E-3</v>
      </c>
      <c r="E190" s="492">
        <v>45693</v>
      </c>
      <c r="F190" s="493">
        <f>VLOOKUP(E190,'[2]GP Data'!$D$3:$E$1530, 2, FALSE)</f>
        <v>5170.0600000000004</v>
      </c>
      <c r="G190" s="484">
        <f t="shared" si="11"/>
        <v>4.4139303018646547E-3</v>
      </c>
      <c r="J190" s="483">
        <f t="shared" si="8"/>
        <v>4.7477744807122857E-3</v>
      </c>
      <c r="K190" s="484">
        <f t="shared" si="9"/>
        <v>2.9149759805968678E-4</v>
      </c>
    </row>
    <row r="191" spans="1:11" x14ac:dyDescent="0.35">
      <c r="A191" s="490">
        <v>45692</v>
      </c>
      <c r="B191" s="491">
        <f>VLOOKUP(A191,'[2]GP Data'!$A$3:$B$1639, 2, FALSE)</f>
        <v>338.6</v>
      </c>
      <c r="C191" s="483">
        <f t="shared" si="10"/>
        <v>4.7477744807122857E-3</v>
      </c>
      <c r="E191" s="492">
        <v>45692</v>
      </c>
      <c r="F191" s="493">
        <f>VLOOKUP(E191,'[2]GP Data'!$D$3:$E$1530, 2, FALSE)</f>
        <v>5147.34</v>
      </c>
      <c r="G191" s="484">
        <f t="shared" si="11"/>
        <v>2.9149759805968678E-4</v>
      </c>
      <c r="J191" s="483">
        <f t="shared" si="8"/>
        <v>5.9382422802856105E-4</v>
      </c>
      <c r="K191" s="484">
        <f t="shared" si="9"/>
        <v>3.8410893165436999E-3</v>
      </c>
    </row>
    <row r="192" spans="1:11" x14ac:dyDescent="0.35">
      <c r="A192" s="490">
        <v>45691</v>
      </c>
      <c r="B192" s="491">
        <f>VLOOKUP(A192,'[2]GP Data'!$A$3:$B$1639, 2, FALSE)</f>
        <v>337</v>
      </c>
      <c r="C192" s="483">
        <f t="shared" si="10"/>
        <v>5.9382422802856105E-4</v>
      </c>
      <c r="E192" s="492">
        <v>45691</v>
      </c>
      <c r="F192" s="493">
        <f>VLOOKUP(E192,'[2]GP Data'!$D$3:$E$1530, 2, FALSE)</f>
        <v>5145.84</v>
      </c>
      <c r="G192" s="484">
        <f t="shared" si="11"/>
        <v>3.8410893165436999E-3</v>
      </c>
      <c r="J192" s="483">
        <f t="shared" si="8"/>
        <v>4.174120453190433E-3</v>
      </c>
      <c r="K192" s="484">
        <f t="shared" si="9"/>
        <v>2.5914842848482333E-3</v>
      </c>
    </row>
    <row r="193" spans="1:11" x14ac:dyDescent="0.35">
      <c r="A193" s="490">
        <v>45690</v>
      </c>
      <c r="B193" s="491">
        <f>VLOOKUP(A193,'[2]GP Data'!$A$3:$B$1639, 2, FALSE)</f>
        <v>336.8</v>
      </c>
      <c r="C193" s="483">
        <f t="shared" si="10"/>
        <v>4.174120453190433E-3</v>
      </c>
      <c r="E193" s="492">
        <v>45690</v>
      </c>
      <c r="F193" s="493">
        <f>VLOOKUP(E193,'[2]GP Data'!$D$3:$E$1530, 2, FALSE)</f>
        <v>5126.1499999999996</v>
      </c>
      <c r="G193" s="484">
        <f t="shared" si="11"/>
        <v>2.5914842848482333E-3</v>
      </c>
      <c r="J193" s="483">
        <f t="shared" si="8"/>
        <v>6.9048333833681141E-3</v>
      </c>
      <c r="K193" s="484">
        <f t="shared" si="9"/>
        <v>7.6283469372162571E-5</v>
      </c>
    </row>
    <row r="194" spans="1:11" x14ac:dyDescent="0.35">
      <c r="A194" s="490">
        <v>45687</v>
      </c>
      <c r="B194" s="491">
        <f>VLOOKUP(A194,'[2]GP Data'!$A$3:$B$1639, 2, FALSE)</f>
        <v>335.4</v>
      </c>
      <c r="C194" s="483">
        <f t="shared" si="10"/>
        <v>6.9048333833681141E-3</v>
      </c>
      <c r="E194" s="492">
        <v>45687</v>
      </c>
      <c r="F194" s="493">
        <f>VLOOKUP(E194,'[2]GP Data'!$D$3:$E$1530, 2, FALSE)</f>
        <v>5112.8999999999996</v>
      </c>
      <c r="G194" s="484">
        <f t="shared" si="11"/>
        <v>7.6283469372162571E-5</v>
      </c>
      <c r="J194" s="483">
        <f t="shared" si="8"/>
        <v>4.2206813385590181E-3</v>
      </c>
      <c r="K194" s="484">
        <f t="shared" si="9"/>
        <v>-2.7133945326367481E-3</v>
      </c>
    </row>
    <row r="195" spans="1:11" x14ac:dyDescent="0.35">
      <c r="A195" s="490">
        <v>45686</v>
      </c>
      <c r="B195" s="491">
        <f>VLOOKUP(A195,'[2]GP Data'!$A$3:$B$1639, 2, FALSE)</f>
        <v>333.1</v>
      </c>
      <c r="C195" s="483">
        <f t="shared" si="10"/>
        <v>4.2206813385590181E-3</v>
      </c>
      <c r="E195" s="492">
        <v>45686</v>
      </c>
      <c r="F195" s="493">
        <f>VLOOKUP(E195,'[2]GP Data'!$D$3:$E$1530, 2, FALSE)</f>
        <v>5112.51</v>
      </c>
      <c r="G195" s="484">
        <f t="shared" si="11"/>
        <v>-2.7133945326367481E-3</v>
      </c>
      <c r="J195" s="483">
        <f t="shared" ref="J195:J258" si="12">(B196/B197)-1</f>
        <v>2.7206771463119672E-3</v>
      </c>
      <c r="K195" s="484">
        <f t="shared" ref="K195:K258" si="13">(F196/F197)-1</f>
        <v>-7.0954335816741931E-4</v>
      </c>
    </row>
    <row r="196" spans="1:11" x14ac:dyDescent="0.35">
      <c r="A196" s="490">
        <v>45685</v>
      </c>
      <c r="B196" s="491">
        <f>VLOOKUP(A196,'[2]GP Data'!$A$3:$B$1639, 2, FALSE)</f>
        <v>331.7</v>
      </c>
      <c r="C196" s="483">
        <f t="shared" ref="C196:C259" si="14">(B196/B197)-1</f>
        <v>2.7206771463119672E-3</v>
      </c>
      <c r="E196" s="492">
        <v>45685</v>
      </c>
      <c r="F196" s="493">
        <f>VLOOKUP(E196,'[2]GP Data'!$D$3:$E$1530, 2, FALSE)</f>
        <v>5126.42</v>
      </c>
      <c r="G196" s="484">
        <f t="shared" ref="G196:G259" si="15">(F196/F197)-1</f>
        <v>-7.0954335816741931E-4</v>
      </c>
      <c r="J196" s="483">
        <f t="shared" si="12"/>
        <v>-8.6904405154329956E-3</v>
      </c>
      <c r="K196" s="484">
        <f t="shared" si="13"/>
        <v>-7.0588963966142781E-3</v>
      </c>
    </row>
    <row r="197" spans="1:11" x14ac:dyDescent="0.35">
      <c r="A197" s="490">
        <v>45684</v>
      </c>
      <c r="B197" s="491">
        <f>VLOOKUP(A197,'[2]GP Data'!$A$3:$B$1639, 2, FALSE)</f>
        <v>330.8</v>
      </c>
      <c r="C197" s="483">
        <f t="shared" si="14"/>
        <v>-8.6904405154329956E-3</v>
      </c>
      <c r="E197" s="492">
        <v>45684</v>
      </c>
      <c r="F197" s="505">
        <v>5130.0600000000004</v>
      </c>
      <c r="G197" s="484">
        <f t="shared" si="15"/>
        <v>-7.0588963966142781E-3</v>
      </c>
      <c r="J197" s="483">
        <f t="shared" si="12"/>
        <v>-5.9577003276735097E-3</v>
      </c>
      <c r="K197" s="484">
        <f t="shared" si="13"/>
        <v>-2.0686697931716624E-3</v>
      </c>
    </row>
    <row r="198" spans="1:11" x14ac:dyDescent="0.35">
      <c r="A198" s="490">
        <v>45680</v>
      </c>
      <c r="B198" s="491">
        <f>VLOOKUP(A198,'[2]GP Data'!$A$3:$B$1639, 2, FALSE)</f>
        <v>333.7</v>
      </c>
      <c r="C198" s="483">
        <f t="shared" si="14"/>
        <v>-5.9577003276735097E-3</v>
      </c>
      <c r="E198" s="492">
        <v>45680</v>
      </c>
      <c r="F198" s="493">
        <f>VLOOKUP(E198,'[2]GP Data'!$D$3:$E$1530, 2, FALSE)</f>
        <v>5166.53</v>
      </c>
      <c r="G198" s="484">
        <f t="shared" si="15"/>
        <v>-2.0686697931716624E-3</v>
      </c>
      <c r="J198" s="483">
        <f t="shared" si="12"/>
        <v>-2.9779630732584828E-4</v>
      </c>
      <c r="K198" s="484">
        <f t="shared" si="13"/>
        <v>-4.8783113123772592E-3</v>
      </c>
    </row>
    <row r="199" spans="1:11" x14ac:dyDescent="0.35">
      <c r="A199" s="490">
        <v>45679</v>
      </c>
      <c r="B199" s="491">
        <f>VLOOKUP(A199,'[2]GP Data'!$A$3:$B$1639, 2, FALSE)</f>
        <v>335.7</v>
      </c>
      <c r="C199" s="483">
        <f t="shared" si="14"/>
        <v>-2.9779630732584828E-4</v>
      </c>
      <c r="E199" s="492">
        <v>45679</v>
      </c>
      <c r="F199" s="493">
        <f>VLOOKUP(E199,'[2]GP Data'!$D$3:$E$1530, 2, FALSE)</f>
        <v>5177.24</v>
      </c>
      <c r="G199" s="484">
        <f t="shared" si="15"/>
        <v>-4.8783113123772592E-3</v>
      </c>
      <c r="J199" s="483">
        <f t="shared" si="12"/>
        <v>8.1056739717801918E-3</v>
      </c>
      <c r="K199" s="484">
        <f t="shared" si="13"/>
        <v>1.3068171976373666E-3</v>
      </c>
    </row>
    <row r="200" spans="1:11" x14ac:dyDescent="0.35">
      <c r="A200" s="490">
        <v>45678</v>
      </c>
      <c r="B200" s="491">
        <f>VLOOKUP(A200,'[2]GP Data'!$A$3:$B$1639, 2, FALSE)</f>
        <v>335.8</v>
      </c>
      <c r="C200" s="483">
        <f t="shared" si="14"/>
        <v>8.1056739717801918E-3</v>
      </c>
      <c r="E200" s="492">
        <v>45678</v>
      </c>
      <c r="F200" s="493">
        <f>VLOOKUP(E200,'[2]GP Data'!$D$3:$E$1530, 2, FALSE)</f>
        <v>5202.62</v>
      </c>
      <c r="G200" s="484">
        <f t="shared" si="15"/>
        <v>1.3068171976373666E-3</v>
      </c>
      <c r="J200" s="483">
        <f t="shared" si="12"/>
        <v>6.0404711567503266E-3</v>
      </c>
      <c r="K200" s="484">
        <f t="shared" si="13"/>
        <v>1.2059011437653755E-2</v>
      </c>
    </row>
    <row r="201" spans="1:11" x14ac:dyDescent="0.35">
      <c r="A201" s="490">
        <v>45677</v>
      </c>
      <c r="B201" s="491">
        <f>VLOOKUP(A201,'[2]GP Data'!$A$3:$B$1639, 2, FALSE)</f>
        <v>333.1</v>
      </c>
      <c r="C201" s="483">
        <f t="shared" si="14"/>
        <v>6.0404711567503266E-3</v>
      </c>
      <c r="E201" s="492">
        <v>45677</v>
      </c>
      <c r="F201" s="493">
        <f>VLOOKUP(E201,'[2]GP Data'!$D$3:$E$1530, 2, FALSE)</f>
        <v>5195.83</v>
      </c>
      <c r="G201" s="484">
        <f t="shared" si="15"/>
        <v>1.2059011437653755E-2</v>
      </c>
      <c r="J201" s="483">
        <f t="shared" si="12"/>
        <v>5.1608986035216464E-3</v>
      </c>
      <c r="K201" s="484">
        <f t="shared" si="13"/>
        <v>-1.6723318528659714E-3</v>
      </c>
    </row>
    <row r="202" spans="1:11" x14ac:dyDescent="0.35">
      <c r="A202" s="490">
        <v>45673</v>
      </c>
      <c r="B202" s="491">
        <f>VLOOKUP(A202,'[2]GP Data'!$A$3:$B$1639, 2, FALSE)</f>
        <v>331.1</v>
      </c>
      <c r="C202" s="483">
        <f t="shared" si="14"/>
        <v>5.1608986035216464E-3</v>
      </c>
      <c r="E202" s="492">
        <v>45673</v>
      </c>
      <c r="F202" s="493">
        <f>VLOOKUP(E202,'[2]GP Data'!$D$3:$E$1530, 2, FALSE)</f>
        <v>5133.92</v>
      </c>
      <c r="G202" s="484">
        <f t="shared" si="15"/>
        <v>-1.6723318528659714E-3</v>
      </c>
      <c r="J202" s="483">
        <f t="shared" si="12"/>
        <v>-1.0513667768098478E-2</v>
      </c>
      <c r="K202" s="484">
        <f t="shared" si="13"/>
        <v>-1.6210853700441286E-3</v>
      </c>
    </row>
    <row r="203" spans="1:11" x14ac:dyDescent="0.35">
      <c r="A203" s="490">
        <v>45672</v>
      </c>
      <c r="B203" s="491">
        <f>VLOOKUP(A203,'[2]GP Data'!$A$3:$B$1639, 2, FALSE)</f>
        <v>329.4</v>
      </c>
      <c r="C203" s="483">
        <f t="shared" si="14"/>
        <v>-1.0513667768098478E-2</v>
      </c>
      <c r="E203" s="492">
        <v>45672</v>
      </c>
      <c r="F203" s="493">
        <f>VLOOKUP(E203,'[2]GP Data'!$D$3:$E$1530, 2, FALSE)</f>
        <v>5142.5200000000004</v>
      </c>
      <c r="G203" s="484">
        <f t="shared" si="15"/>
        <v>-1.6210853700441286E-3</v>
      </c>
      <c r="J203" s="483">
        <f t="shared" si="12"/>
        <v>-1.8283692126216611E-2</v>
      </c>
      <c r="K203" s="484">
        <f t="shared" si="13"/>
        <v>-1.9604493893499164E-4</v>
      </c>
    </row>
    <row r="204" spans="1:11" x14ac:dyDescent="0.35">
      <c r="A204" s="490">
        <v>45671</v>
      </c>
      <c r="B204" s="491">
        <f>VLOOKUP(A204,'[2]GP Data'!$A$3:$B$1639, 2, FALSE)</f>
        <v>332.9</v>
      </c>
      <c r="C204" s="483">
        <f t="shared" si="14"/>
        <v>-1.8283692126216611E-2</v>
      </c>
      <c r="E204" s="492">
        <v>45671</v>
      </c>
      <c r="F204" s="493">
        <f>VLOOKUP(E204,'[2]GP Data'!$D$3:$E$1530, 2, FALSE)</f>
        <v>5150.87</v>
      </c>
      <c r="G204" s="484">
        <f t="shared" si="15"/>
        <v>-1.9604493893499164E-4</v>
      </c>
      <c r="J204" s="483">
        <f t="shared" si="12"/>
        <v>2.0156438026474266E-2</v>
      </c>
      <c r="K204" s="484">
        <f t="shared" si="13"/>
        <v>-8.191466628677313E-3</v>
      </c>
    </row>
    <row r="205" spans="1:11" x14ac:dyDescent="0.35">
      <c r="A205" s="490">
        <v>45670</v>
      </c>
      <c r="B205" s="491">
        <f>VLOOKUP(A205,'[2]GP Data'!$A$3:$B$1639, 2, FALSE)</f>
        <v>339.1</v>
      </c>
      <c r="C205" s="483">
        <f t="shared" si="14"/>
        <v>2.0156438026474266E-2</v>
      </c>
      <c r="E205" s="492">
        <v>45670</v>
      </c>
      <c r="F205" s="493">
        <f>VLOOKUP(E205,'[2]GP Data'!$D$3:$E$1530, 2, FALSE)</f>
        <v>5151.88</v>
      </c>
      <c r="G205" s="484">
        <f t="shared" si="15"/>
        <v>-8.191466628677313E-3</v>
      </c>
      <c r="J205" s="483">
        <f t="shared" si="12"/>
        <v>1.7447199265381075E-2</v>
      </c>
      <c r="K205" s="484">
        <f t="shared" si="13"/>
        <v>1.8187078109932475E-3</v>
      </c>
    </row>
    <row r="206" spans="1:11" x14ac:dyDescent="0.35">
      <c r="A206" s="490">
        <v>45666</v>
      </c>
      <c r="B206" s="491">
        <f>VLOOKUP(A206,'[2]GP Data'!$A$3:$B$1639, 2, FALSE)</f>
        <v>332.4</v>
      </c>
      <c r="C206" s="483">
        <f t="shared" si="14"/>
        <v>1.7447199265381075E-2</v>
      </c>
      <c r="E206" s="492">
        <v>45666</v>
      </c>
      <c r="F206" s="493">
        <f>VLOOKUP(E206,'[2]GP Data'!$D$3:$E$1530, 2, FALSE)</f>
        <v>5194.43</v>
      </c>
      <c r="G206" s="484">
        <f t="shared" si="15"/>
        <v>1.8187078109932475E-3</v>
      </c>
      <c r="J206" s="483">
        <f t="shared" si="12"/>
        <v>1.8399264029438367E-3</v>
      </c>
      <c r="K206" s="484">
        <f t="shared" si="13"/>
        <v>-1.1135128053971766E-3</v>
      </c>
    </row>
    <row r="207" spans="1:11" x14ac:dyDescent="0.35">
      <c r="A207" s="490">
        <v>45665</v>
      </c>
      <c r="B207" s="491">
        <f>VLOOKUP(A207,'[2]GP Data'!$A$3:$B$1639, 2, FALSE)</f>
        <v>326.7</v>
      </c>
      <c r="C207" s="483">
        <f t="shared" si="14"/>
        <v>1.8399264029438367E-3</v>
      </c>
      <c r="E207" s="492">
        <v>45665</v>
      </c>
      <c r="F207" s="493">
        <f>VLOOKUP(E207,'[2]GP Data'!$D$3:$E$1530, 2, FALSE)</f>
        <v>5185</v>
      </c>
      <c r="G207" s="484">
        <f t="shared" si="15"/>
        <v>-1.1135128053971766E-3</v>
      </c>
      <c r="J207" s="483">
        <f t="shared" si="12"/>
        <v>2.7675276752767708E-3</v>
      </c>
      <c r="K207" s="484">
        <f t="shared" si="13"/>
        <v>-1.5503458463811404E-3</v>
      </c>
    </row>
    <row r="208" spans="1:11" x14ac:dyDescent="0.35">
      <c r="A208" s="490">
        <v>45664</v>
      </c>
      <c r="B208" s="491">
        <f>VLOOKUP(A208,'[2]GP Data'!$A$3:$B$1639, 2, FALSE)</f>
        <v>326.10000000000002</v>
      </c>
      <c r="C208" s="483">
        <f t="shared" si="14"/>
        <v>2.7675276752767708E-3</v>
      </c>
      <c r="E208" s="492">
        <v>45664</v>
      </c>
      <c r="F208" s="493">
        <f>VLOOKUP(E208,'[2]GP Data'!$D$3:$E$1530, 2, FALSE)</f>
        <v>5190.78</v>
      </c>
      <c r="G208" s="484">
        <f t="shared" si="15"/>
        <v>-1.5503458463811404E-3</v>
      </c>
      <c r="J208" s="483">
        <f t="shared" si="12"/>
        <v>3.0845157310301907E-3</v>
      </c>
      <c r="K208" s="484">
        <f t="shared" si="13"/>
        <v>-1.5001096233946409E-4</v>
      </c>
    </row>
    <row r="209" spans="1:11" x14ac:dyDescent="0.35">
      <c r="A209" s="490">
        <v>45663</v>
      </c>
      <c r="B209" s="491">
        <f>VLOOKUP(A209,'[2]GP Data'!$A$3:$B$1639, 2, FALSE)</f>
        <v>325.2</v>
      </c>
      <c r="C209" s="483">
        <f t="shared" si="14"/>
        <v>3.0845157310301907E-3</v>
      </c>
      <c r="E209" s="492">
        <v>45663</v>
      </c>
      <c r="F209" s="493">
        <f>VLOOKUP(E209,'[2]GP Data'!$D$3:$E$1530, 2, FALSE)</f>
        <v>5198.84</v>
      </c>
      <c r="G209" s="484">
        <f t="shared" si="15"/>
        <v>-1.5001096233946409E-4</v>
      </c>
      <c r="J209" s="483">
        <f t="shared" si="12"/>
        <v>-2.768378960320006E-3</v>
      </c>
      <c r="K209" s="484">
        <f t="shared" si="13"/>
        <v>-3.5529765281248071E-3</v>
      </c>
    </row>
    <row r="210" spans="1:11" x14ac:dyDescent="0.35">
      <c r="A210" s="490">
        <v>45659</v>
      </c>
      <c r="B210" s="491">
        <f>VLOOKUP(A210,'[2]GP Data'!$A$3:$B$1639, 2, FALSE)</f>
        <v>324.2</v>
      </c>
      <c r="C210" s="483">
        <f t="shared" si="14"/>
        <v>-2.768378960320006E-3</v>
      </c>
      <c r="E210" s="492">
        <v>45659</v>
      </c>
      <c r="F210" s="493">
        <f>VLOOKUP(E210,'[2]GP Data'!$D$3:$E$1530, 2, FALSE)</f>
        <v>5199.62</v>
      </c>
      <c r="G210" s="484">
        <f t="shared" si="15"/>
        <v>-3.5529765281248071E-3</v>
      </c>
      <c r="J210" s="483">
        <f t="shared" si="12"/>
        <v>6.1900340451872538E-3</v>
      </c>
      <c r="K210" s="484">
        <f t="shared" si="13"/>
        <v>3.2972678685094792E-4</v>
      </c>
    </row>
    <row r="211" spans="1:11" x14ac:dyDescent="0.35">
      <c r="A211" s="490">
        <v>45658</v>
      </c>
      <c r="B211" s="491">
        <f>VLOOKUP(A211,'[2]GP Data'!$A$3:$B$1639, 2, FALSE)</f>
        <v>325.10000000000002</v>
      </c>
      <c r="C211" s="483">
        <f t="shared" si="14"/>
        <v>6.1900340451872538E-3</v>
      </c>
      <c r="E211" s="492">
        <v>45658</v>
      </c>
      <c r="F211" s="493">
        <f>VLOOKUP(E211,'[2]GP Data'!$D$3:$E$1530, 2, FALSE)</f>
        <v>5218.16</v>
      </c>
      <c r="G211" s="484">
        <f t="shared" si="15"/>
        <v>3.2972678685094792E-4</v>
      </c>
      <c r="J211" s="483">
        <f t="shared" si="12"/>
        <v>1.8604651162792418E-3</v>
      </c>
      <c r="K211" s="484">
        <f t="shared" si="13"/>
        <v>9.1153188427104404E-3</v>
      </c>
    </row>
    <row r="212" spans="1:11" x14ac:dyDescent="0.35">
      <c r="A212" s="490">
        <v>45656</v>
      </c>
      <c r="B212" s="491">
        <f>VLOOKUP(A212,'[2]GP Data'!$A$3:$B$1639, 2, FALSE)</f>
        <v>323.10000000000002</v>
      </c>
      <c r="C212" s="483">
        <f t="shared" si="14"/>
        <v>1.8604651162792418E-3</v>
      </c>
      <c r="E212" s="492">
        <v>45656</v>
      </c>
      <c r="F212" s="493">
        <f>VLOOKUP(E212,'[2]GP Data'!$D$3:$E$1530, 2, FALSE)</f>
        <v>5216.4399999999996</v>
      </c>
      <c r="G212" s="484">
        <f t="shared" si="15"/>
        <v>9.1153188427104404E-3</v>
      </c>
      <c r="J212" s="483">
        <f t="shared" si="12"/>
        <v>-3.0911901081916993E-3</v>
      </c>
      <c r="K212" s="484">
        <f t="shared" si="13"/>
        <v>-2.8428924787127219E-4</v>
      </c>
    </row>
    <row r="213" spans="1:11" x14ac:dyDescent="0.35">
      <c r="A213" s="490">
        <v>45650</v>
      </c>
      <c r="B213" s="491">
        <f>VLOOKUP(A213,'[2]GP Data'!$A$3:$B$1639, 2, FALSE)</f>
        <v>322.5</v>
      </c>
      <c r="C213" s="483">
        <f t="shared" si="14"/>
        <v>-3.0911901081916993E-3</v>
      </c>
      <c r="E213" s="492">
        <v>45650</v>
      </c>
      <c r="F213" s="493">
        <f>VLOOKUP(E213,'[2]GP Data'!$D$3:$E$1530, 2, FALSE)</f>
        <v>5169.32</v>
      </c>
      <c r="G213" s="484">
        <f t="shared" si="15"/>
        <v>-2.8428924787127219E-4</v>
      </c>
      <c r="J213" s="483">
        <f t="shared" si="12"/>
        <v>-5.8389674247080192E-3</v>
      </c>
      <c r="K213" s="484">
        <f t="shared" si="13"/>
        <v>-9.7250443832026523E-3</v>
      </c>
    </row>
    <row r="214" spans="1:11" x14ac:dyDescent="0.35">
      <c r="A214" s="490">
        <v>45649</v>
      </c>
      <c r="B214" s="491">
        <f>VLOOKUP(A214,'[2]GP Data'!$A$3:$B$1639, 2, FALSE)</f>
        <v>323.5</v>
      </c>
      <c r="C214" s="483">
        <f t="shared" si="14"/>
        <v>-5.8389674247080192E-3</v>
      </c>
      <c r="E214" s="492">
        <v>45649</v>
      </c>
      <c r="F214" s="493">
        <f>VLOOKUP(E214,'[2]GP Data'!$D$3:$E$1530, 2, FALSE)</f>
        <v>5170.79</v>
      </c>
      <c r="G214" s="484">
        <f t="shared" si="15"/>
        <v>-9.7250443832026523E-3</v>
      </c>
      <c r="J214" s="483">
        <f t="shared" si="12"/>
        <v>3.7014188772361845E-3</v>
      </c>
      <c r="K214" s="484">
        <f t="shared" si="13"/>
        <v>2.565180743479889E-3</v>
      </c>
    </row>
    <row r="215" spans="1:11" x14ac:dyDescent="0.35">
      <c r="A215" s="490">
        <v>45645</v>
      </c>
      <c r="B215" s="491">
        <f>VLOOKUP(A215,'[2]GP Data'!$A$3:$B$1639, 2, FALSE)</f>
        <v>325.39999999999998</v>
      </c>
      <c r="C215" s="483">
        <f t="shared" si="14"/>
        <v>3.7014188772361845E-3</v>
      </c>
      <c r="E215" s="492">
        <v>45645</v>
      </c>
      <c r="F215" s="493">
        <f>VLOOKUP(E215,'[2]GP Data'!$D$3:$E$1530, 2, FALSE)</f>
        <v>5221.57</v>
      </c>
      <c r="G215" s="484">
        <f t="shared" si="15"/>
        <v>2.565180743479889E-3</v>
      </c>
      <c r="J215" s="483">
        <f t="shared" si="12"/>
        <v>1.3125000000000053E-2</v>
      </c>
      <c r="K215" s="484">
        <f t="shared" si="13"/>
        <v>-3.1332662147004475E-3</v>
      </c>
    </row>
    <row r="216" spans="1:11" x14ac:dyDescent="0.35">
      <c r="A216" s="490">
        <v>45644</v>
      </c>
      <c r="B216" s="491">
        <f>VLOOKUP(A216,'[2]GP Data'!$A$3:$B$1639, 2, FALSE)</f>
        <v>324.2</v>
      </c>
      <c r="C216" s="483">
        <f t="shared" si="14"/>
        <v>1.3125000000000053E-2</v>
      </c>
      <c r="E216" s="492">
        <v>45644</v>
      </c>
      <c r="F216" s="493">
        <f>VLOOKUP(E216,'[2]GP Data'!$D$3:$E$1530, 2, FALSE)</f>
        <v>5208.21</v>
      </c>
      <c r="G216" s="484">
        <f t="shared" si="15"/>
        <v>-3.1332662147004475E-3</v>
      </c>
      <c r="J216" s="483">
        <f t="shared" si="12"/>
        <v>1.7164653528289886E-2</v>
      </c>
      <c r="K216" s="484">
        <f t="shared" si="13"/>
        <v>2.3337897101713301E-2</v>
      </c>
    </row>
    <row r="217" spans="1:11" x14ac:dyDescent="0.35">
      <c r="A217" s="490">
        <v>45643</v>
      </c>
      <c r="B217" s="491">
        <f>VLOOKUP(A217,'[2]GP Data'!$A$3:$B$1639, 2, FALSE)</f>
        <v>320</v>
      </c>
      <c r="C217" s="483">
        <f t="shared" si="14"/>
        <v>1.7164653528289886E-2</v>
      </c>
      <c r="E217" s="492">
        <v>45643</v>
      </c>
      <c r="F217" s="493">
        <f>VLOOKUP(E217,'[2]GP Data'!$D$3:$E$1530, 2, FALSE)</f>
        <v>5224.58</v>
      </c>
      <c r="G217" s="484">
        <f t="shared" si="15"/>
        <v>2.3337897101713301E-2</v>
      </c>
      <c r="J217" s="483">
        <f t="shared" si="12"/>
        <v>3.5087719298245723E-3</v>
      </c>
      <c r="K217" s="484">
        <f t="shared" si="13"/>
        <v>-3.7213386671869353E-3</v>
      </c>
    </row>
    <row r="218" spans="1:11" x14ac:dyDescent="0.35">
      <c r="A218" s="490">
        <v>45638</v>
      </c>
      <c r="B218" s="491">
        <f>VLOOKUP(A218,'[2]GP Data'!$A$3:$B$1639, 2, FALSE)</f>
        <v>314.60000000000002</v>
      </c>
      <c r="C218" s="483">
        <f t="shared" si="14"/>
        <v>3.5087719298245723E-3</v>
      </c>
      <c r="E218" s="492">
        <v>45638</v>
      </c>
      <c r="F218" s="493">
        <f>VLOOKUP(E218,'[2]GP Data'!$D$3:$E$1530, 2, FALSE)</f>
        <v>5105.43</v>
      </c>
      <c r="G218" s="484">
        <f t="shared" si="15"/>
        <v>-3.7213386671869353E-3</v>
      </c>
      <c r="J218" s="483">
        <f t="shared" si="12"/>
        <v>-8.85235535883655E-3</v>
      </c>
      <c r="K218" s="484">
        <f t="shared" si="13"/>
        <v>-8.1926442325371829E-3</v>
      </c>
    </row>
    <row r="219" spans="1:11" x14ac:dyDescent="0.35">
      <c r="A219" s="490">
        <v>45637</v>
      </c>
      <c r="B219" s="491">
        <f>VLOOKUP(A219,'[2]GP Data'!$A$3:$B$1639, 2, FALSE)</f>
        <v>313.5</v>
      </c>
      <c r="C219" s="483">
        <f t="shared" si="14"/>
        <v>-8.85235535883655E-3</v>
      </c>
      <c r="E219" s="492">
        <v>45637</v>
      </c>
      <c r="F219" s="493">
        <f>VLOOKUP(E219,'[2]GP Data'!$D$3:$E$1530, 2, FALSE)</f>
        <v>5124.5</v>
      </c>
      <c r="G219" s="484">
        <f t="shared" si="15"/>
        <v>-8.1926442325371829E-3</v>
      </c>
      <c r="J219" s="483">
        <f t="shared" si="12"/>
        <v>-5.0330292544824573E-3</v>
      </c>
      <c r="K219" s="484">
        <f t="shared" si="13"/>
        <v>-2.9030497505244668E-5</v>
      </c>
    </row>
    <row r="220" spans="1:11" x14ac:dyDescent="0.35">
      <c r="A220" s="490">
        <v>45636</v>
      </c>
      <c r="B220" s="491">
        <f>VLOOKUP(A220,'[2]GP Data'!$A$3:$B$1639, 2, FALSE)</f>
        <v>316.3</v>
      </c>
      <c r="C220" s="483">
        <f t="shared" si="14"/>
        <v>-5.0330292544824573E-3</v>
      </c>
      <c r="E220" s="492">
        <v>45636</v>
      </c>
      <c r="F220" s="493">
        <f>VLOOKUP(E220,'[2]GP Data'!$D$3:$E$1530, 2, FALSE)</f>
        <v>5166.83</v>
      </c>
      <c r="G220" s="484">
        <f t="shared" si="15"/>
        <v>-2.9030497505244668E-5</v>
      </c>
      <c r="J220" s="483">
        <f t="shared" si="12"/>
        <v>9.4458438287148283E-4</v>
      </c>
      <c r="K220" s="484">
        <f t="shared" si="13"/>
        <v>-5.7419729757813842E-3</v>
      </c>
    </row>
    <row r="221" spans="1:11" x14ac:dyDescent="0.35">
      <c r="A221" s="490">
        <v>45635</v>
      </c>
      <c r="B221" s="491">
        <f>VLOOKUP(A221,'[2]GP Data'!$A$3:$B$1639, 2, FALSE)</f>
        <v>317.89999999999998</v>
      </c>
      <c r="C221" s="483">
        <f t="shared" si="14"/>
        <v>9.4458438287148283E-4</v>
      </c>
      <c r="E221" s="492">
        <v>45635</v>
      </c>
      <c r="F221" s="493">
        <f>VLOOKUP(E221,'[2]GP Data'!$D$3:$E$1530, 2, FALSE)</f>
        <v>5166.9799999999996</v>
      </c>
      <c r="G221" s="484">
        <f t="shared" si="15"/>
        <v>-5.7419729757813842E-3</v>
      </c>
      <c r="J221" s="483">
        <f t="shared" si="12"/>
        <v>-9.0483619344773336E-3</v>
      </c>
      <c r="K221" s="484">
        <f t="shared" si="13"/>
        <v>-7.9318566653368006E-3</v>
      </c>
    </row>
    <row r="222" spans="1:11" x14ac:dyDescent="0.35">
      <c r="A222" s="490">
        <v>45631</v>
      </c>
      <c r="B222" s="491">
        <f>VLOOKUP(A222,'[2]GP Data'!$A$3:$B$1639, 2, FALSE)</f>
        <v>317.60000000000002</v>
      </c>
      <c r="C222" s="483">
        <f t="shared" si="14"/>
        <v>-9.0483619344773336E-3</v>
      </c>
      <c r="E222" s="492">
        <v>45631</v>
      </c>
      <c r="F222" s="493">
        <f>VLOOKUP(E222,'[2]GP Data'!$D$3:$E$1530, 2, FALSE)</f>
        <v>5196.82</v>
      </c>
      <c r="G222" s="484">
        <f t="shared" si="15"/>
        <v>-7.9318566653368006E-3</v>
      </c>
      <c r="J222" s="483">
        <f t="shared" si="12"/>
        <v>-1.0191476219888806E-2</v>
      </c>
      <c r="K222" s="484">
        <f t="shared" si="13"/>
        <v>2.3574209967374138E-3</v>
      </c>
    </row>
    <row r="223" spans="1:11" x14ac:dyDescent="0.35">
      <c r="A223" s="490">
        <v>45630</v>
      </c>
      <c r="B223" s="491">
        <f>VLOOKUP(A223,'[2]GP Data'!$A$3:$B$1639, 2, FALSE)</f>
        <v>320.5</v>
      </c>
      <c r="C223" s="483">
        <f t="shared" si="14"/>
        <v>-1.0191476219888806E-2</v>
      </c>
      <c r="E223" s="492">
        <v>45630</v>
      </c>
      <c r="F223" s="493">
        <f>VLOOKUP(E223,'[2]GP Data'!$D$3:$E$1530, 2, FALSE)</f>
        <v>5238.37</v>
      </c>
      <c r="G223" s="484">
        <f t="shared" si="15"/>
        <v>2.3574209967374138E-3</v>
      </c>
      <c r="J223" s="483">
        <f t="shared" si="12"/>
        <v>1.441102756892243E-2</v>
      </c>
      <c r="K223" s="484">
        <f t="shared" si="13"/>
        <v>4.6348093211379116E-3</v>
      </c>
    </row>
    <row r="224" spans="1:11" x14ac:dyDescent="0.35">
      <c r="A224" s="490">
        <v>45629</v>
      </c>
      <c r="B224" s="491">
        <f>VLOOKUP(A224,'[2]GP Data'!$A$3:$B$1639, 2, FALSE)</f>
        <v>323.8</v>
      </c>
      <c r="C224" s="483">
        <f t="shared" si="14"/>
        <v>1.441102756892243E-2</v>
      </c>
      <c r="E224" s="492">
        <v>45629</v>
      </c>
      <c r="F224" s="493">
        <f>VLOOKUP(E224,'[2]GP Data'!$D$3:$E$1530, 2, FALSE)</f>
        <v>5226.05</v>
      </c>
      <c r="G224" s="484">
        <f t="shared" si="15"/>
        <v>4.6348093211379116E-3</v>
      </c>
      <c r="J224" s="483">
        <f t="shared" si="12"/>
        <v>-1.5639662183296599E-3</v>
      </c>
      <c r="K224" s="484">
        <f t="shared" si="13"/>
        <v>1.8006428391226237E-3</v>
      </c>
    </row>
    <row r="225" spans="1:11" x14ac:dyDescent="0.35">
      <c r="A225" s="490">
        <v>45628</v>
      </c>
      <c r="B225" s="491">
        <f>VLOOKUP(A225,'[2]GP Data'!$A$3:$B$1639, 2, FALSE)</f>
        <v>319.2</v>
      </c>
      <c r="C225" s="483">
        <f t="shared" si="14"/>
        <v>-1.5639662183296599E-3</v>
      </c>
      <c r="E225" s="492">
        <v>45628</v>
      </c>
      <c r="F225" s="493">
        <f>VLOOKUP(E225,'[2]GP Data'!$D$3:$E$1530, 2, FALSE)</f>
        <v>5201.9399999999996</v>
      </c>
      <c r="G225" s="484">
        <f t="shared" si="15"/>
        <v>1.8006428391226237E-3</v>
      </c>
      <c r="J225" s="483">
        <f t="shared" si="12"/>
        <v>-4.3600124571785415E-3</v>
      </c>
      <c r="K225" s="484">
        <f t="shared" si="13"/>
        <v>-1.0292538967359155E-3</v>
      </c>
    </row>
    <row r="226" spans="1:11" x14ac:dyDescent="0.35">
      <c r="A226" s="490">
        <v>45624</v>
      </c>
      <c r="B226" s="491">
        <f>VLOOKUP(A226,'[2]GP Data'!$A$3:$B$1639, 2, FALSE)</f>
        <v>319.7</v>
      </c>
      <c r="C226" s="483">
        <f t="shared" si="14"/>
        <v>-4.3600124571785415E-3</v>
      </c>
      <c r="E226" s="492">
        <v>45624</v>
      </c>
      <c r="F226" s="493">
        <f>VLOOKUP(E226,'[2]GP Data'!$D$3:$E$1530, 2, FALSE)</f>
        <v>5192.59</v>
      </c>
      <c r="G226" s="484">
        <f t="shared" si="15"/>
        <v>-1.0292538967359155E-3</v>
      </c>
      <c r="J226" s="483">
        <f t="shared" si="12"/>
        <v>7.2145545796737931E-3</v>
      </c>
      <c r="K226" s="484">
        <f t="shared" si="13"/>
        <v>1.0656934590414613E-2</v>
      </c>
    </row>
    <row r="227" spans="1:11" x14ac:dyDescent="0.35">
      <c r="A227" s="490">
        <v>45623</v>
      </c>
      <c r="B227" s="491">
        <f>VLOOKUP(A227,'[2]GP Data'!$A$3:$B$1639, 2, FALSE)</f>
        <v>321.10000000000002</v>
      </c>
      <c r="C227" s="483">
        <f t="shared" si="14"/>
        <v>7.2145545796737931E-3</v>
      </c>
      <c r="E227" s="492">
        <v>45623</v>
      </c>
      <c r="F227" s="493">
        <f>VLOOKUP(E227,'[2]GP Data'!$D$3:$E$1530, 2, FALSE)</f>
        <v>5197.9399999999996</v>
      </c>
      <c r="G227" s="484">
        <f t="shared" si="15"/>
        <v>1.0656934590414613E-2</v>
      </c>
      <c r="J227" s="483">
        <f t="shared" si="12"/>
        <v>1.1421319796954377E-2</v>
      </c>
      <c r="K227" s="484">
        <f t="shared" si="13"/>
        <v>1.3628938519858469E-3</v>
      </c>
    </row>
    <row r="228" spans="1:11" x14ac:dyDescent="0.35">
      <c r="A228" s="490">
        <v>45622</v>
      </c>
      <c r="B228" s="491">
        <f>VLOOKUP(A228,'[2]GP Data'!$A$3:$B$1639, 2, FALSE)</f>
        <v>318.8</v>
      </c>
      <c r="C228" s="483">
        <f t="shared" si="14"/>
        <v>1.1421319796954377E-2</v>
      </c>
      <c r="E228" s="492">
        <v>45622</v>
      </c>
      <c r="F228" s="493">
        <f>VLOOKUP(E228,'[2]GP Data'!$D$3:$E$1530, 2, FALSE)</f>
        <v>5143.13</v>
      </c>
      <c r="G228" s="484">
        <f t="shared" si="15"/>
        <v>1.3628938519858469E-3</v>
      </c>
      <c r="J228" s="483">
        <f t="shared" si="12"/>
        <v>-9.4280326838466211E-3</v>
      </c>
      <c r="K228" s="484">
        <f t="shared" si="13"/>
        <v>-1.1822809846120608E-2</v>
      </c>
    </row>
    <row r="229" spans="1:11" x14ac:dyDescent="0.35">
      <c r="A229" s="490">
        <v>45621</v>
      </c>
      <c r="B229" s="491">
        <f>VLOOKUP(A229,'[2]GP Data'!$A$3:$B$1639, 2, FALSE)</f>
        <v>315.2</v>
      </c>
      <c r="C229" s="483">
        <f t="shared" si="14"/>
        <v>-9.4280326838466211E-3</v>
      </c>
      <c r="E229" s="492">
        <v>45621</v>
      </c>
      <c r="F229" s="493">
        <f>VLOOKUP(E229,'[2]GP Data'!$D$3:$E$1530, 2, FALSE)</f>
        <v>5136.13</v>
      </c>
      <c r="G229" s="484">
        <f t="shared" si="15"/>
        <v>-1.1822809846120608E-2</v>
      </c>
      <c r="J229" s="483">
        <f t="shared" si="12"/>
        <v>-1.4555589965933646E-2</v>
      </c>
      <c r="K229" s="484">
        <f t="shared" si="13"/>
        <v>-9.090111834303749E-3</v>
      </c>
    </row>
    <row r="230" spans="1:11" x14ac:dyDescent="0.35">
      <c r="A230" s="490">
        <v>45617</v>
      </c>
      <c r="B230" s="491">
        <f>VLOOKUP(A230,'[2]GP Data'!$A$3:$B$1639, 2, FALSE)</f>
        <v>318.2</v>
      </c>
      <c r="C230" s="483">
        <f t="shared" si="14"/>
        <v>-1.4555589965933646E-2</v>
      </c>
      <c r="E230" s="492">
        <v>45617</v>
      </c>
      <c r="F230" s="493">
        <f>VLOOKUP(E230,'[2]GP Data'!$D$3:$E$1530, 2, FALSE)</f>
        <v>5197.58</v>
      </c>
      <c r="G230" s="484">
        <f t="shared" si="15"/>
        <v>-9.090111834303749E-3</v>
      </c>
      <c r="J230" s="483">
        <f t="shared" si="12"/>
        <v>7.8027465667915852E-3</v>
      </c>
      <c r="K230" s="484">
        <f t="shared" si="13"/>
        <v>4.95931454643328E-4</v>
      </c>
    </row>
    <row r="231" spans="1:11" x14ac:dyDescent="0.35">
      <c r="A231" s="490">
        <v>45616</v>
      </c>
      <c r="B231" s="491">
        <f>VLOOKUP(A231,'[2]GP Data'!$A$3:$B$1639, 2, FALSE)</f>
        <v>322.89999999999998</v>
      </c>
      <c r="C231" s="483">
        <f t="shared" si="14"/>
        <v>7.8027465667915852E-3</v>
      </c>
      <c r="E231" s="492">
        <v>45616</v>
      </c>
      <c r="F231" s="493">
        <f>VLOOKUP(E231,'[2]GP Data'!$D$3:$E$1530, 2, FALSE)</f>
        <v>5245.26</v>
      </c>
      <c r="G231" s="484">
        <f t="shared" si="15"/>
        <v>4.95931454643328E-4</v>
      </c>
      <c r="J231" s="483">
        <f t="shared" si="12"/>
        <v>5.0188205771641847E-3</v>
      </c>
      <c r="K231" s="484">
        <f t="shared" si="13"/>
        <v>-1.0831932408439826E-2</v>
      </c>
    </row>
    <row r="232" spans="1:11" x14ac:dyDescent="0.35">
      <c r="A232" s="490">
        <v>45615</v>
      </c>
      <c r="B232" s="491">
        <f>VLOOKUP(A232,'[2]GP Data'!$A$3:$B$1639, 2, FALSE)</f>
        <v>320.39999999999998</v>
      </c>
      <c r="C232" s="483">
        <f t="shared" si="14"/>
        <v>5.0188205771641847E-3</v>
      </c>
      <c r="E232" s="492">
        <v>45615</v>
      </c>
      <c r="F232" s="493">
        <f>VLOOKUP(E232,'[2]GP Data'!$D$3:$E$1530, 2, FALSE)</f>
        <v>5242.66</v>
      </c>
      <c r="G232" s="484">
        <f t="shared" si="15"/>
        <v>-1.0831932408439826E-2</v>
      </c>
      <c r="J232" s="483">
        <f t="shared" si="12"/>
        <v>-2.2085889570552131E-2</v>
      </c>
      <c r="K232" s="484">
        <f t="shared" si="13"/>
        <v>-1.0318691845320527E-2</v>
      </c>
    </row>
    <row r="233" spans="1:11" x14ac:dyDescent="0.35">
      <c r="A233" s="490">
        <v>45614</v>
      </c>
      <c r="B233" s="491">
        <f>VLOOKUP(A233,'[2]GP Data'!$A$3:$B$1639, 2, FALSE)</f>
        <v>318.8</v>
      </c>
      <c r="C233" s="483">
        <f t="shared" si="14"/>
        <v>-2.2085889570552131E-2</v>
      </c>
      <c r="E233" s="492">
        <v>45614</v>
      </c>
      <c r="F233" s="493">
        <f>VLOOKUP(E233,'[2]GP Data'!$D$3:$E$1530, 2, FALSE)</f>
        <v>5300.07</v>
      </c>
      <c r="G233" s="484">
        <f t="shared" si="15"/>
        <v>-1.0318691845320527E-2</v>
      </c>
      <c r="J233" s="483">
        <f t="shared" si="12"/>
        <v>1.536098310291889E-3</v>
      </c>
      <c r="K233" s="484">
        <f t="shared" si="13"/>
        <v>7.3946298170435298E-3</v>
      </c>
    </row>
    <row r="234" spans="1:11" x14ac:dyDescent="0.35">
      <c r="A234" s="490">
        <v>45610</v>
      </c>
      <c r="B234" s="491">
        <f>VLOOKUP(A234,'[2]GP Data'!$A$3:$B$1639, 2, FALSE)</f>
        <v>326</v>
      </c>
      <c r="C234" s="483">
        <f t="shared" si="14"/>
        <v>1.536098310291889E-3</v>
      </c>
      <c r="E234" s="492">
        <v>45610</v>
      </c>
      <c r="F234" s="493">
        <f>VLOOKUP(E234,'[2]GP Data'!$D$3:$E$1530, 2, FALSE)</f>
        <v>5355.33</v>
      </c>
      <c r="G234" s="484">
        <f t="shared" si="15"/>
        <v>7.3946298170435298E-3</v>
      </c>
      <c r="J234" s="483">
        <f t="shared" si="12"/>
        <v>-1.0036496350364965E-2</v>
      </c>
      <c r="K234" s="484">
        <f t="shared" si="13"/>
        <v>3.3312131844323023E-3</v>
      </c>
    </row>
    <row r="235" spans="1:11" x14ac:dyDescent="0.35">
      <c r="A235" s="490">
        <v>45609</v>
      </c>
      <c r="B235" s="491">
        <f>VLOOKUP(A235,'[2]GP Data'!$A$3:$B$1639, 2, FALSE)</f>
        <v>325.5</v>
      </c>
      <c r="C235" s="483">
        <f t="shared" si="14"/>
        <v>-1.0036496350364965E-2</v>
      </c>
      <c r="E235" s="492">
        <v>45609</v>
      </c>
      <c r="F235" s="493">
        <f>VLOOKUP(E235,'[2]GP Data'!$D$3:$E$1530, 2, FALSE)</f>
        <v>5316.02</v>
      </c>
      <c r="G235" s="484">
        <f t="shared" si="15"/>
        <v>3.3312131844323023E-3</v>
      </c>
      <c r="J235" s="483">
        <f t="shared" si="12"/>
        <v>9.8280098280096873E-3</v>
      </c>
      <c r="K235" s="484">
        <f t="shared" si="13"/>
        <v>-6.571768208766593E-3</v>
      </c>
    </row>
    <row r="236" spans="1:11" x14ac:dyDescent="0.35">
      <c r="A236" s="490">
        <v>45608</v>
      </c>
      <c r="B236" s="491">
        <f>VLOOKUP(A236,'[2]GP Data'!$A$3:$B$1639, 2, FALSE)</f>
        <v>328.8</v>
      </c>
      <c r="C236" s="483">
        <f t="shared" si="14"/>
        <v>9.8280098280096873E-3</v>
      </c>
      <c r="E236" s="492">
        <v>45608</v>
      </c>
      <c r="F236" s="493">
        <f>VLOOKUP(E236,'[2]GP Data'!$D$3:$E$1530, 2, FALSE)</f>
        <v>5298.37</v>
      </c>
      <c r="G236" s="484">
        <f t="shared" si="15"/>
        <v>-6.571768208766593E-3</v>
      </c>
      <c r="J236" s="483">
        <f t="shared" si="12"/>
        <v>1.401432575521655E-2</v>
      </c>
      <c r="K236" s="484">
        <f t="shared" si="13"/>
        <v>3.214623621934809E-3</v>
      </c>
    </row>
    <row r="237" spans="1:11" x14ac:dyDescent="0.35">
      <c r="A237" s="490">
        <v>45607</v>
      </c>
      <c r="B237" s="491">
        <f>VLOOKUP(A237,'[2]GP Data'!$A$3:$B$1639, 2, FALSE)</f>
        <v>325.60000000000002</v>
      </c>
      <c r="C237" s="483">
        <f t="shared" si="14"/>
        <v>1.401432575521655E-2</v>
      </c>
      <c r="E237" s="492">
        <v>45607</v>
      </c>
      <c r="F237" s="493">
        <f>VLOOKUP(E237,'[2]GP Data'!$D$3:$E$1530, 2, FALSE)</f>
        <v>5333.42</v>
      </c>
      <c r="G237" s="484">
        <f t="shared" si="15"/>
        <v>3.214623621934809E-3</v>
      </c>
      <c r="J237" s="483">
        <f t="shared" si="12"/>
        <v>1.7104846373139138E-2</v>
      </c>
      <c r="K237" s="484">
        <f t="shared" si="13"/>
        <v>-5.7508023070536041E-3</v>
      </c>
    </row>
    <row r="238" spans="1:11" x14ac:dyDescent="0.35">
      <c r="A238" s="490">
        <v>45603</v>
      </c>
      <c r="B238" s="491">
        <f>VLOOKUP(A238,'[2]GP Data'!$A$3:$B$1639, 2, FALSE)</f>
        <v>321.10000000000002</v>
      </c>
      <c r="C238" s="483">
        <f t="shared" si="14"/>
        <v>1.7104846373139138E-2</v>
      </c>
      <c r="E238" s="492">
        <v>45603</v>
      </c>
      <c r="F238" s="493">
        <f>VLOOKUP(E238,'[2]GP Data'!$D$3:$E$1530, 2, FALSE)</f>
        <v>5316.33</v>
      </c>
      <c r="G238" s="484">
        <f t="shared" si="15"/>
        <v>-5.7508023070536041E-3</v>
      </c>
      <c r="J238" s="483">
        <f t="shared" si="12"/>
        <v>-1.2654223347042803E-3</v>
      </c>
      <c r="K238" s="484">
        <f t="shared" si="13"/>
        <v>-3.3438831542101921E-3</v>
      </c>
    </row>
    <row r="239" spans="1:11" x14ac:dyDescent="0.35">
      <c r="A239" s="490">
        <v>45602</v>
      </c>
      <c r="B239" s="491">
        <f>VLOOKUP(A239,'[2]GP Data'!$A$3:$B$1639, 2, FALSE)</f>
        <v>315.7</v>
      </c>
      <c r="C239" s="483">
        <f t="shared" si="14"/>
        <v>-1.2654223347042803E-3</v>
      </c>
      <c r="E239" s="492">
        <v>45602</v>
      </c>
      <c r="F239" s="493">
        <f>VLOOKUP(E239,'[2]GP Data'!$D$3:$E$1530, 2, FALSE)</f>
        <v>5347.08</v>
      </c>
      <c r="G239" s="484">
        <f t="shared" si="15"/>
        <v>-3.3438831542101921E-3</v>
      </c>
      <c r="J239" s="483">
        <f t="shared" si="12"/>
        <v>4.1296060991105055E-3</v>
      </c>
      <c r="K239" s="484">
        <f t="shared" si="13"/>
        <v>2.14221799143266E-2</v>
      </c>
    </row>
    <row r="240" spans="1:11" x14ac:dyDescent="0.35">
      <c r="A240" s="490">
        <v>45601</v>
      </c>
      <c r="B240" s="491">
        <f>VLOOKUP(A240,'[2]GP Data'!$A$3:$B$1639, 2, FALSE)</f>
        <v>316.10000000000002</v>
      </c>
      <c r="C240" s="483">
        <f t="shared" si="14"/>
        <v>4.1296060991105055E-3</v>
      </c>
      <c r="E240" s="492">
        <v>45601</v>
      </c>
      <c r="F240" s="493">
        <f>VLOOKUP(E240,'[2]GP Data'!$D$3:$E$1530, 2, FALSE)</f>
        <v>5365.02</v>
      </c>
      <c r="G240" s="484">
        <f t="shared" si="15"/>
        <v>2.14221799143266E-2</v>
      </c>
      <c r="J240" s="483">
        <f t="shared" si="12"/>
        <v>1.9096117122852085E-3</v>
      </c>
      <c r="K240" s="484">
        <f t="shared" si="13"/>
        <v>1.0212716851944581E-2</v>
      </c>
    </row>
    <row r="241" spans="1:11" x14ac:dyDescent="0.35">
      <c r="A241" s="490">
        <v>45600</v>
      </c>
      <c r="B241" s="491">
        <f>VLOOKUP(A241,'[2]GP Data'!$A$3:$B$1639, 2, FALSE)</f>
        <v>314.8</v>
      </c>
      <c r="C241" s="483">
        <f t="shared" si="14"/>
        <v>1.9096117122852085E-3</v>
      </c>
      <c r="E241" s="492">
        <v>45600</v>
      </c>
      <c r="F241" s="493">
        <f>VLOOKUP(E241,'[2]GP Data'!$D$3:$E$1530, 2, FALSE)</f>
        <v>5252.5</v>
      </c>
      <c r="G241" s="484">
        <f t="shared" si="15"/>
        <v>1.0212716851944581E-2</v>
      </c>
      <c r="J241" s="483">
        <f t="shared" si="12"/>
        <v>-1.039370078740165E-2</v>
      </c>
      <c r="K241" s="484">
        <f t="shared" si="13"/>
        <v>6.6913979910314669E-3</v>
      </c>
    </row>
    <row r="242" spans="1:11" x14ac:dyDescent="0.35">
      <c r="A242" s="490">
        <v>45596</v>
      </c>
      <c r="B242" s="491">
        <f>VLOOKUP(A242,'[2]GP Data'!$A$3:$B$1639, 2, FALSE)</f>
        <v>314.2</v>
      </c>
      <c r="C242" s="483">
        <f t="shared" si="14"/>
        <v>-1.039370078740165E-2</v>
      </c>
      <c r="E242" s="492">
        <v>45596</v>
      </c>
      <c r="F242" s="493">
        <f>VLOOKUP(E242,'[2]GP Data'!$D$3:$E$1530, 2, FALSE)</f>
        <v>5199.3999999999996</v>
      </c>
      <c r="G242" s="484">
        <f t="shared" si="15"/>
        <v>6.6913979910314669E-3</v>
      </c>
      <c r="J242" s="483">
        <f t="shared" si="12"/>
        <v>2.0244215938303389E-2</v>
      </c>
      <c r="K242" s="484">
        <f t="shared" si="13"/>
        <v>2.9400099255978862E-2</v>
      </c>
    </row>
    <row r="243" spans="1:11" x14ac:dyDescent="0.35">
      <c r="A243" s="490">
        <v>45595</v>
      </c>
      <c r="B243" s="491">
        <f>VLOOKUP(A243,'[2]GP Data'!$A$3:$B$1639, 2, FALSE)</f>
        <v>317.5</v>
      </c>
      <c r="C243" s="483">
        <f t="shared" si="14"/>
        <v>2.0244215938303389E-2</v>
      </c>
      <c r="E243" s="492">
        <v>45595</v>
      </c>
      <c r="F243" s="493">
        <f>VLOOKUP(E243,'[2]GP Data'!$D$3:$E$1530, 2, FALSE)</f>
        <v>5164.84</v>
      </c>
      <c r="G243" s="484">
        <f t="shared" si="15"/>
        <v>2.9400099255978862E-2</v>
      </c>
      <c r="J243" s="483">
        <f t="shared" si="12"/>
        <v>2.1667760998030028E-2</v>
      </c>
      <c r="K243" s="484">
        <f t="shared" si="13"/>
        <v>2.425217361126708E-2</v>
      </c>
    </row>
    <row r="244" spans="1:11" x14ac:dyDescent="0.35">
      <c r="A244" s="490">
        <v>45594</v>
      </c>
      <c r="B244" s="491">
        <f>VLOOKUP(A244,'[2]GP Data'!$A$3:$B$1639, 2, FALSE)</f>
        <v>311.2</v>
      </c>
      <c r="C244" s="483">
        <f t="shared" si="14"/>
        <v>2.1667760998030028E-2</v>
      </c>
      <c r="E244" s="492">
        <v>45594</v>
      </c>
      <c r="F244" s="493">
        <f>VLOOKUP(E244,'[2]GP Data'!$D$3:$E$1530, 2, FALSE)</f>
        <v>5017.33</v>
      </c>
      <c r="G244" s="484">
        <f t="shared" si="15"/>
        <v>2.425217361126708E-2</v>
      </c>
      <c r="J244" s="483">
        <f t="shared" si="12"/>
        <v>-3.881350583780363E-2</v>
      </c>
      <c r="K244" s="484">
        <f t="shared" si="13"/>
        <v>-4.2245727916161657E-2</v>
      </c>
    </row>
    <row r="245" spans="1:11" x14ac:dyDescent="0.35">
      <c r="A245" s="490">
        <v>45593</v>
      </c>
      <c r="B245" s="491">
        <f>VLOOKUP(A245,'[2]GP Data'!$A$3:$B$1639, 2, FALSE)</f>
        <v>304.60000000000002</v>
      </c>
      <c r="C245" s="483">
        <f t="shared" si="14"/>
        <v>-3.881350583780363E-2</v>
      </c>
      <c r="E245" s="492">
        <v>45593</v>
      </c>
      <c r="F245" s="493">
        <f>VLOOKUP(E245,'[2]GP Data'!$D$3:$E$1530, 2, FALSE)</f>
        <v>4898.53</v>
      </c>
      <c r="G245" s="484">
        <f t="shared" si="15"/>
        <v>-4.2245727916161657E-2</v>
      </c>
      <c r="J245" s="483">
        <f t="shared" si="12"/>
        <v>-1.6754576481538996E-2</v>
      </c>
      <c r="K245" s="484">
        <f t="shared" si="13"/>
        <v>-1.0675481982827084E-2</v>
      </c>
    </row>
    <row r="246" spans="1:11" x14ac:dyDescent="0.35">
      <c r="A246" s="490">
        <v>45589</v>
      </c>
      <c r="B246" s="491">
        <f>VLOOKUP(A246,'[2]GP Data'!$A$3:$B$1639, 2, FALSE)</f>
        <v>316.89999999999998</v>
      </c>
      <c r="C246" s="483">
        <f t="shared" si="14"/>
        <v>-1.6754576481538996E-2</v>
      </c>
      <c r="E246" s="492">
        <v>45589</v>
      </c>
      <c r="F246" s="493">
        <f>VLOOKUP(E246,'[2]GP Data'!$D$3:$E$1530, 2, FALSE)</f>
        <v>5114.6000000000004</v>
      </c>
      <c r="G246" s="484">
        <f t="shared" si="15"/>
        <v>-1.0675481982827084E-2</v>
      </c>
      <c r="J246" s="483">
        <f t="shared" si="12"/>
        <v>-2.540066525551854E-2</v>
      </c>
      <c r="K246" s="484">
        <f t="shared" si="13"/>
        <v>-1.3732002739532678E-2</v>
      </c>
    </row>
    <row r="247" spans="1:11" x14ac:dyDescent="0.35">
      <c r="A247" s="490">
        <v>45588</v>
      </c>
      <c r="B247" s="491">
        <f>VLOOKUP(A247,'[2]GP Data'!$A$3:$B$1639, 2, FALSE)</f>
        <v>322.3</v>
      </c>
      <c r="C247" s="483">
        <f t="shared" si="14"/>
        <v>-2.540066525551854E-2</v>
      </c>
      <c r="E247" s="492">
        <v>45588</v>
      </c>
      <c r="F247" s="493">
        <f>VLOOKUP(E247,'[2]GP Data'!$D$3:$E$1530, 2, FALSE)</f>
        <v>5169.79</v>
      </c>
      <c r="G247" s="484">
        <f t="shared" si="15"/>
        <v>-1.3732002739532678E-2</v>
      </c>
      <c r="J247" s="483">
        <f t="shared" si="12"/>
        <v>4.251442453689469E-3</v>
      </c>
      <c r="K247" s="484">
        <f t="shared" si="13"/>
        <v>1.3272480190833047E-2</v>
      </c>
    </row>
    <row r="248" spans="1:11" x14ac:dyDescent="0.35">
      <c r="A248" s="490">
        <v>45587</v>
      </c>
      <c r="B248" s="491">
        <f>VLOOKUP(A248,'[2]GP Data'!$A$3:$B$1639, 2, FALSE)</f>
        <v>330.7</v>
      </c>
      <c r="C248" s="483">
        <f t="shared" si="14"/>
        <v>4.251442453689469E-3</v>
      </c>
      <c r="E248" s="492">
        <v>45587</v>
      </c>
      <c r="F248" s="493">
        <f>VLOOKUP(E248,'[2]GP Data'!$D$3:$E$1530, 2, FALSE)</f>
        <v>5241.7700000000004</v>
      </c>
      <c r="G248" s="484">
        <f t="shared" si="15"/>
        <v>1.3272480190833047E-2</v>
      </c>
      <c r="J248" s="483">
        <f t="shared" si="12"/>
        <v>-1.7014925373134315E-2</v>
      </c>
      <c r="K248" s="484">
        <f t="shared" si="13"/>
        <v>-1.6141179692581553E-2</v>
      </c>
    </row>
    <row r="249" spans="1:11" x14ac:dyDescent="0.35">
      <c r="A249" s="490">
        <v>45586</v>
      </c>
      <c r="B249" s="491">
        <f>VLOOKUP(A249,'[2]GP Data'!$A$3:$B$1639, 2, FALSE)</f>
        <v>329.3</v>
      </c>
      <c r="C249" s="483">
        <f t="shared" si="14"/>
        <v>-1.7014925373134315E-2</v>
      </c>
      <c r="E249" s="492">
        <v>45586</v>
      </c>
      <c r="F249" s="493">
        <f>VLOOKUP(E249,'[2]GP Data'!$D$3:$E$1530, 2, FALSE)</f>
        <v>5173.1099999999997</v>
      </c>
      <c r="G249" s="484">
        <f t="shared" si="15"/>
        <v>-1.6141179692581553E-2</v>
      </c>
      <c r="J249" s="483">
        <f t="shared" si="12"/>
        <v>-7.7014218009479052E-3</v>
      </c>
      <c r="K249" s="484">
        <f t="shared" si="13"/>
        <v>-1.0953291912847773E-2</v>
      </c>
    </row>
    <row r="250" spans="1:11" x14ac:dyDescent="0.35">
      <c r="A250" s="490">
        <v>45582</v>
      </c>
      <c r="B250" s="491">
        <f>VLOOKUP(A250,'[2]GP Data'!$A$3:$B$1639, 2, FALSE)</f>
        <v>335</v>
      </c>
      <c r="C250" s="483">
        <f t="shared" si="14"/>
        <v>-7.7014218009479052E-3</v>
      </c>
      <c r="E250" s="492">
        <v>45582</v>
      </c>
      <c r="F250" s="493">
        <f>VLOOKUP(E250,'[2]GP Data'!$D$3:$E$1530, 2, FALSE)</f>
        <v>5257.98</v>
      </c>
      <c r="G250" s="484">
        <f t="shared" si="15"/>
        <v>-1.0953291912847773E-2</v>
      </c>
      <c r="J250" s="483">
        <f t="shared" si="12"/>
        <v>6.5593321407275695E-3</v>
      </c>
      <c r="K250" s="484">
        <f t="shared" si="13"/>
        <v>-9.2714071666579745E-3</v>
      </c>
    </row>
    <row r="251" spans="1:11" x14ac:dyDescent="0.35">
      <c r="A251" s="490">
        <v>45581</v>
      </c>
      <c r="B251" s="491">
        <f>VLOOKUP(A251,'[2]GP Data'!$A$3:$B$1639, 2, FALSE)</f>
        <v>337.6</v>
      </c>
      <c r="C251" s="483">
        <f t="shared" si="14"/>
        <v>6.5593321407275695E-3</v>
      </c>
      <c r="E251" s="492">
        <v>45581</v>
      </c>
      <c r="F251" s="493">
        <f>VLOOKUP(E251,'[2]GP Data'!$D$3:$E$1530, 2, FALSE)</f>
        <v>5316.21</v>
      </c>
      <c r="G251" s="484">
        <f t="shared" si="15"/>
        <v>-9.2714071666579745E-3</v>
      </c>
      <c r="J251" s="483">
        <f t="shared" si="12"/>
        <v>-2.9806259314457684E-4</v>
      </c>
      <c r="K251" s="484">
        <f t="shared" si="13"/>
        <v>-1.4106157207353087E-3</v>
      </c>
    </row>
    <row r="252" spans="1:11" x14ac:dyDescent="0.35">
      <c r="A252" s="490">
        <v>45580</v>
      </c>
      <c r="B252" s="491">
        <f>VLOOKUP(A252,'[2]GP Data'!$A$3:$B$1639, 2, FALSE)</f>
        <v>335.4</v>
      </c>
      <c r="C252" s="483">
        <f t="shared" si="14"/>
        <v>-2.9806259314457684E-4</v>
      </c>
      <c r="E252" s="492">
        <v>45580</v>
      </c>
      <c r="F252" s="493">
        <f>VLOOKUP(E252,'[2]GP Data'!$D$3:$E$1530, 2, FALSE)</f>
        <v>5365.96</v>
      </c>
      <c r="G252" s="484">
        <f t="shared" si="15"/>
        <v>-1.4106157207353087E-3</v>
      </c>
      <c r="J252" s="483">
        <f t="shared" si="12"/>
        <v>-7.6900325347530885E-3</v>
      </c>
      <c r="K252" s="484">
        <f t="shared" si="13"/>
        <v>-8.9486283810951139E-3</v>
      </c>
    </row>
    <row r="253" spans="1:11" x14ac:dyDescent="0.35">
      <c r="A253" s="490">
        <v>45579</v>
      </c>
      <c r="B253" s="491">
        <f>VLOOKUP(A253,'[2]GP Data'!$A$3:$B$1639, 2, FALSE)</f>
        <v>335.5</v>
      </c>
      <c r="C253" s="483">
        <f t="shared" si="14"/>
        <v>-7.6900325347530885E-3</v>
      </c>
      <c r="E253" s="492">
        <v>45579</v>
      </c>
      <c r="F253" s="493">
        <f>VLOOKUP(E253,'[2]GP Data'!$D$3:$E$1530, 2, FALSE)</f>
        <v>5373.54</v>
      </c>
      <c r="G253" s="484">
        <f t="shared" si="15"/>
        <v>-8.9486283810951139E-3</v>
      </c>
      <c r="J253" s="483">
        <f t="shared" si="12"/>
        <v>2.6411657559198609E-2</v>
      </c>
      <c r="K253" s="484">
        <f t="shared" si="13"/>
        <v>1.8567709018225909E-2</v>
      </c>
    </row>
    <row r="254" spans="1:11" x14ac:dyDescent="0.35">
      <c r="A254" s="490">
        <v>45574</v>
      </c>
      <c r="B254" s="491">
        <f>VLOOKUP(A254,'[2]GP Data'!$A$3:$B$1639, 2, FALSE)</f>
        <v>338.1</v>
      </c>
      <c r="C254" s="483">
        <f t="shared" si="14"/>
        <v>2.6411657559198609E-2</v>
      </c>
      <c r="E254" s="492">
        <v>45574</v>
      </c>
      <c r="F254" s="493">
        <f>VLOOKUP(E254,'[2]GP Data'!$D$3:$E$1530, 2, FALSE)</f>
        <v>5422.06</v>
      </c>
      <c r="G254" s="484">
        <f t="shared" si="15"/>
        <v>1.8567709018225909E-2</v>
      </c>
      <c r="J254" s="483">
        <f t="shared" si="12"/>
        <v>1.1049723756906049E-2</v>
      </c>
      <c r="K254" s="484">
        <f t="shared" si="13"/>
        <v>-2.2192815076119699E-3</v>
      </c>
    </row>
    <row r="255" spans="1:11" x14ac:dyDescent="0.35">
      <c r="A255" s="490">
        <v>45573</v>
      </c>
      <c r="B255" s="491">
        <f>VLOOKUP(A255,'[2]GP Data'!$A$3:$B$1639, 2, FALSE)</f>
        <v>329.4</v>
      </c>
      <c r="C255" s="483">
        <f t="shared" si="14"/>
        <v>1.1049723756906049E-2</v>
      </c>
      <c r="E255" s="492">
        <v>45573</v>
      </c>
      <c r="F255" s="493">
        <f>VLOOKUP(E255,'[2]GP Data'!$D$3:$E$1530, 2, FALSE)</f>
        <v>5323.22</v>
      </c>
      <c r="G255" s="484">
        <f t="shared" si="15"/>
        <v>-2.2192815076119699E-3</v>
      </c>
      <c r="J255" s="483">
        <f t="shared" si="12"/>
        <v>-3.5809411068363328E-2</v>
      </c>
      <c r="K255" s="484">
        <f t="shared" si="13"/>
        <v>-2.3344280541429008E-2</v>
      </c>
    </row>
    <row r="256" spans="1:11" x14ac:dyDescent="0.35">
      <c r="A256" s="490">
        <v>45572</v>
      </c>
      <c r="B256" s="491">
        <f>VLOOKUP(A256,'[2]GP Data'!$A$3:$B$1639, 2, FALSE)</f>
        <v>325.8</v>
      </c>
      <c r="C256" s="483">
        <f t="shared" si="14"/>
        <v>-3.5809411068363328E-2</v>
      </c>
      <c r="E256" s="492">
        <v>45572</v>
      </c>
      <c r="F256" s="493">
        <f>VLOOKUP(E256,'[2]GP Data'!$D$3:$E$1530, 2, FALSE)</f>
        <v>5335.06</v>
      </c>
      <c r="G256" s="484">
        <f t="shared" si="15"/>
        <v>-2.3344280541429008E-2</v>
      </c>
      <c r="J256" s="483">
        <f t="shared" si="12"/>
        <v>-9.381413075344569E-3</v>
      </c>
      <c r="K256" s="484">
        <f t="shared" si="13"/>
        <v>1.5749937201938735E-3</v>
      </c>
    </row>
    <row r="257" spans="1:11" x14ac:dyDescent="0.35">
      <c r="A257" s="490">
        <v>45568</v>
      </c>
      <c r="B257" s="491">
        <f>VLOOKUP(A257,'[2]GP Data'!$A$3:$B$1639, 2, FALSE)</f>
        <v>337.9</v>
      </c>
      <c r="C257" s="483">
        <f t="shared" si="14"/>
        <v>-9.381413075344569E-3</v>
      </c>
      <c r="E257" s="492">
        <v>45568</v>
      </c>
      <c r="F257" s="493">
        <f>VLOOKUP(E257,'[2]GP Data'!$D$3:$E$1530, 2, FALSE)</f>
        <v>5462.58</v>
      </c>
      <c r="G257" s="484">
        <f t="shared" si="15"/>
        <v>1.5749937201938735E-3</v>
      </c>
      <c r="J257" s="483">
        <f t="shared" si="12"/>
        <v>-2.1233859397417398E-2</v>
      </c>
      <c r="K257" s="484">
        <f t="shared" si="13"/>
        <v>-2.3682981012443038E-2</v>
      </c>
    </row>
    <row r="258" spans="1:11" x14ac:dyDescent="0.35">
      <c r="A258" s="490">
        <v>45567</v>
      </c>
      <c r="B258" s="491">
        <f>VLOOKUP(A258,'[2]GP Data'!$A$3:$B$1639, 2, FALSE)</f>
        <v>341.1</v>
      </c>
      <c r="C258" s="483">
        <f t="shared" si="14"/>
        <v>-2.1233859397417398E-2</v>
      </c>
      <c r="E258" s="492">
        <v>45567</v>
      </c>
      <c r="F258" s="493">
        <f>VLOOKUP(E258,'[2]GP Data'!$D$3:$E$1530, 2, FALSE)</f>
        <v>5453.99</v>
      </c>
      <c r="G258" s="484">
        <f t="shared" si="15"/>
        <v>-2.3682981012443038E-2</v>
      </c>
      <c r="J258" s="483">
        <f t="shared" si="12"/>
        <v>-4.8543689320388328E-3</v>
      </c>
      <c r="K258" s="484">
        <f t="shared" si="13"/>
        <v>-6.7934927549115898E-3</v>
      </c>
    </row>
    <row r="259" spans="1:11" x14ac:dyDescent="0.35">
      <c r="A259" s="490">
        <v>45566</v>
      </c>
      <c r="B259" s="491">
        <f>VLOOKUP(A259,'[2]GP Data'!$A$3:$B$1639, 2, FALSE)</f>
        <v>348.5</v>
      </c>
      <c r="C259" s="483">
        <f t="shared" si="14"/>
        <v>-4.8543689320388328E-3</v>
      </c>
      <c r="E259" s="492">
        <v>45566</v>
      </c>
      <c r="F259" s="493">
        <f>VLOOKUP(E259,'[2]GP Data'!$D$3:$E$1530, 2, FALSE)</f>
        <v>5586.29</v>
      </c>
      <c r="G259" s="484">
        <f t="shared" si="15"/>
        <v>-6.7934927549115898E-3</v>
      </c>
      <c r="J259" s="483">
        <f t="shared" ref="J259:J322" si="16">(B260/B261)-1</f>
        <v>2.2896393817974925E-3</v>
      </c>
      <c r="K259" s="484">
        <f t="shared" ref="K259:K322" si="17">(F260/F261)-1</f>
        <v>-2.5943718268598426E-3</v>
      </c>
    </row>
    <row r="260" spans="1:11" x14ac:dyDescent="0.35">
      <c r="A260" s="490">
        <v>45565</v>
      </c>
      <c r="B260" s="491">
        <f>VLOOKUP(A260,'[2]GP Data'!$A$3:$B$1639, 2, FALSE)</f>
        <v>350.2</v>
      </c>
      <c r="C260" s="483">
        <f t="shared" ref="C260:C323" si="18">(B260/B261)-1</f>
        <v>2.2896393817974925E-3</v>
      </c>
      <c r="E260" s="492">
        <v>45565</v>
      </c>
      <c r="F260" s="493">
        <f>VLOOKUP(E260,'[2]GP Data'!$D$3:$E$1530, 2, FALSE)</f>
        <v>5624.5</v>
      </c>
      <c r="G260" s="484">
        <f t="shared" ref="G260:G323" si="19">(F260/F261)-1</f>
        <v>-2.5943718268598426E-3</v>
      </c>
      <c r="J260" s="483">
        <f t="shared" si="16"/>
        <v>-5.69151963574277E-3</v>
      </c>
      <c r="K260" s="484">
        <f t="shared" si="17"/>
        <v>-1.6975478121715182E-2</v>
      </c>
    </row>
    <row r="261" spans="1:11" x14ac:dyDescent="0.35">
      <c r="A261" s="490">
        <v>45561</v>
      </c>
      <c r="B261" s="491">
        <f>VLOOKUP(A261,'[2]GP Data'!$A$3:$B$1639, 2, FALSE)</f>
        <v>349.4</v>
      </c>
      <c r="C261" s="483">
        <f t="shared" si="18"/>
        <v>-5.69151963574277E-3</v>
      </c>
      <c r="E261" s="492">
        <v>45561</v>
      </c>
      <c r="F261" s="493">
        <f>VLOOKUP(E261,'[2]GP Data'!$D$3:$E$1530, 2, FALSE)</f>
        <v>5639.13</v>
      </c>
      <c r="G261" s="484">
        <f t="shared" si="19"/>
        <v>-1.6975478121715182E-2</v>
      </c>
      <c r="J261" s="483">
        <f t="shared" si="16"/>
        <v>5.7240984544935092E-3</v>
      </c>
      <c r="K261" s="484">
        <f t="shared" si="17"/>
        <v>-7.1738122105379221E-3</v>
      </c>
    </row>
    <row r="262" spans="1:11" x14ac:dyDescent="0.35">
      <c r="A262" s="490">
        <v>45560</v>
      </c>
      <c r="B262" s="491">
        <f>VLOOKUP(A262,'[2]GP Data'!$A$3:$B$1639, 2, FALSE)</f>
        <v>351.4</v>
      </c>
      <c r="C262" s="483">
        <f t="shared" si="18"/>
        <v>5.7240984544935092E-3</v>
      </c>
      <c r="E262" s="492">
        <v>45560</v>
      </c>
      <c r="F262" s="493">
        <f>VLOOKUP(E262,'[2]GP Data'!$D$3:$E$1530, 2, FALSE)</f>
        <v>5736.51</v>
      </c>
      <c r="G262" s="484">
        <f t="shared" si="19"/>
        <v>-7.1738122105379221E-3</v>
      </c>
      <c r="J262" s="483">
        <f t="shared" si="16"/>
        <v>1.9253208868144522E-2</v>
      </c>
      <c r="K262" s="484">
        <f t="shared" si="17"/>
        <v>3.0501407022787141E-3</v>
      </c>
    </row>
    <row r="263" spans="1:11" x14ac:dyDescent="0.35">
      <c r="A263" s="490">
        <v>45559</v>
      </c>
      <c r="B263" s="491">
        <f>VLOOKUP(A263,'[2]GP Data'!$A$3:$B$1639, 2, FALSE)</f>
        <v>349.4</v>
      </c>
      <c r="C263" s="483">
        <f t="shared" si="18"/>
        <v>1.9253208868144522E-2</v>
      </c>
      <c r="E263" s="492">
        <v>45559</v>
      </c>
      <c r="F263" s="493">
        <f>VLOOKUP(E263,'[2]GP Data'!$D$3:$E$1530, 2, FALSE)</f>
        <v>5777.96</v>
      </c>
      <c r="G263" s="484">
        <f t="shared" si="19"/>
        <v>3.0501407022787141E-3</v>
      </c>
      <c r="J263" s="483">
        <f t="shared" si="16"/>
        <v>-1.7472335468839972E-3</v>
      </c>
      <c r="K263" s="484">
        <f t="shared" si="17"/>
        <v>4.3799158540052119E-3</v>
      </c>
    </row>
    <row r="264" spans="1:11" x14ac:dyDescent="0.35">
      <c r="A264" s="490">
        <v>45558</v>
      </c>
      <c r="B264" s="491">
        <f>VLOOKUP(A264,'[2]GP Data'!$A$3:$B$1639, 2, FALSE)</f>
        <v>342.8</v>
      </c>
      <c r="C264" s="483">
        <f t="shared" si="18"/>
        <v>-1.7472335468839972E-3</v>
      </c>
      <c r="E264" s="492">
        <v>45558</v>
      </c>
      <c r="F264" s="493">
        <f>VLOOKUP(E264,'[2]GP Data'!$D$3:$E$1530, 2, FALSE)</f>
        <v>5760.39</v>
      </c>
      <c r="G264" s="484">
        <f t="shared" si="19"/>
        <v>4.3799158540052119E-3</v>
      </c>
      <c r="J264" s="483">
        <f t="shared" si="16"/>
        <v>4.535768645357674E-2</v>
      </c>
      <c r="K264" s="484">
        <f t="shared" si="17"/>
        <v>7.2232154460549758E-3</v>
      </c>
    </row>
    <row r="265" spans="1:11" x14ac:dyDescent="0.35">
      <c r="A265" s="490">
        <v>45554</v>
      </c>
      <c r="B265" s="491">
        <f>VLOOKUP(A265,'[2]GP Data'!$A$3:$B$1639, 2, FALSE)</f>
        <v>343.4</v>
      </c>
      <c r="C265" s="483">
        <f t="shared" si="18"/>
        <v>4.535768645357674E-2</v>
      </c>
      <c r="E265" s="492">
        <v>45554</v>
      </c>
      <c r="F265" s="493">
        <f>VLOOKUP(E265,'[2]GP Data'!$D$3:$E$1530, 2, FALSE)</f>
        <v>5735.27</v>
      </c>
      <c r="G265" s="484">
        <f t="shared" si="19"/>
        <v>7.2232154460549758E-3</v>
      </c>
      <c r="J265" s="483">
        <f t="shared" si="16"/>
        <v>-6.9528415961306322E-3</v>
      </c>
      <c r="K265" s="484">
        <f t="shared" si="17"/>
        <v>2.2071247535906391E-3</v>
      </c>
    </row>
    <row r="266" spans="1:11" x14ac:dyDescent="0.35">
      <c r="A266" s="490">
        <v>45553</v>
      </c>
      <c r="B266" s="491">
        <f>VLOOKUP(A266,'[2]GP Data'!$A$3:$B$1639, 2, FALSE)</f>
        <v>328.5</v>
      </c>
      <c r="C266" s="483">
        <f t="shared" si="18"/>
        <v>-6.9528415961306322E-3</v>
      </c>
      <c r="E266" s="492">
        <v>45553</v>
      </c>
      <c r="F266" s="493">
        <f>VLOOKUP(E266,'[2]GP Data'!$D$3:$E$1530, 2, FALSE)</f>
        <v>5694.14</v>
      </c>
      <c r="G266" s="484">
        <f t="shared" si="19"/>
        <v>2.2071247535906391E-3</v>
      </c>
      <c r="J266" s="483">
        <f t="shared" si="16"/>
        <v>-2.4125452352231624E-3</v>
      </c>
      <c r="K266" s="484">
        <f t="shared" si="17"/>
        <v>-7.8442055559048152E-3</v>
      </c>
    </row>
    <row r="267" spans="1:11" x14ac:dyDescent="0.35">
      <c r="A267" s="490">
        <v>45552</v>
      </c>
      <c r="B267" s="491">
        <f>VLOOKUP(A267,'[2]GP Data'!$A$3:$B$1639, 2, FALSE)</f>
        <v>330.8</v>
      </c>
      <c r="C267" s="483">
        <f t="shared" si="18"/>
        <v>-2.4125452352231624E-3</v>
      </c>
      <c r="E267" s="492">
        <v>45552</v>
      </c>
      <c r="F267" s="493">
        <f>VLOOKUP(E267,'[2]GP Data'!$D$3:$E$1530, 2, FALSE)</f>
        <v>5681.6</v>
      </c>
      <c r="G267" s="484">
        <f t="shared" si="19"/>
        <v>-7.8442055559048152E-3</v>
      </c>
      <c r="J267" s="483">
        <f t="shared" si="16"/>
        <v>-1.4268727705112783E-2</v>
      </c>
      <c r="K267" s="484">
        <f t="shared" si="17"/>
        <v>2.1981252931417838E-3</v>
      </c>
    </row>
    <row r="268" spans="1:11" x14ac:dyDescent="0.35">
      <c r="A268" s="490">
        <v>45547</v>
      </c>
      <c r="B268" s="491">
        <f>VLOOKUP(A268,'[2]GP Data'!$A$3:$B$1639, 2, FALSE)</f>
        <v>331.6</v>
      </c>
      <c r="C268" s="483">
        <f t="shared" si="18"/>
        <v>-1.4268727705112783E-2</v>
      </c>
      <c r="E268" s="492">
        <v>45547</v>
      </c>
      <c r="F268" s="493">
        <f>VLOOKUP(E268,'[2]GP Data'!$D$3:$E$1530, 2, FALSE)</f>
        <v>5726.52</v>
      </c>
      <c r="G268" s="484">
        <f t="shared" si="19"/>
        <v>2.1981252931417838E-3</v>
      </c>
      <c r="J268" s="483">
        <f t="shared" si="16"/>
        <v>-1.0005885815185467E-2</v>
      </c>
      <c r="K268" s="484">
        <f t="shared" si="17"/>
        <v>1.9516625955884326E-3</v>
      </c>
    </row>
    <row r="269" spans="1:11" x14ac:dyDescent="0.35">
      <c r="A269" s="490">
        <v>45546</v>
      </c>
      <c r="B269" s="491">
        <f>VLOOKUP(A269,'[2]GP Data'!$A$3:$B$1639, 2, FALSE)</f>
        <v>336.4</v>
      </c>
      <c r="C269" s="483">
        <f t="shared" si="18"/>
        <v>-1.0005885815185467E-2</v>
      </c>
      <c r="E269" s="492">
        <v>45546</v>
      </c>
      <c r="F269" s="493">
        <f>VLOOKUP(E269,'[2]GP Data'!$D$3:$E$1530, 2, FALSE)</f>
        <v>5713.96</v>
      </c>
      <c r="G269" s="484">
        <f t="shared" si="19"/>
        <v>1.9516625955884326E-3</v>
      </c>
      <c r="J269" s="483">
        <f t="shared" si="16"/>
        <v>3.2477118393858806E-3</v>
      </c>
      <c r="K269" s="484">
        <f t="shared" si="17"/>
        <v>1.3018825694461666E-2</v>
      </c>
    </row>
    <row r="270" spans="1:11" x14ac:dyDescent="0.35">
      <c r="A270" s="490">
        <v>45545</v>
      </c>
      <c r="B270" s="491">
        <f>VLOOKUP(A270,'[2]GP Data'!$A$3:$B$1639, 2, FALSE)</f>
        <v>339.8</v>
      </c>
      <c r="C270" s="483">
        <f t="shared" si="18"/>
        <v>3.2477118393858806E-3</v>
      </c>
      <c r="E270" s="492">
        <v>45545</v>
      </c>
      <c r="F270" s="493">
        <f>VLOOKUP(E270,'[2]GP Data'!$D$3:$E$1530, 2, FALSE)</f>
        <v>5702.83</v>
      </c>
      <c r="G270" s="484">
        <f t="shared" si="19"/>
        <v>1.3018825694461666E-2</v>
      </c>
      <c r="J270" s="483">
        <f t="shared" si="16"/>
        <v>8.8652482269502286E-4</v>
      </c>
      <c r="K270" s="484">
        <f t="shared" si="17"/>
        <v>-1.7300760214011945E-2</v>
      </c>
    </row>
    <row r="271" spans="1:11" x14ac:dyDescent="0.35">
      <c r="A271" s="490">
        <v>45544</v>
      </c>
      <c r="B271" s="491">
        <f>VLOOKUP(A271,'[2]GP Data'!$A$3:$B$1639, 2, FALSE)</f>
        <v>338.7</v>
      </c>
      <c r="C271" s="483">
        <f t="shared" si="18"/>
        <v>8.8652482269502286E-4</v>
      </c>
      <c r="E271" s="492">
        <v>45544</v>
      </c>
      <c r="F271" s="493">
        <f>VLOOKUP(E271,'[2]GP Data'!$D$3:$E$1530, 2, FALSE)</f>
        <v>5629.54</v>
      </c>
      <c r="G271" s="484">
        <f t="shared" si="19"/>
        <v>-1.7300760214011945E-2</v>
      </c>
      <c r="J271" s="483">
        <f t="shared" si="16"/>
        <v>-5.5833088451366919E-3</v>
      </c>
      <c r="K271" s="484">
        <f t="shared" si="17"/>
        <v>-1.8156251796893619E-3</v>
      </c>
    </row>
    <row r="272" spans="1:11" x14ac:dyDescent="0.35">
      <c r="A272" s="490">
        <v>45540</v>
      </c>
      <c r="B272" s="491">
        <f>VLOOKUP(A272,'[2]GP Data'!$A$3:$B$1639, 2, FALSE)</f>
        <v>338.4</v>
      </c>
      <c r="C272" s="483">
        <f t="shared" si="18"/>
        <v>-5.5833088451366919E-3</v>
      </c>
      <c r="E272" s="492">
        <v>45540</v>
      </c>
      <c r="F272" s="493">
        <f>VLOOKUP(E272,'[2]GP Data'!$D$3:$E$1530, 2, FALSE)</f>
        <v>5728.65</v>
      </c>
      <c r="G272" s="484">
        <f t="shared" si="19"/>
        <v>-1.8156251796893619E-3</v>
      </c>
      <c r="J272" s="483">
        <f t="shared" si="16"/>
        <v>-9.0273733255678001E-3</v>
      </c>
      <c r="K272" s="484">
        <f t="shared" si="17"/>
        <v>-8.2000926290759502E-3</v>
      </c>
    </row>
    <row r="273" spans="1:11" x14ac:dyDescent="0.35">
      <c r="A273" s="490">
        <v>45539</v>
      </c>
      <c r="B273" s="491">
        <f>VLOOKUP(A273,'[2]GP Data'!$A$3:$B$1639, 2, FALSE)</f>
        <v>340.3</v>
      </c>
      <c r="C273" s="483">
        <f t="shared" si="18"/>
        <v>-9.0273733255678001E-3</v>
      </c>
      <c r="E273" s="492">
        <v>45539</v>
      </c>
      <c r="F273" s="493">
        <f>VLOOKUP(E273,'[2]GP Data'!$D$3:$E$1530, 2, FALSE)</f>
        <v>5739.07</v>
      </c>
      <c r="G273" s="484">
        <f t="shared" si="19"/>
        <v>-8.2000926290759502E-3</v>
      </c>
      <c r="J273" s="483">
        <f t="shared" si="16"/>
        <v>1.4581510644502416E-3</v>
      </c>
      <c r="K273" s="484">
        <f t="shared" si="17"/>
        <v>-2.9618985097462636E-3</v>
      </c>
    </row>
    <row r="274" spans="1:11" x14ac:dyDescent="0.35">
      <c r="A274" s="490">
        <v>45538</v>
      </c>
      <c r="B274" s="491">
        <f>VLOOKUP(A274,'[2]GP Data'!$A$3:$B$1639, 2, FALSE)</f>
        <v>343.4</v>
      </c>
      <c r="C274" s="483">
        <f t="shared" si="18"/>
        <v>1.4581510644502416E-3</v>
      </c>
      <c r="E274" s="492">
        <v>45538</v>
      </c>
      <c r="F274" s="493">
        <f>VLOOKUP(E274,'[2]GP Data'!$D$3:$E$1530, 2, FALSE)</f>
        <v>5786.52</v>
      </c>
      <c r="G274" s="484">
        <f t="shared" si="19"/>
        <v>-2.9618985097462636E-3</v>
      </c>
      <c r="J274" s="483">
        <f t="shared" si="16"/>
        <v>-3.1976744186047457E-3</v>
      </c>
      <c r="K274" s="484">
        <f t="shared" si="17"/>
        <v>-1.2232057638839056E-4</v>
      </c>
    </row>
    <row r="275" spans="1:11" x14ac:dyDescent="0.35">
      <c r="A275" s="490">
        <v>45537</v>
      </c>
      <c r="B275" s="491">
        <f>VLOOKUP(A275,'[2]GP Data'!$A$3:$B$1639, 2, FALSE)</f>
        <v>342.9</v>
      </c>
      <c r="C275" s="483">
        <f t="shared" si="18"/>
        <v>-3.1976744186047457E-3</v>
      </c>
      <c r="E275" s="492">
        <v>45537</v>
      </c>
      <c r="F275" s="493">
        <f>VLOOKUP(E275,'[2]GP Data'!$D$3:$E$1530, 2, FALSE)</f>
        <v>5803.71</v>
      </c>
      <c r="G275" s="484">
        <f t="shared" si="19"/>
        <v>-1.2232057638839056E-4</v>
      </c>
      <c r="J275" s="483">
        <f t="shared" si="16"/>
        <v>-1.4044138721696742E-2</v>
      </c>
      <c r="K275" s="484">
        <f t="shared" si="17"/>
        <v>8.2877198955653153E-3</v>
      </c>
    </row>
    <row r="276" spans="1:11" x14ac:dyDescent="0.35">
      <c r="A276" s="490">
        <v>45533</v>
      </c>
      <c r="B276" s="491">
        <f>VLOOKUP(A276,'[2]GP Data'!$A$3:$B$1639, 2, FALSE)</f>
        <v>344</v>
      </c>
      <c r="C276" s="483">
        <f t="shared" si="18"/>
        <v>-1.4044138721696742E-2</v>
      </c>
      <c r="E276" s="492">
        <v>45533</v>
      </c>
      <c r="F276" s="493">
        <f>VLOOKUP(E276,'[2]GP Data'!$D$3:$E$1530, 2, FALSE)</f>
        <v>5804.42</v>
      </c>
      <c r="G276" s="484">
        <f t="shared" si="19"/>
        <v>8.2877198955653153E-3</v>
      </c>
      <c r="J276" s="483">
        <f t="shared" si="16"/>
        <v>5.7913887204366077E-2</v>
      </c>
      <c r="K276" s="484">
        <f t="shared" si="17"/>
        <v>1.2474981444938082E-2</v>
      </c>
    </row>
    <row r="277" spans="1:11" x14ac:dyDescent="0.35">
      <c r="A277" s="490">
        <v>45532</v>
      </c>
      <c r="B277" s="491">
        <f>VLOOKUP(A277,'[2]GP Data'!$A$3:$B$1639, 2, FALSE)</f>
        <v>348.9</v>
      </c>
      <c r="C277" s="483">
        <f t="shared" si="18"/>
        <v>5.7913887204366077E-2</v>
      </c>
      <c r="E277" s="492">
        <v>45532</v>
      </c>
      <c r="F277" s="493">
        <f>VLOOKUP(E277,'[2]GP Data'!$D$3:$E$1530, 2, FALSE)</f>
        <v>5756.71</v>
      </c>
      <c r="G277" s="484">
        <f t="shared" si="19"/>
        <v>1.2474981444938082E-2</v>
      </c>
      <c r="J277" s="483">
        <f t="shared" si="16"/>
        <v>-4.7371461582899954E-2</v>
      </c>
      <c r="K277" s="484">
        <f t="shared" si="17"/>
        <v>-2.4807365717414154E-3</v>
      </c>
    </row>
    <row r="278" spans="1:11" x14ac:dyDescent="0.35">
      <c r="A278" s="490">
        <v>45531</v>
      </c>
      <c r="B278" s="491">
        <f>VLOOKUP(A278,'[2]GP Data'!$A$3:$B$1639, 2, FALSE)</f>
        <v>329.8</v>
      </c>
      <c r="C278" s="483">
        <f t="shared" si="18"/>
        <v>-4.7371461582899954E-2</v>
      </c>
      <c r="E278" s="492">
        <v>45531</v>
      </c>
      <c r="F278" s="493">
        <f>VLOOKUP(E278,'[2]GP Data'!$D$3:$E$1530, 2, FALSE)</f>
        <v>5685.78</v>
      </c>
      <c r="G278" s="484">
        <f t="shared" si="19"/>
        <v>-2.4807365717414154E-3</v>
      </c>
      <c r="J278" s="483">
        <f t="shared" si="16"/>
        <v>3.6526946107784397E-2</v>
      </c>
      <c r="K278" s="484">
        <f t="shared" si="17"/>
        <v>1.6579394181517326E-2</v>
      </c>
    </row>
    <row r="279" spans="1:11" x14ac:dyDescent="0.35">
      <c r="A279" s="490">
        <v>45526</v>
      </c>
      <c r="B279" s="491">
        <f>VLOOKUP(A279,'[2]GP Data'!$A$3:$B$1639, 2, FALSE)</f>
        <v>346.2</v>
      </c>
      <c r="C279" s="483">
        <f t="shared" si="18"/>
        <v>3.6526946107784397E-2</v>
      </c>
      <c r="E279" s="492">
        <v>45526</v>
      </c>
      <c r="F279" s="493">
        <f>VLOOKUP(E279,'[2]GP Data'!$D$3:$E$1530, 2, FALSE)</f>
        <v>5699.92</v>
      </c>
      <c r="G279" s="484">
        <f t="shared" si="19"/>
        <v>1.6579394181517326E-2</v>
      </c>
      <c r="J279" s="483">
        <f t="shared" si="16"/>
        <v>-2.9915771129828683E-2</v>
      </c>
      <c r="K279" s="484">
        <f t="shared" si="17"/>
        <v>-1.8966434310349611E-2</v>
      </c>
    </row>
    <row r="280" spans="1:11" x14ac:dyDescent="0.35">
      <c r="A280" s="490">
        <v>45525</v>
      </c>
      <c r="B280" s="491">
        <f>VLOOKUP(A280,'[2]GP Data'!$A$3:$B$1639, 2, FALSE)</f>
        <v>334</v>
      </c>
      <c r="C280" s="483">
        <f t="shared" si="18"/>
        <v>-2.9915771129828683E-2</v>
      </c>
      <c r="E280" s="492">
        <v>45525</v>
      </c>
      <c r="F280" s="493">
        <f>VLOOKUP(E280,'[2]GP Data'!$D$3:$E$1530, 2, FALSE)</f>
        <v>5606.96</v>
      </c>
      <c r="G280" s="484">
        <f t="shared" si="19"/>
        <v>-1.8966434310349611E-2</v>
      </c>
      <c r="J280" s="483">
        <f t="shared" si="16"/>
        <v>-2.9594137542277354E-2</v>
      </c>
      <c r="K280" s="484">
        <f t="shared" si="17"/>
        <v>-1.0411237834365594E-2</v>
      </c>
    </row>
    <row r="281" spans="1:11" x14ac:dyDescent="0.35">
      <c r="A281" s="490">
        <v>45524</v>
      </c>
      <c r="B281" s="491">
        <f>VLOOKUP(A281,'[2]GP Data'!$A$3:$B$1639, 2, FALSE)</f>
        <v>344.3</v>
      </c>
      <c r="C281" s="483">
        <f t="shared" si="18"/>
        <v>-2.9594137542277354E-2</v>
      </c>
      <c r="E281" s="492">
        <v>45524</v>
      </c>
      <c r="F281" s="493">
        <f>VLOOKUP(E281,'[2]GP Data'!$D$3:$E$1530, 2, FALSE)</f>
        <v>5715.36</v>
      </c>
      <c r="G281" s="484">
        <f t="shared" si="19"/>
        <v>-1.0411237834365594E-2</v>
      </c>
      <c r="J281" s="483">
        <f t="shared" si="16"/>
        <v>-5.888594164456229E-2</v>
      </c>
      <c r="K281" s="484">
        <f t="shared" si="17"/>
        <v>-2.1740087807257669E-2</v>
      </c>
    </row>
    <row r="282" spans="1:11" x14ac:dyDescent="0.35">
      <c r="A282" s="490">
        <v>45523</v>
      </c>
      <c r="B282" s="491">
        <f>VLOOKUP(A282,'[2]GP Data'!$A$3:$B$1639, 2, FALSE)</f>
        <v>354.8</v>
      </c>
      <c r="C282" s="483">
        <f t="shared" si="18"/>
        <v>-5.888594164456229E-2</v>
      </c>
      <c r="E282" s="492">
        <v>45523</v>
      </c>
      <c r="F282" s="493">
        <f>VLOOKUP(E282,'[2]GP Data'!$D$3:$E$1530, 2, FALSE)</f>
        <v>5775.49</v>
      </c>
      <c r="G282" s="484">
        <f t="shared" si="19"/>
        <v>-2.1740087807257669E-2</v>
      </c>
      <c r="J282" s="483">
        <f t="shared" si="16"/>
        <v>-5.8016877637130371E-3</v>
      </c>
      <c r="K282" s="484">
        <f t="shared" si="17"/>
        <v>-8.219702760227654E-3</v>
      </c>
    </row>
    <row r="283" spans="1:11" x14ac:dyDescent="0.35">
      <c r="A283" s="490">
        <v>45519</v>
      </c>
      <c r="B283" s="491">
        <f>VLOOKUP(A283,'[2]GP Data'!$A$3:$B$1639, 2, FALSE)</f>
        <v>377</v>
      </c>
      <c r="C283" s="483">
        <f t="shared" si="18"/>
        <v>-5.8016877637130371E-3</v>
      </c>
      <c r="E283" s="492">
        <v>45519</v>
      </c>
      <c r="F283" s="493">
        <f>VLOOKUP(E283,'[2]GP Data'!$D$3:$E$1530, 2, FALSE)</f>
        <v>5903.84</v>
      </c>
      <c r="G283" s="484">
        <f t="shared" si="19"/>
        <v>-8.219702760227654E-3</v>
      </c>
      <c r="J283" s="483">
        <f t="shared" si="16"/>
        <v>6.6666666666666652E-2</v>
      </c>
      <c r="K283" s="484">
        <f t="shared" si="17"/>
        <v>3.4539839656928528E-3</v>
      </c>
    </row>
    <row r="284" spans="1:11" x14ac:dyDescent="0.35">
      <c r="A284" s="490">
        <v>45518</v>
      </c>
      <c r="B284" s="491">
        <f>VLOOKUP(A284,'[2]GP Data'!$A$3:$B$1639, 2, FALSE)</f>
        <v>379.2</v>
      </c>
      <c r="C284" s="483">
        <f t="shared" si="18"/>
        <v>6.6666666666666652E-2</v>
      </c>
      <c r="E284" s="492">
        <v>45518</v>
      </c>
      <c r="F284" s="493">
        <f>VLOOKUP(E284,'[2]GP Data'!$D$3:$E$1530, 2, FALSE)</f>
        <v>5952.77</v>
      </c>
      <c r="G284" s="484">
        <f t="shared" si="19"/>
        <v>3.4539839656928528E-3</v>
      </c>
      <c r="J284" s="483">
        <f t="shared" si="16"/>
        <v>0.11862806796727488</v>
      </c>
      <c r="K284" s="484">
        <f t="shared" si="17"/>
        <v>1.2607999243856582E-3</v>
      </c>
    </row>
    <row r="285" spans="1:11" x14ac:dyDescent="0.35">
      <c r="A285" s="490">
        <v>45516</v>
      </c>
      <c r="B285" s="491">
        <f>VLOOKUP(A285,'[2]GP Data'!$A$3:$B$1639, 2, FALSE)</f>
        <v>355.5</v>
      </c>
      <c r="C285" s="483">
        <f t="shared" si="18"/>
        <v>0.11862806796727488</v>
      </c>
      <c r="E285" s="492">
        <v>45516</v>
      </c>
      <c r="F285" s="493">
        <f>VLOOKUP(E285,'[2]GP Data'!$D$3:$E$1530, 2, FALSE)</f>
        <v>5932.28</v>
      </c>
      <c r="G285" s="484">
        <f t="shared" si="19"/>
        <v>1.2607999243856582E-3</v>
      </c>
      <c r="J285" s="483">
        <f t="shared" si="16"/>
        <v>8.7239137872049177E-2</v>
      </c>
      <c r="K285" s="484">
        <f t="shared" si="17"/>
        <v>5.4463683462097734E-2</v>
      </c>
    </row>
    <row r="286" spans="1:11" x14ac:dyDescent="0.35">
      <c r="A286" s="490">
        <v>45512</v>
      </c>
      <c r="B286" s="491">
        <f>VLOOKUP(A286,'[2]GP Data'!$A$3:$B$1639, 2, FALSE)</f>
        <v>317.8</v>
      </c>
      <c r="C286" s="483">
        <f t="shared" si="18"/>
        <v>8.7239137872049177E-2</v>
      </c>
      <c r="E286" s="492">
        <v>45512</v>
      </c>
      <c r="F286" s="493">
        <f>VLOOKUP(E286,'[2]GP Data'!$D$3:$E$1530, 2, FALSE)</f>
        <v>5924.81</v>
      </c>
      <c r="G286" s="484">
        <f t="shared" si="19"/>
        <v>5.4463683462097734E-2</v>
      </c>
      <c r="J286" s="483">
        <f t="shared" si="16"/>
        <v>8.7425595238095344E-2</v>
      </c>
      <c r="K286" s="484">
        <f t="shared" si="17"/>
        <v>3.5450628591225941E-2</v>
      </c>
    </row>
    <row r="287" spans="1:11" x14ac:dyDescent="0.35">
      <c r="A287" s="490">
        <v>45511</v>
      </c>
      <c r="B287" s="491">
        <f>VLOOKUP(A287,'[2]GP Data'!$A$3:$B$1639, 2, FALSE)</f>
        <v>292.3</v>
      </c>
      <c r="C287" s="483">
        <f t="shared" si="18"/>
        <v>8.7425595238095344E-2</v>
      </c>
      <c r="E287" s="492">
        <v>45511</v>
      </c>
      <c r="F287" s="493">
        <f>VLOOKUP(E287,'[2]GP Data'!$D$3:$E$1530, 2, FALSE)</f>
        <v>5618.79</v>
      </c>
      <c r="G287" s="484">
        <f t="shared" si="19"/>
        <v>3.5450628591225941E-2</v>
      </c>
      <c r="J287" s="483">
        <f t="shared" si="16"/>
        <v>5.4945054945054972E-2</v>
      </c>
      <c r="K287" s="484">
        <f t="shared" si="17"/>
        <v>1.7338027799338018E-2</v>
      </c>
    </row>
    <row r="288" spans="1:11" x14ac:dyDescent="0.35">
      <c r="A288" s="490">
        <v>45510</v>
      </c>
      <c r="B288" s="491">
        <f>VLOOKUP(A288,'[2]GP Data'!$A$3:$B$1639, 2, FALSE)</f>
        <v>268.8</v>
      </c>
      <c r="C288" s="483">
        <f t="shared" si="18"/>
        <v>5.4945054945054972E-2</v>
      </c>
      <c r="E288" s="492">
        <v>45510</v>
      </c>
      <c r="F288" s="493">
        <f>VLOOKUP(E288,'[2]GP Data'!$D$3:$E$1530, 2, FALSE)</f>
        <v>5426.42</v>
      </c>
      <c r="G288" s="484">
        <f t="shared" si="19"/>
        <v>1.7338027799338018E-2</v>
      </c>
      <c r="J288" s="483">
        <f t="shared" si="16"/>
        <v>9.108910891089117E-3</v>
      </c>
      <c r="K288" s="484">
        <f t="shared" si="17"/>
        <v>1.0125992572630693E-2</v>
      </c>
    </row>
    <row r="289" spans="1:11" x14ac:dyDescent="0.35">
      <c r="A289" s="490">
        <v>45505</v>
      </c>
      <c r="B289" s="491">
        <f>VLOOKUP(A289,'[2]GP Data'!$A$3:$B$1639, 2, FALSE)</f>
        <v>254.8</v>
      </c>
      <c r="C289" s="483">
        <f t="shared" si="18"/>
        <v>9.108910891089117E-3</v>
      </c>
      <c r="E289" s="492">
        <v>45505</v>
      </c>
      <c r="F289" s="493">
        <f>VLOOKUP(E289,'[2]GP Data'!$D$3:$E$1530, 2, FALSE)</f>
        <v>5333.94</v>
      </c>
      <c r="G289" s="484">
        <f t="shared" si="19"/>
        <v>1.0125992572630693E-2</v>
      </c>
      <c r="J289" s="483">
        <f t="shared" si="16"/>
        <v>6.7783094098883279E-3</v>
      </c>
      <c r="K289" s="484">
        <f t="shared" si="17"/>
        <v>2.0760864820961178E-3</v>
      </c>
    </row>
    <row r="290" spans="1:11" x14ac:dyDescent="0.35">
      <c r="A290" s="490">
        <v>45504</v>
      </c>
      <c r="B290" s="491">
        <f>VLOOKUP(A290,'[2]GP Data'!$A$3:$B$1639, 2, FALSE)</f>
        <v>252.5</v>
      </c>
      <c r="C290" s="483">
        <f t="shared" si="18"/>
        <v>6.7783094098883279E-3</v>
      </c>
      <c r="E290" s="492">
        <v>45504</v>
      </c>
      <c r="F290" s="493">
        <f>VLOOKUP(E290,'[2]GP Data'!$D$3:$E$1530, 2, FALSE)</f>
        <v>5280.47</v>
      </c>
      <c r="G290" s="484">
        <f t="shared" si="19"/>
        <v>2.0760864820961178E-3</v>
      </c>
      <c r="J290" s="483">
        <f t="shared" si="16"/>
        <v>-1.337529504327295E-2</v>
      </c>
      <c r="K290" s="484">
        <f t="shared" si="17"/>
        <v>-1.1389731044005535E-2</v>
      </c>
    </row>
    <row r="291" spans="1:11" x14ac:dyDescent="0.35">
      <c r="A291" s="490">
        <v>45503</v>
      </c>
      <c r="B291" s="491">
        <f>VLOOKUP(A291,'[2]GP Data'!$A$3:$B$1639, 2, FALSE)</f>
        <v>250.8</v>
      </c>
      <c r="C291" s="483">
        <f t="shared" si="18"/>
        <v>-1.337529504327295E-2</v>
      </c>
      <c r="E291" s="492">
        <v>45503</v>
      </c>
      <c r="F291" s="493">
        <f>VLOOKUP(E291,'[2]GP Data'!$D$3:$E$1530, 2, FALSE)</f>
        <v>5269.53</v>
      </c>
      <c r="G291" s="484">
        <f t="shared" si="19"/>
        <v>-1.1389731044005535E-2</v>
      </c>
      <c r="J291" s="483">
        <f t="shared" si="16"/>
        <v>3.9354584809125903E-4</v>
      </c>
      <c r="K291" s="484">
        <f t="shared" si="17"/>
        <v>-1.5407349939504766E-2</v>
      </c>
    </row>
    <row r="292" spans="1:11" x14ac:dyDescent="0.35">
      <c r="A292" s="490">
        <v>45502</v>
      </c>
      <c r="B292" s="491">
        <f>VLOOKUP(A292,'[2]GP Data'!$A$3:$B$1639, 2, FALSE)</f>
        <v>254.2</v>
      </c>
      <c r="C292" s="483">
        <f t="shared" si="18"/>
        <v>3.9354584809125903E-4</v>
      </c>
      <c r="E292" s="492">
        <v>45502</v>
      </c>
      <c r="F292" s="493">
        <f>VLOOKUP(E292,'[2]GP Data'!$D$3:$E$1530, 2, FALSE)</f>
        <v>5330.24</v>
      </c>
      <c r="G292" s="484">
        <f t="shared" si="19"/>
        <v>-1.5407349939504766E-2</v>
      </c>
      <c r="J292" s="483">
        <f t="shared" si="16"/>
        <v>2.0072260136491327E-2</v>
      </c>
      <c r="K292" s="484">
        <f t="shared" si="17"/>
        <v>1.1740234692561691E-2</v>
      </c>
    </row>
    <row r="293" spans="1:11" x14ac:dyDescent="0.35">
      <c r="A293" s="490">
        <v>45498</v>
      </c>
      <c r="B293" s="491">
        <f>VLOOKUP(A293,'[2]GP Data'!$A$3:$B$1639, 2, FALSE)</f>
        <v>254.1</v>
      </c>
      <c r="C293" s="483">
        <f t="shared" si="18"/>
        <v>2.0072260136491327E-2</v>
      </c>
      <c r="E293" s="492">
        <v>45498</v>
      </c>
      <c r="F293" s="493">
        <f>VLOOKUP(E293,'[2]GP Data'!$D$3:$E$1530, 2, FALSE)</f>
        <v>5413.65</v>
      </c>
      <c r="G293" s="484">
        <f t="shared" si="19"/>
        <v>1.1740234692561691E-2</v>
      </c>
      <c r="J293" s="483">
        <f t="shared" si="16"/>
        <v>-9.9364069952305734E-3</v>
      </c>
      <c r="K293" s="484">
        <f t="shared" si="17"/>
        <v>-1.756540897824288E-2</v>
      </c>
    </row>
    <row r="294" spans="1:11" x14ac:dyDescent="0.35">
      <c r="A294" s="490">
        <v>45497</v>
      </c>
      <c r="B294" s="491">
        <f>VLOOKUP(A294,'[2]GP Data'!$A$3:$B$1639, 2, FALSE)</f>
        <v>249.1</v>
      </c>
      <c r="C294" s="483">
        <f t="shared" si="18"/>
        <v>-9.9364069952305734E-3</v>
      </c>
      <c r="E294" s="492">
        <v>45497</v>
      </c>
      <c r="F294" s="493">
        <f>VLOOKUP(E294,'[2]GP Data'!$D$3:$E$1530, 2, FALSE)</f>
        <v>5350.83</v>
      </c>
      <c r="G294" s="484">
        <f t="shared" si="19"/>
        <v>-1.756540897824288E-2</v>
      </c>
      <c r="J294" s="483">
        <f t="shared" si="16"/>
        <v>9.2258323305254297E-3</v>
      </c>
      <c r="K294" s="484">
        <f t="shared" si="17"/>
        <v>-6.6823024763184025E-3</v>
      </c>
    </row>
    <row r="295" spans="1:11" x14ac:dyDescent="0.35">
      <c r="A295" s="490">
        <v>45491</v>
      </c>
      <c r="B295" s="491">
        <f>VLOOKUP(A295,'[2]GP Data'!$A$3:$B$1639, 2, FALSE)</f>
        <v>251.6</v>
      </c>
      <c r="C295" s="483">
        <f t="shared" si="18"/>
        <v>9.2258323305254297E-3</v>
      </c>
      <c r="E295" s="492">
        <v>45491</v>
      </c>
      <c r="F295" s="493">
        <f>VLOOKUP(E295,'[2]GP Data'!$D$3:$E$1530, 2, FALSE)</f>
        <v>5446.5</v>
      </c>
      <c r="G295" s="484">
        <f t="shared" si="19"/>
        <v>-6.6823024763184025E-3</v>
      </c>
      <c r="J295" s="483">
        <f t="shared" si="16"/>
        <v>1.9215044971381934E-2</v>
      </c>
      <c r="K295" s="484">
        <f t="shared" si="17"/>
        <v>-3.336390171687631E-4</v>
      </c>
    </row>
    <row r="296" spans="1:11" x14ac:dyDescent="0.35">
      <c r="A296" s="490">
        <v>45489</v>
      </c>
      <c r="B296" s="491">
        <f>VLOOKUP(A296,'[2]GP Data'!$A$3:$B$1639, 2, FALSE)</f>
        <v>249.3</v>
      </c>
      <c r="C296" s="483">
        <f t="shared" si="18"/>
        <v>1.9215044971381934E-2</v>
      </c>
      <c r="E296" s="492">
        <v>45489</v>
      </c>
      <c r="F296" s="506">
        <f>VLOOKUP(E296,'[2]GP Data'!$D$3:$E$1530, 2, FALSE)</f>
        <v>5483.14</v>
      </c>
      <c r="G296" s="484">
        <f t="shared" si="19"/>
        <v>-3.336390171687631E-4</v>
      </c>
      <c r="J296" s="483">
        <f t="shared" si="16"/>
        <v>4.5174537987680008E-3</v>
      </c>
      <c r="K296" s="484">
        <f t="shared" si="17"/>
        <v>-3.9605722400385401E-3</v>
      </c>
    </row>
    <row r="297" spans="1:11" x14ac:dyDescent="0.35">
      <c r="A297" s="490">
        <v>45488</v>
      </c>
      <c r="B297" s="491">
        <f>VLOOKUP(A297,'[2]GP Data'!$A$3:$B$1639, 2, FALSE)</f>
        <v>244.6</v>
      </c>
      <c r="C297" s="483">
        <f t="shared" si="18"/>
        <v>4.5174537987680008E-3</v>
      </c>
      <c r="E297" s="492">
        <v>45488</v>
      </c>
      <c r="F297" s="506">
        <f>VLOOKUP(E297,'[2]GP Data'!$D$3:$E$1530, 2, FALSE)</f>
        <v>5484.97</v>
      </c>
      <c r="G297" s="484">
        <f t="shared" si="19"/>
        <v>-3.9605722400385401E-3</v>
      </c>
      <c r="J297" s="483">
        <f t="shared" si="16"/>
        <v>-4.903964037596964E-3</v>
      </c>
      <c r="K297" s="484">
        <f t="shared" si="17"/>
        <v>-1.1074895168314391E-2</v>
      </c>
    </row>
    <row r="298" spans="1:11" x14ac:dyDescent="0.35">
      <c r="A298" s="490">
        <v>45484</v>
      </c>
      <c r="B298" s="491">
        <f>VLOOKUP(A298,'[2]GP Data'!$A$3:$B$1639, 2, FALSE)</f>
        <v>243.5</v>
      </c>
      <c r="C298" s="483">
        <f t="shared" si="18"/>
        <v>-4.903964037596964E-3</v>
      </c>
      <c r="E298" s="492">
        <v>45484</v>
      </c>
      <c r="F298" s="506">
        <f>VLOOKUP(E298,'[2]GP Data'!$D$3:$E$1530, 2, FALSE)</f>
        <v>5506.78</v>
      </c>
      <c r="G298" s="484">
        <f t="shared" si="19"/>
        <v>-1.1074895168314391E-2</v>
      </c>
      <c r="J298" s="483">
        <f t="shared" si="16"/>
        <v>-1.631986944104491E-3</v>
      </c>
      <c r="K298" s="484">
        <f t="shared" si="17"/>
        <v>-4.6830454094536345E-3</v>
      </c>
    </row>
    <row r="299" spans="1:11" x14ac:dyDescent="0.35">
      <c r="A299" s="490">
        <v>45483</v>
      </c>
      <c r="B299" s="491">
        <f>VLOOKUP(A299,'[2]GP Data'!$A$3:$B$1639, 2, FALSE)</f>
        <v>244.7</v>
      </c>
      <c r="C299" s="483">
        <f t="shared" si="18"/>
        <v>-1.631986944104491E-3</v>
      </c>
      <c r="E299" s="492">
        <v>45483</v>
      </c>
      <c r="F299" s="506">
        <f>VLOOKUP(E299,'[2]GP Data'!$D$3:$E$1530, 2, FALSE)</f>
        <v>5568.45</v>
      </c>
      <c r="G299" s="484">
        <f t="shared" si="19"/>
        <v>-4.6830454094536345E-3</v>
      </c>
      <c r="J299" s="483">
        <f t="shared" si="16"/>
        <v>-1.4871382636655994E-2</v>
      </c>
      <c r="K299" s="484">
        <f t="shared" si="17"/>
        <v>5.3947881530307384E-3</v>
      </c>
    </row>
    <row r="300" spans="1:11" x14ac:dyDescent="0.35">
      <c r="A300" s="490">
        <v>45482</v>
      </c>
      <c r="B300" s="491">
        <f>VLOOKUP(A300,'[2]GP Data'!$A$3:$B$1639, 2, FALSE)</f>
        <v>245.1</v>
      </c>
      <c r="C300" s="483">
        <f t="shared" si="18"/>
        <v>-1.4871382636655994E-2</v>
      </c>
      <c r="E300" s="492">
        <v>45482</v>
      </c>
      <c r="F300" s="506">
        <f>VLOOKUP(E300,'[2]GP Data'!$D$3:$E$1530, 2, FALSE)</f>
        <v>5594.65</v>
      </c>
      <c r="G300" s="484">
        <f t="shared" si="19"/>
        <v>5.3947881530307384E-3</v>
      </c>
      <c r="J300" s="483">
        <f t="shared" si="16"/>
        <v>1.3029315960912058E-2</v>
      </c>
      <c r="K300" s="484">
        <f t="shared" si="17"/>
        <v>1.2199957799460037E-2</v>
      </c>
    </row>
    <row r="301" spans="1:11" x14ac:dyDescent="0.35">
      <c r="A301" s="490">
        <v>45481</v>
      </c>
      <c r="B301" s="491">
        <f>VLOOKUP(A301,'[2]GP Data'!$A$3:$B$1639, 2, FALSE)</f>
        <v>248.8</v>
      </c>
      <c r="C301" s="483">
        <f t="shared" si="18"/>
        <v>1.3029315960912058E-2</v>
      </c>
      <c r="E301" s="492">
        <v>45481</v>
      </c>
      <c r="F301" s="506">
        <f>VLOOKUP(E301,'[2]GP Data'!$D$3:$E$1530, 2, FALSE)</f>
        <v>5564.63</v>
      </c>
      <c r="G301" s="484">
        <f t="shared" si="19"/>
        <v>1.2199957799460037E-2</v>
      </c>
      <c r="J301" s="483">
        <f t="shared" si="16"/>
        <v>2.2481265611989931E-2</v>
      </c>
      <c r="K301" s="484">
        <f t="shared" si="17"/>
        <v>2.3022643026215928E-2</v>
      </c>
    </row>
    <row r="302" spans="1:11" x14ac:dyDescent="0.35">
      <c r="A302" s="490">
        <v>45477</v>
      </c>
      <c r="B302" s="491">
        <v>245.6</v>
      </c>
      <c r="C302" s="483">
        <f t="shared" si="18"/>
        <v>2.2481265611989931E-2</v>
      </c>
      <c r="E302" s="492">
        <v>45477</v>
      </c>
      <c r="F302" s="506">
        <v>5497.56</v>
      </c>
      <c r="G302" s="484">
        <f t="shared" si="19"/>
        <v>2.3022643026215928E-2</v>
      </c>
      <c r="J302" s="483">
        <f t="shared" si="16"/>
        <v>-1.5573770491803307E-2</v>
      </c>
      <c r="K302" s="484">
        <f t="shared" si="17"/>
        <v>6.301273924710582E-3</v>
      </c>
    </row>
    <row r="303" spans="1:11" x14ac:dyDescent="0.35">
      <c r="A303" s="490">
        <v>45476</v>
      </c>
      <c r="B303" s="491">
        <v>240.2</v>
      </c>
      <c r="C303" s="483">
        <f t="shared" si="18"/>
        <v>-1.5573770491803307E-2</v>
      </c>
      <c r="E303" s="492">
        <v>45476</v>
      </c>
      <c r="F303" s="493">
        <v>5373.84</v>
      </c>
      <c r="G303" s="484">
        <f t="shared" si="19"/>
        <v>6.301273924710582E-3</v>
      </c>
      <c r="J303" s="483">
        <f t="shared" si="16"/>
        <v>1.0770505385252704E-2</v>
      </c>
      <c r="K303" s="484">
        <f t="shared" si="17"/>
        <v>-2.8419859543901138E-3</v>
      </c>
    </row>
    <row r="304" spans="1:11" x14ac:dyDescent="0.35">
      <c r="A304" s="490">
        <v>45475</v>
      </c>
      <c r="B304" s="491">
        <v>244</v>
      </c>
      <c r="C304" s="483">
        <f t="shared" si="18"/>
        <v>1.0770505385252704E-2</v>
      </c>
      <c r="E304" s="492">
        <v>45475</v>
      </c>
      <c r="F304" s="493">
        <v>5340.19</v>
      </c>
      <c r="G304" s="484">
        <f t="shared" si="19"/>
        <v>-2.8419859543901138E-3</v>
      </c>
      <c r="J304" s="483">
        <f t="shared" si="16"/>
        <v>2.201524132091448E-2</v>
      </c>
      <c r="K304" s="484">
        <f t="shared" si="17"/>
        <v>9.9364099933618721E-3</v>
      </c>
    </row>
    <row r="305" spans="1:11" x14ac:dyDescent="0.35">
      <c r="A305" s="490">
        <v>45470</v>
      </c>
      <c r="B305" s="491">
        <v>241.4</v>
      </c>
      <c r="C305" s="483">
        <f t="shared" si="18"/>
        <v>2.201524132091448E-2</v>
      </c>
      <c r="E305" s="492">
        <v>45470</v>
      </c>
      <c r="F305" s="493">
        <v>5355.41</v>
      </c>
      <c r="G305" s="484">
        <f t="shared" si="19"/>
        <v>9.9364099933618721E-3</v>
      </c>
      <c r="J305" s="483">
        <f t="shared" si="16"/>
        <v>3.2794053344993523E-2</v>
      </c>
      <c r="K305" s="484">
        <f t="shared" si="17"/>
        <v>1.1614242327121715E-2</v>
      </c>
    </row>
    <row r="306" spans="1:11" x14ac:dyDescent="0.35">
      <c r="A306" s="490">
        <v>45469</v>
      </c>
      <c r="B306" s="491">
        <v>236.2</v>
      </c>
      <c r="C306" s="483">
        <f t="shared" si="18"/>
        <v>3.2794053344993523E-2</v>
      </c>
      <c r="E306" s="492">
        <v>45469</v>
      </c>
      <c r="F306" s="493">
        <v>5302.72</v>
      </c>
      <c r="G306" s="484">
        <f t="shared" si="19"/>
        <v>1.1614242327121715E-2</v>
      </c>
      <c r="J306" s="483">
        <f t="shared" si="16"/>
        <v>2.191060473269113E-3</v>
      </c>
      <c r="K306" s="484">
        <f t="shared" si="17"/>
        <v>4.1473586210465374E-3</v>
      </c>
    </row>
    <row r="307" spans="1:11" x14ac:dyDescent="0.35">
      <c r="A307" s="490">
        <v>45468</v>
      </c>
      <c r="B307" s="491">
        <v>228.7</v>
      </c>
      <c r="C307" s="483">
        <f t="shared" si="18"/>
        <v>2.191060473269113E-3</v>
      </c>
      <c r="E307" s="492">
        <v>45468</v>
      </c>
      <c r="F307" s="493">
        <v>5241.84</v>
      </c>
      <c r="G307" s="484">
        <f t="shared" si="19"/>
        <v>4.1473586210465374E-3</v>
      </c>
      <c r="J307" s="483">
        <f t="shared" si="16"/>
        <v>1.4673188083592636E-2</v>
      </c>
      <c r="K307" s="484">
        <f t="shared" si="17"/>
        <v>-4.5651042212913051E-3</v>
      </c>
    </row>
    <row r="308" spans="1:11" x14ac:dyDescent="0.35">
      <c r="A308" s="490">
        <v>45467</v>
      </c>
      <c r="B308" s="491">
        <v>228.2</v>
      </c>
      <c r="C308" s="483">
        <f t="shared" si="18"/>
        <v>1.4673188083592636E-2</v>
      </c>
      <c r="E308" s="492">
        <v>45467</v>
      </c>
      <c r="F308" s="493">
        <v>5220.1899999999996</v>
      </c>
      <c r="G308" s="484">
        <f t="shared" si="19"/>
        <v>-4.5651042212913051E-3</v>
      </c>
      <c r="J308" s="483">
        <f t="shared" si="16"/>
        <v>1.2151215121512182E-2</v>
      </c>
      <c r="K308" s="484">
        <f t="shared" si="17"/>
        <v>1.6032533934722926E-2</v>
      </c>
    </row>
    <row r="309" spans="1:11" x14ac:dyDescent="0.35">
      <c r="A309" s="490">
        <v>45463</v>
      </c>
      <c r="B309" s="491">
        <v>224.9</v>
      </c>
      <c r="C309" s="483">
        <f t="shared" si="18"/>
        <v>1.2151215121512182E-2</v>
      </c>
      <c r="E309" s="492">
        <v>45463</v>
      </c>
      <c r="F309" s="493">
        <v>5244.13</v>
      </c>
      <c r="G309" s="484">
        <f t="shared" si="19"/>
        <v>1.6032533934722926E-2</v>
      </c>
      <c r="J309" s="483">
        <f t="shared" si="16"/>
        <v>-8.4783578759483058E-3</v>
      </c>
      <c r="K309" s="484">
        <f t="shared" si="17"/>
        <v>8.5134071018657664E-3</v>
      </c>
    </row>
    <row r="310" spans="1:11" x14ac:dyDescent="0.35">
      <c r="A310" s="490">
        <v>45462</v>
      </c>
      <c r="B310" s="491">
        <v>222.2</v>
      </c>
      <c r="C310" s="483">
        <f t="shared" si="18"/>
        <v>-8.4783578759483058E-3</v>
      </c>
      <c r="E310" s="492">
        <v>45462</v>
      </c>
      <c r="F310" s="493">
        <v>5161.38</v>
      </c>
      <c r="G310" s="484">
        <f t="shared" si="19"/>
        <v>8.5134071018657664E-3</v>
      </c>
      <c r="J310" s="483">
        <f t="shared" si="16"/>
        <v>4.9327354260089162E-3</v>
      </c>
      <c r="K310" s="484">
        <f t="shared" si="17"/>
        <v>6.8087031790999841E-3</v>
      </c>
    </row>
    <row r="311" spans="1:11" x14ac:dyDescent="0.35">
      <c r="A311" s="490">
        <v>45456</v>
      </c>
      <c r="B311" s="491">
        <v>224.1</v>
      </c>
      <c r="C311" s="483">
        <f t="shared" si="18"/>
        <v>4.9327354260089162E-3</v>
      </c>
      <c r="E311" s="492">
        <v>45456</v>
      </c>
      <c r="F311" s="493">
        <v>5117.8100000000004</v>
      </c>
      <c r="G311" s="484">
        <f t="shared" si="19"/>
        <v>6.8087031790999841E-3</v>
      </c>
      <c r="J311" s="483">
        <f t="shared" si="16"/>
        <v>-2.2371364653244186E-3</v>
      </c>
      <c r="K311" s="484">
        <f t="shared" si="17"/>
        <v>2.5995952678685708E-3</v>
      </c>
    </row>
    <row r="312" spans="1:11" x14ac:dyDescent="0.35">
      <c r="A312" s="490">
        <v>45455</v>
      </c>
      <c r="B312" s="491">
        <v>223</v>
      </c>
      <c r="C312" s="483">
        <f t="shared" si="18"/>
        <v>-2.2371364653244186E-3</v>
      </c>
      <c r="E312" s="492">
        <v>45455</v>
      </c>
      <c r="F312" s="493">
        <v>5083.2</v>
      </c>
      <c r="G312" s="484">
        <f t="shared" si="19"/>
        <v>2.5995952678685708E-3</v>
      </c>
      <c r="J312" s="483">
        <f t="shared" si="16"/>
        <v>-8.4294587400177701E-3</v>
      </c>
      <c r="K312" s="484">
        <f t="shared" si="17"/>
        <v>-7.0252198931037846E-3</v>
      </c>
    </row>
    <row r="313" spans="1:11" x14ac:dyDescent="0.35">
      <c r="A313" s="490">
        <v>45454</v>
      </c>
      <c r="B313" s="491">
        <v>223.5</v>
      </c>
      <c r="C313" s="483">
        <f t="shared" si="18"/>
        <v>-8.4294587400177701E-3</v>
      </c>
      <c r="E313" s="492">
        <v>45454</v>
      </c>
      <c r="F313" s="493">
        <v>5070.0200000000004</v>
      </c>
      <c r="G313" s="484">
        <f t="shared" si="19"/>
        <v>-7.0252198931037846E-3</v>
      </c>
      <c r="J313" s="483">
        <f t="shared" si="16"/>
        <v>-9.666080843585223E-3</v>
      </c>
      <c r="K313" s="484">
        <f t="shared" si="17"/>
        <v>-2.5094895862769362E-2</v>
      </c>
    </row>
    <row r="314" spans="1:11" x14ac:dyDescent="0.35">
      <c r="A314" s="490">
        <v>45453</v>
      </c>
      <c r="B314" s="491">
        <v>225.4</v>
      </c>
      <c r="C314" s="483">
        <f t="shared" si="18"/>
        <v>-9.666080843585223E-3</v>
      </c>
      <c r="E314" s="492">
        <v>45453</v>
      </c>
      <c r="F314" s="493">
        <v>5105.8900000000003</v>
      </c>
      <c r="G314" s="484">
        <f t="shared" si="19"/>
        <v>-2.5094895862769362E-2</v>
      </c>
      <c r="J314" s="483">
        <f t="shared" si="16"/>
        <v>6.1892130857648109E-3</v>
      </c>
      <c r="K314" s="484">
        <f t="shared" si="17"/>
        <v>2.4787677748703274E-3</v>
      </c>
    </row>
    <row r="315" spans="1:11" x14ac:dyDescent="0.35">
      <c r="A315" s="490">
        <v>45449</v>
      </c>
      <c r="B315" s="491">
        <v>227.6</v>
      </c>
      <c r="C315" s="483">
        <f t="shared" si="18"/>
        <v>6.1892130857648109E-3</v>
      </c>
      <c r="E315" s="492">
        <v>45449</v>
      </c>
      <c r="F315" s="493">
        <v>5237.32</v>
      </c>
      <c r="G315" s="484">
        <f t="shared" si="19"/>
        <v>2.4787677748703274E-3</v>
      </c>
      <c r="J315" s="483">
        <f t="shared" si="16"/>
        <v>-5.7142857142857828E-3</v>
      </c>
      <c r="K315" s="484">
        <f t="shared" si="17"/>
        <v>-4.4135050204572313E-3</v>
      </c>
    </row>
    <row r="316" spans="1:11" x14ac:dyDescent="0.35">
      <c r="A316" s="490">
        <v>45448</v>
      </c>
      <c r="B316" s="491">
        <v>226.2</v>
      </c>
      <c r="C316" s="483">
        <f t="shared" si="18"/>
        <v>-5.7142857142857828E-3</v>
      </c>
      <c r="E316" s="492">
        <v>45448</v>
      </c>
      <c r="F316" s="493">
        <v>5224.37</v>
      </c>
      <c r="G316" s="484">
        <f t="shared" si="19"/>
        <v>-4.4135050204572313E-3</v>
      </c>
      <c r="J316" s="483">
        <f t="shared" si="16"/>
        <v>7.9751883030572124E-3</v>
      </c>
      <c r="K316" s="484">
        <f t="shared" si="17"/>
        <v>2.2728878855073908E-3</v>
      </c>
    </row>
    <row r="317" spans="1:11" x14ac:dyDescent="0.35">
      <c r="A317" s="490">
        <v>45447</v>
      </c>
      <c r="B317" s="491">
        <v>227.5</v>
      </c>
      <c r="C317" s="483">
        <f t="shared" si="18"/>
        <v>7.9751883030572124E-3</v>
      </c>
      <c r="E317" s="492">
        <v>45447</v>
      </c>
      <c r="F317" s="493">
        <v>5247.53</v>
      </c>
      <c r="G317" s="484">
        <f t="shared" si="19"/>
        <v>2.2728878855073908E-3</v>
      </c>
      <c r="J317" s="483">
        <f t="shared" si="16"/>
        <v>9.8434004474272641E-3</v>
      </c>
      <c r="K317" s="484">
        <f t="shared" si="17"/>
        <v>-3.1093153794011785E-3</v>
      </c>
    </row>
    <row r="318" spans="1:11" x14ac:dyDescent="0.35">
      <c r="A318" s="490">
        <v>45446</v>
      </c>
      <c r="B318" s="491">
        <v>225.7</v>
      </c>
      <c r="C318" s="483">
        <f t="shared" si="18"/>
        <v>9.8434004474272641E-3</v>
      </c>
      <c r="E318" s="492">
        <v>45446</v>
      </c>
      <c r="F318" s="493">
        <v>5235.63</v>
      </c>
      <c r="G318" s="484">
        <f t="shared" si="19"/>
        <v>-3.1093153794011785E-3</v>
      </c>
      <c r="J318" s="483">
        <f t="shared" si="16"/>
        <v>-1.8445322793148811E-2</v>
      </c>
      <c r="K318" s="484">
        <f t="shared" si="17"/>
        <v>4.4811830476252368E-3</v>
      </c>
    </row>
    <row r="319" spans="1:11" x14ac:dyDescent="0.35">
      <c r="A319" s="490">
        <v>45442</v>
      </c>
      <c r="B319" s="491">
        <v>223.5</v>
      </c>
      <c r="C319" s="483">
        <f t="shared" si="18"/>
        <v>-1.8445322793148811E-2</v>
      </c>
      <c r="E319" s="492">
        <v>45442</v>
      </c>
      <c r="F319" s="493">
        <v>5251.96</v>
      </c>
      <c r="G319" s="484">
        <f t="shared" si="19"/>
        <v>4.4811830476252368E-3</v>
      </c>
      <c r="J319" s="483">
        <f t="shared" si="16"/>
        <v>9.7560975609756184E-3</v>
      </c>
      <c r="K319" s="484">
        <f t="shared" si="17"/>
        <v>-9.5380080623163055E-3</v>
      </c>
    </row>
    <row r="320" spans="1:11" x14ac:dyDescent="0.35">
      <c r="A320" s="490">
        <v>45441</v>
      </c>
      <c r="B320" s="491">
        <v>227.7</v>
      </c>
      <c r="C320" s="483">
        <f t="shared" si="18"/>
        <v>9.7560975609756184E-3</v>
      </c>
      <c r="E320" s="492">
        <v>45441</v>
      </c>
      <c r="F320" s="493">
        <v>5228.53</v>
      </c>
      <c r="G320" s="484">
        <f t="shared" si="19"/>
        <v>-9.5380080623163055E-3</v>
      </c>
      <c r="J320" s="483">
        <f t="shared" si="16"/>
        <v>-1.6572176188399568E-2</v>
      </c>
      <c r="K320" s="484">
        <f t="shared" si="17"/>
        <v>-5.9579852820440538E-3</v>
      </c>
    </row>
    <row r="321" spans="1:11" x14ac:dyDescent="0.35">
      <c r="A321" s="490">
        <v>45440</v>
      </c>
      <c r="B321" s="491">
        <v>225.5</v>
      </c>
      <c r="C321" s="483">
        <f t="shared" si="18"/>
        <v>-1.6572176188399568E-2</v>
      </c>
      <c r="E321" s="492">
        <v>45440</v>
      </c>
      <c r="F321" s="493">
        <v>5278.88</v>
      </c>
      <c r="G321" s="484">
        <f t="shared" si="19"/>
        <v>-5.9579852820440538E-3</v>
      </c>
      <c r="J321" s="483">
        <f t="shared" si="16"/>
        <v>1.9564250778123737E-2</v>
      </c>
      <c r="K321" s="484">
        <f t="shared" si="17"/>
        <v>-3.5388901438127007E-4</v>
      </c>
    </row>
    <row r="322" spans="1:11" x14ac:dyDescent="0.35">
      <c r="A322" s="490">
        <v>45439</v>
      </c>
      <c r="B322" s="491">
        <v>229.3</v>
      </c>
      <c r="C322" s="483">
        <f t="shared" si="18"/>
        <v>1.9564250778123737E-2</v>
      </c>
      <c r="E322" s="492">
        <v>45439</v>
      </c>
      <c r="F322" s="493">
        <v>5310.52</v>
      </c>
      <c r="G322" s="484">
        <f t="shared" si="19"/>
        <v>-3.5388901438127007E-4</v>
      </c>
      <c r="J322" s="483">
        <f t="shared" si="16"/>
        <v>-1.775410563692903E-3</v>
      </c>
      <c r="K322" s="484">
        <f t="shared" si="17"/>
        <v>-1.0928860010053887E-2</v>
      </c>
    </row>
    <row r="323" spans="1:11" x14ac:dyDescent="0.35">
      <c r="A323" s="490">
        <v>45435</v>
      </c>
      <c r="B323" s="491">
        <v>224.9</v>
      </c>
      <c r="C323" s="483">
        <f t="shared" si="18"/>
        <v>-1.775410563692903E-3</v>
      </c>
      <c r="E323" s="492">
        <v>45435</v>
      </c>
      <c r="F323" s="493">
        <v>5312.4</v>
      </c>
      <c r="G323" s="484">
        <f t="shared" si="19"/>
        <v>-1.0928860010053887E-2</v>
      </c>
      <c r="J323" s="483">
        <f t="shared" ref="J323:J386" si="20">(B324/B325)-1</f>
        <v>4.0106951871659025E-3</v>
      </c>
      <c r="K323" s="484">
        <f t="shared" ref="K323:K386" si="21">(F324/F325)-1</f>
        <v>-4.1808422867629647E-3</v>
      </c>
    </row>
    <row r="324" spans="1:11" x14ac:dyDescent="0.35">
      <c r="A324" s="490">
        <v>45433</v>
      </c>
      <c r="B324" s="491">
        <v>225.3</v>
      </c>
      <c r="C324" s="483">
        <f t="shared" ref="C324:C387" si="22">(B324/B325)-1</f>
        <v>4.0106951871659025E-3</v>
      </c>
      <c r="E324" s="492">
        <v>45433</v>
      </c>
      <c r="F324" s="493">
        <v>5371.1</v>
      </c>
      <c r="G324" s="484">
        <f t="shared" ref="G324:G387" si="23">(F324/F325)-1</f>
        <v>-4.1808422867629647E-3</v>
      </c>
      <c r="J324" s="483">
        <f t="shared" si="20"/>
        <v>-3.4007748600947019E-2</v>
      </c>
      <c r="K324" s="484">
        <f t="shared" si="21"/>
        <v>-2.2432586245020425E-2</v>
      </c>
    </row>
    <row r="325" spans="1:11" x14ac:dyDescent="0.35">
      <c r="A325" s="490">
        <v>45432</v>
      </c>
      <c r="B325" s="491">
        <v>224.4</v>
      </c>
      <c r="C325" s="483">
        <f t="shared" si="22"/>
        <v>-3.4007748600947019E-2</v>
      </c>
      <c r="E325" s="492">
        <v>45432</v>
      </c>
      <c r="F325" s="493">
        <v>5393.65</v>
      </c>
      <c r="G325" s="484">
        <f t="shared" si="23"/>
        <v>-2.2432586245020425E-2</v>
      </c>
      <c r="J325" s="483">
        <f t="shared" si="20"/>
        <v>-5.5650684931506378E-3</v>
      </c>
      <c r="K325" s="484">
        <f t="shared" si="21"/>
        <v>-1.8055505300863528E-3</v>
      </c>
    </row>
    <row r="326" spans="1:11" x14ac:dyDescent="0.35">
      <c r="A326" s="490">
        <v>45428</v>
      </c>
      <c r="B326" s="491">
        <v>232.3</v>
      </c>
      <c r="C326" s="483">
        <f t="shared" si="22"/>
        <v>-5.5650684931506378E-3</v>
      </c>
      <c r="E326" s="492">
        <v>45428</v>
      </c>
      <c r="F326" s="493">
        <v>5517.42</v>
      </c>
      <c r="G326" s="484">
        <f t="shared" si="23"/>
        <v>-1.8055505300863528E-3</v>
      </c>
      <c r="J326" s="483">
        <f t="shared" si="20"/>
        <v>-1.4345991561181437E-2</v>
      </c>
      <c r="K326" s="484">
        <f t="shared" si="21"/>
        <v>-1.0423193844192769E-2</v>
      </c>
    </row>
    <row r="327" spans="1:11" x14ac:dyDescent="0.35">
      <c r="A327" s="490">
        <v>45427</v>
      </c>
      <c r="B327" s="491">
        <v>233.6</v>
      </c>
      <c r="C327" s="483">
        <f t="shared" si="22"/>
        <v>-1.4345991561181437E-2</v>
      </c>
      <c r="E327" s="492">
        <v>45427</v>
      </c>
      <c r="F327" s="493">
        <v>5527.4</v>
      </c>
      <c r="G327" s="484">
        <f t="shared" si="23"/>
        <v>-1.0423193844192769E-2</v>
      </c>
      <c r="J327" s="483">
        <f t="shared" si="20"/>
        <v>-6.7057837384744134E-3</v>
      </c>
      <c r="K327" s="484">
        <f t="shared" si="21"/>
        <v>-1.431858769384986E-2</v>
      </c>
    </row>
    <row r="328" spans="1:11" x14ac:dyDescent="0.35">
      <c r="A328" s="490">
        <v>45426</v>
      </c>
      <c r="B328" s="491">
        <v>237</v>
      </c>
      <c r="C328" s="483">
        <f t="shared" si="22"/>
        <v>-6.7057837384744134E-3</v>
      </c>
      <c r="E328" s="492">
        <v>45426</v>
      </c>
      <c r="F328" s="493">
        <v>5585.62</v>
      </c>
      <c r="G328" s="484">
        <f t="shared" si="23"/>
        <v>-1.431858769384986E-2</v>
      </c>
      <c r="J328" s="483">
        <f t="shared" si="20"/>
        <v>5.0547598989048037E-3</v>
      </c>
      <c r="K328" s="484">
        <f t="shared" si="21"/>
        <v>1.0086468058045917E-3</v>
      </c>
    </row>
    <row r="329" spans="1:11" x14ac:dyDescent="0.35">
      <c r="A329" s="490">
        <v>45425</v>
      </c>
      <c r="B329" s="491">
        <v>238.6</v>
      </c>
      <c r="C329" s="483">
        <f t="shared" si="22"/>
        <v>5.0547598989048037E-3</v>
      </c>
      <c r="E329" s="492">
        <v>45425</v>
      </c>
      <c r="F329" s="493">
        <v>5666.76</v>
      </c>
      <c r="G329" s="484">
        <f t="shared" si="23"/>
        <v>1.0086468058045917E-3</v>
      </c>
      <c r="J329" s="483">
        <f t="shared" si="20"/>
        <v>-5.446166736489233E-3</v>
      </c>
      <c r="K329" s="484">
        <f t="shared" si="21"/>
        <v>-5.2242399108732851E-3</v>
      </c>
    </row>
    <row r="330" spans="1:11" x14ac:dyDescent="0.35">
      <c r="A330" s="490">
        <v>45421</v>
      </c>
      <c r="B330" s="491">
        <v>237.4</v>
      </c>
      <c r="C330" s="483">
        <f t="shared" si="22"/>
        <v>-5.446166736489233E-3</v>
      </c>
      <c r="E330" s="492">
        <v>45421</v>
      </c>
      <c r="F330" s="493">
        <v>5661.05</v>
      </c>
      <c r="G330" s="484">
        <f t="shared" si="23"/>
        <v>-5.2242399108732851E-3</v>
      </c>
      <c r="J330" s="483">
        <f t="shared" si="20"/>
        <v>-3.3402922755741971E-3</v>
      </c>
      <c r="K330" s="484">
        <f t="shared" si="21"/>
        <v>-6.0259061565547389E-3</v>
      </c>
    </row>
    <row r="331" spans="1:11" x14ac:dyDescent="0.35">
      <c r="A331" s="490">
        <v>45420</v>
      </c>
      <c r="B331" s="491">
        <v>238.7</v>
      </c>
      <c r="C331" s="483">
        <f t="shared" si="22"/>
        <v>-3.3402922755741971E-3</v>
      </c>
      <c r="E331" s="492">
        <v>45420</v>
      </c>
      <c r="F331" s="493">
        <v>5690.78</v>
      </c>
      <c r="G331" s="484">
        <f t="shared" si="23"/>
        <v>-6.0259061565547389E-3</v>
      </c>
      <c r="J331" s="483">
        <f t="shared" si="20"/>
        <v>-8.3437630371296923E-4</v>
      </c>
      <c r="K331" s="484">
        <f t="shared" si="21"/>
        <v>-3.0382293059927346E-4</v>
      </c>
    </row>
    <row r="332" spans="1:11" x14ac:dyDescent="0.35">
      <c r="A332" s="490">
        <v>45419</v>
      </c>
      <c r="B332" s="491">
        <v>239.5</v>
      </c>
      <c r="C332" s="483">
        <f t="shared" si="22"/>
        <v>-8.3437630371296923E-4</v>
      </c>
      <c r="E332" s="492">
        <v>45419</v>
      </c>
      <c r="F332" s="493">
        <v>5725.28</v>
      </c>
      <c r="G332" s="484">
        <f t="shared" si="23"/>
        <v>-3.0382293059927346E-4</v>
      </c>
      <c r="J332" s="483">
        <f t="shared" si="20"/>
        <v>8.8383838383838675E-3</v>
      </c>
      <c r="K332" s="484">
        <f t="shared" si="21"/>
        <v>1.9832076429264767E-2</v>
      </c>
    </row>
    <row r="333" spans="1:11" x14ac:dyDescent="0.35">
      <c r="A333" s="490">
        <v>45418</v>
      </c>
      <c r="B333" s="491">
        <v>239.7</v>
      </c>
      <c r="C333" s="483">
        <f t="shared" si="22"/>
        <v>8.8383838383838675E-3</v>
      </c>
      <c r="E333" s="492">
        <v>45418</v>
      </c>
      <c r="F333" s="493">
        <v>5727.02</v>
      </c>
      <c r="G333" s="484">
        <f t="shared" si="23"/>
        <v>1.9832076429264767E-2</v>
      </c>
      <c r="J333" s="483">
        <f t="shared" si="20"/>
        <v>7.6335877862594437E-3</v>
      </c>
      <c r="K333" s="484">
        <f t="shared" si="21"/>
        <v>5.5509297807383451E-3</v>
      </c>
    </row>
    <row r="334" spans="1:11" x14ac:dyDescent="0.35">
      <c r="A334" s="490">
        <v>45414</v>
      </c>
      <c r="B334" s="491">
        <v>237.6</v>
      </c>
      <c r="C334" s="483">
        <f t="shared" si="22"/>
        <v>7.6335877862594437E-3</v>
      </c>
      <c r="E334" s="492">
        <v>45414</v>
      </c>
      <c r="F334" s="493">
        <v>5615.65</v>
      </c>
      <c r="G334" s="484">
        <f t="shared" si="23"/>
        <v>5.5509297807383451E-3</v>
      </c>
      <c r="J334" s="483">
        <f t="shared" si="20"/>
        <v>-2.9598308668075113E-3</v>
      </c>
      <c r="K334" s="484">
        <f t="shared" si="21"/>
        <v>2.6859663643756804E-3</v>
      </c>
    </row>
    <row r="335" spans="1:11" x14ac:dyDescent="0.35">
      <c r="A335" s="490">
        <v>45412</v>
      </c>
      <c r="B335" s="491">
        <v>235.8</v>
      </c>
      <c r="C335" s="483">
        <f t="shared" si="22"/>
        <v>-2.9598308668075113E-3</v>
      </c>
      <c r="E335" s="492">
        <v>45412</v>
      </c>
      <c r="F335" s="493">
        <v>5584.65</v>
      </c>
      <c r="G335" s="484">
        <f t="shared" si="23"/>
        <v>2.6859663643756804E-3</v>
      </c>
      <c r="J335" s="483">
        <f t="shared" si="20"/>
        <v>6.382978723404209E-3</v>
      </c>
      <c r="K335" s="484">
        <f t="shared" si="21"/>
        <v>9.279729200794451E-3</v>
      </c>
    </row>
    <row r="336" spans="1:11" x14ac:dyDescent="0.35">
      <c r="A336" s="490">
        <v>45411</v>
      </c>
      <c r="B336" s="491">
        <v>236.5</v>
      </c>
      <c r="C336" s="483">
        <f t="shared" si="22"/>
        <v>6.382978723404209E-3</v>
      </c>
      <c r="E336" s="492">
        <v>45411</v>
      </c>
      <c r="F336" s="493">
        <v>5569.69</v>
      </c>
      <c r="G336" s="484">
        <f t="shared" si="23"/>
        <v>9.279729200794451E-3</v>
      </c>
      <c r="J336" s="483">
        <f t="shared" si="20"/>
        <v>1.0752688172043001E-2</v>
      </c>
      <c r="K336" s="484">
        <f t="shared" si="21"/>
        <v>-1.084250318607205E-2</v>
      </c>
    </row>
    <row r="337" spans="1:11" x14ac:dyDescent="0.35">
      <c r="A337" s="490">
        <v>45407</v>
      </c>
      <c r="B337" s="491">
        <v>235</v>
      </c>
      <c r="C337" s="483">
        <f t="shared" si="22"/>
        <v>1.0752688172043001E-2</v>
      </c>
      <c r="E337" s="492">
        <v>45407</v>
      </c>
      <c r="F337" s="493">
        <v>5518.48</v>
      </c>
      <c r="G337" s="484">
        <f t="shared" si="23"/>
        <v>-1.084250318607205E-2</v>
      </c>
      <c r="J337" s="483">
        <f t="shared" si="20"/>
        <v>-4.2992261392948983E-4</v>
      </c>
      <c r="K337" s="484">
        <f t="shared" si="21"/>
        <v>-9.6989319459457324E-3</v>
      </c>
    </row>
    <row r="338" spans="1:11" x14ac:dyDescent="0.35">
      <c r="A338" s="490">
        <v>45406</v>
      </c>
      <c r="B338" s="491">
        <v>232.5</v>
      </c>
      <c r="C338" s="483">
        <f t="shared" si="22"/>
        <v>-4.2992261392948983E-4</v>
      </c>
      <c r="E338" s="492">
        <v>45406</v>
      </c>
      <c r="F338" s="493">
        <v>5578.97</v>
      </c>
      <c r="G338" s="484">
        <f t="shared" si="23"/>
        <v>-9.6989319459457324E-3</v>
      </c>
      <c r="J338" s="483">
        <f t="shared" si="20"/>
        <v>-2.1450021450021284E-3</v>
      </c>
      <c r="K338" s="484">
        <f t="shared" si="21"/>
        <v>-7.2706511338586077E-3</v>
      </c>
    </row>
    <row r="339" spans="1:11" x14ac:dyDescent="0.35">
      <c r="A339" s="490">
        <v>45405</v>
      </c>
      <c r="B339" s="491">
        <v>232.6</v>
      </c>
      <c r="C339" s="483">
        <f t="shared" si="22"/>
        <v>-2.1450021450021284E-3</v>
      </c>
      <c r="E339" s="492">
        <v>45405</v>
      </c>
      <c r="F339" s="493">
        <v>5633.61</v>
      </c>
      <c r="G339" s="484">
        <f t="shared" si="23"/>
        <v>-7.2706511338586077E-3</v>
      </c>
      <c r="J339" s="483">
        <f t="shared" si="20"/>
        <v>-6.817213463996552E-3</v>
      </c>
      <c r="K339" s="484">
        <f t="shared" si="21"/>
        <v>-2.0785377785671466E-3</v>
      </c>
    </row>
    <row r="340" spans="1:11" x14ac:dyDescent="0.35">
      <c r="A340" s="490">
        <v>45404</v>
      </c>
      <c r="B340" s="491">
        <v>233.1</v>
      </c>
      <c r="C340" s="483">
        <f t="shared" si="22"/>
        <v>-6.817213463996552E-3</v>
      </c>
      <c r="E340" s="492">
        <v>45404</v>
      </c>
      <c r="F340" s="493">
        <v>5674.87</v>
      </c>
      <c r="G340" s="484">
        <f t="shared" si="23"/>
        <v>-2.0785377785671466E-3</v>
      </c>
      <c r="J340" s="483">
        <f t="shared" si="20"/>
        <v>-9.2866188265091631E-3</v>
      </c>
      <c r="K340" s="484">
        <f t="shared" si="21"/>
        <v>-1.3373191504865933E-2</v>
      </c>
    </row>
    <row r="341" spans="1:11" x14ac:dyDescent="0.35">
      <c r="A341" s="490">
        <v>45400</v>
      </c>
      <c r="B341" s="491">
        <v>234.7</v>
      </c>
      <c r="C341" s="483">
        <f t="shared" si="22"/>
        <v>-9.2866188265091631E-3</v>
      </c>
      <c r="E341" s="492">
        <v>45400</v>
      </c>
      <c r="F341" s="493">
        <v>5686.69</v>
      </c>
      <c r="G341" s="484">
        <f t="shared" si="23"/>
        <v>-1.3373191504865933E-2</v>
      </c>
      <c r="J341" s="483">
        <f t="shared" si="20"/>
        <v>3.3883947479882437E-3</v>
      </c>
      <c r="K341" s="484">
        <f t="shared" si="21"/>
        <v>-1.8719976171426289E-3</v>
      </c>
    </row>
    <row r="342" spans="1:11" x14ac:dyDescent="0.35">
      <c r="A342" s="490">
        <v>45399</v>
      </c>
      <c r="B342" s="491">
        <v>236.9</v>
      </c>
      <c r="C342" s="483">
        <f t="shared" si="22"/>
        <v>3.3883947479882437E-3</v>
      </c>
      <c r="E342" s="492">
        <v>45399</v>
      </c>
      <c r="F342" s="493">
        <v>5763.77</v>
      </c>
      <c r="G342" s="484">
        <f t="shared" si="23"/>
        <v>-1.8719976171426289E-3</v>
      </c>
      <c r="J342" s="483">
        <f t="shared" si="20"/>
        <v>-1.1720385098367592E-2</v>
      </c>
      <c r="K342" s="484">
        <f t="shared" si="21"/>
        <v>-7.2506779124281717E-4</v>
      </c>
    </row>
    <row r="343" spans="1:11" x14ac:dyDescent="0.35">
      <c r="A343" s="490">
        <v>45398</v>
      </c>
      <c r="B343" s="491">
        <v>236.1</v>
      </c>
      <c r="C343" s="483">
        <f t="shared" si="22"/>
        <v>-1.1720385098367592E-2</v>
      </c>
      <c r="E343" s="492">
        <v>45398</v>
      </c>
      <c r="F343" s="493">
        <v>5774.58</v>
      </c>
      <c r="G343" s="484">
        <f t="shared" si="23"/>
        <v>-7.2506779124281717E-4</v>
      </c>
      <c r="J343" s="483">
        <f t="shared" si="20"/>
        <v>-4.5833333333332726E-3</v>
      </c>
      <c r="K343" s="484">
        <f t="shared" si="21"/>
        <v>-1.4549572056363314E-2</v>
      </c>
    </row>
    <row r="344" spans="1:11" x14ac:dyDescent="0.35">
      <c r="A344" s="490">
        <v>45397</v>
      </c>
      <c r="B344" s="491">
        <v>238.9</v>
      </c>
      <c r="C344" s="483">
        <f t="shared" si="22"/>
        <v>-4.5833333333332726E-3</v>
      </c>
      <c r="E344" s="492">
        <v>45397</v>
      </c>
      <c r="F344" s="493">
        <v>5778.77</v>
      </c>
      <c r="G344" s="484">
        <f t="shared" si="23"/>
        <v>-1.4549572056363314E-2</v>
      </c>
      <c r="J344" s="483">
        <f t="shared" si="20"/>
        <v>-8.3263946711065184E-4</v>
      </c>
      <c r="K344" s="484">
        <f t="shared" si="21"/>
        <v>1.1726810348992034E-2</v>
      </c>
    </row>
    <row r="345" spans="1:11" x14ac:dyDescent="0.35">
      <c r="A345" s="490">
        <v>45391</v>
      </c>
      <c r="B345" s="491">
        <v>240</v>
      </c>
      <c r="C345" s="483">
        <f t="shared" si="22"/>
        <v>-8.3263946711065184E-4</v>
      </c>
      <c r="E345" s="492">
        <v>45391</v>
      </c>
      <c r="F345" s="493">
        <v>5864.09</v>
      </c>
      <c r="G345" s="484">
        <f t="shared" si="23"/>
        <v>1.1726810348992034E-2</v>
      </c>
      <c r="J345" s="483">
        <f t="shared" si="20"/>
        <v>2.5041736227044975E-3</v>
      </c>
      <c r="K345" s="484">
        <f t="shared" si="21"/>
        <v>3.4694810321187486E-3</v>
      </c>
    </row>
    <row r="346" spans="1:11" x14ac:dyDescent="0.35">
      <c r="A346" s="490">
        <v>45386</v>
      </c>
      <c r="B346" s="491">
        <v>240.2</v>
      </c>
      <c r="C346" s="483">
        <f t="shared" si="22"/>
        <v>2.5041736227044975E-3</v>
      </c>
      <c r="E346" s="492">
        <v>45386</v>
      </c>
      <c r="F346" s="493">
        <v>5796.12</v>
      </c>
      <c r="G346" s="484">
        <f t="shared" si="23"/>
        <v>3.4694810321187486E-3</v>
      </c>
      <c r="J346" s="483">
        <f t="shared" si="20"/>
        <v>7.9932688262516205E-3</v>
      </c>
      <c r="K346" s="484">
        <f t="shared" si="21"/>
        <v>6.5662902551233415E-3</v>
      </c>
    </row>
    <row r="347" spans="1:11" x14ac:dyDescent="0.35">
      <c r="A347" s="490">
        <v>45385</v>
      </c>
      <c r="B347" s="491">
        <v>239.6</v>
      </c>
      <c r="C347" s="483">
        <f t="shared" si="22"/>
        <v>7.9932688262516205E-3</v>
      </c>
      <c r="E347" s="492">
        <v>45385</v>
      </c>
      <c r="F347" s="493">
        <v>5776.08</v>
      </c>
      <c r="G347" s="484">
        <f t="shared" si="23"/>
        <v>6.5662902551233415E-3</v>
      </c>
      <c r="J347" s="483">
        <f t="shared" si="20"/>
        <v>3.3769523005486857E-3</v>
      </c>
      <c r="K347" s="484">
        <f t="shared" si="21"/>
        <v>-3.9886277246077295E-3</v>
      </c>
    </row>
    <row r="348" spans="1:11" x14ac:dyDescent="0.35">
      <c r="A348" s="490">
        <v>45384</v>
      </c>
      <c r="B348" s="491">
        <v>237.7</v>
      </c>
      <c r="C348" s="483">
        <f t="shared" si="22"/>
        <v>3.3769523005486857E-3</v>
      </c>
      <c r="E348" s="492">
        <v>45384</v>
      </c>
      <c r="F348" s="493">
        <v>5738.4</v>
      </c>
      <c r="G348" s="484">
        <f t="shared" si="23"/>
        <v>-3.9886277246077295E-3</v>
      </c>
      <c r="J348" s="483">
        <f t="shared" si="20"/>
        <v>4.6649703138252896E-3</v>
      </c>
      <c r="K348" s="484">
        <f t="shared" si="21"/>
        <v>-2.9333734833419944E-3</v>
      </c>
    </row>
    <row r="349" spans="1:11" x14ac:dyDescent="0.35">
      <c r="A349" s="490">
        <v>45383</v>
      </c>
      <c r="B349" s="491">
        <v>236.9</v>
      </c>
      <c r="C349" s="483">
        <f t="shared" si="22"/>
        <v>4.6649703138252896E-3</v>
      </c>
      <c r="E349" s="492">
        <v>45383</v>
      </c>
      <c r="F349" s="493">
        <v>5761.38</v>
      </c>
      <c r="G349" s="484">
        <f t="shared" si="23"/>
        <v>-2.9333734833419944E-3</v>
      </c>
      <c r="J349" s="483">
        <f t="shared" si="20"/>
        <v>-1.2149141181399203E-2</v>
      </c>
      <c r="K349" s="484">
        <f t="shared" si="21"/>
        <v>2.7157503106192138E-3</v>
      </c>
    </row>
    <row r="350" spans="1:11" x14ac:dyDescent="0.35">
      <c r="A350" s="490">
        <v>45379</v>
      </c>
      <c r="B350" s="491">
        <v>235.8</v>
      </c>
      <c r="C350" s="483">
        <f t="shared" si="22"/>
        <v>-1.2149141181399203E-2</v>
      </c>
      <c r="E350" s="492">
        <v>45379</v>
      </c>
      <c r="F350" s="493">
        <v>5778.33</v>
      </c>
      <c r="G350" s="484">
        <f t="shared" si="23"/>
        <v>2.7157503106192138E-3</v>
      </c>
      <c r="J350" s="483">
        <f t="shared" si="20"/>
        <v>-1.2003311258278138E-2</v>
      </c>
      <c r="K350" s="484">
        <f t="shared" si="21"/>
        <v>-1.2290916445421018E-2</v>
      </c>
    </row>
    <row r="351" spans="1:11" x14ac:dyDescent="0.35">
      <c r="A351" s="490">
        <v>45378</v>
      </c>
      <c r="B351" s="491">
        <v>238.7</v>
      </c>
      <c r="C351" s="483">
        <f t="shared" si="22"/>
        <v>-1.2003311258278138E-2</v>
      </c>
      <c r="E351" s="492">
        <v>45378</v>
      </c>
      <c r="F351" s="493">
        <v>5762.68</v>
      </c>
      <c r="G351" s="484">
        <f t="shared" si="23"/>
        <v>-1.2290916445421018E-2</v>
      </c>
      <c r="J351" s="483">
        <f t="shared" si="20"/>
        <v>4.1562759767248547E-3</v>
      </c>
      <c r="K351" s="484">
        <f t="shared" si="21"/>
        <v>-1.8053877199301072E-2</v>
      </c>
    </row>
    <row r="352" spans="1:11" x14ac:dyDescent="0.35">
      <c r="A352" s="490">
        <v>45376</v>
      </c>
      <c r="B352" s="491">
        <v>241.6</v>
      </c>
      <c r="C352" s="483">
        <f t="shared" si="22"/>
        <v>4.1562759767248547E-3</v>
      </c>
      <c r="E352" s="492">
        <v>45376</v>
      </c>
      <c r="F352" s="493">
        <v>5834.39</v>
      </c>
      <c r="G352" s="484">
        <f t="shared" si="23"/>
        <v>-1.8053877199301072E-2</v>
      </c>
      <c r="J352" s="483">
        <f t="shared" si="20"/>
        <v>-4.1545492314076782E-4</v>
      </c>
      <c r="K352" s="484">
        <f t="shared" si="21"/>
        <v>1.1763143286255717E-2</v>
      </c>
    </row>
    <row r="353" spans="1:11" x14ac:dyDescent="0.35">
      <c r="A353" s="490">
        <v>45372</v>
      </c>
      <c r="B353" s="491">
        <v>240.6</v>
      </c>
      <c r="C353" s="483">
        <f t="shared" si="22"/>
        <v>-4.1545492314076782E-4</v>
      </c>
      <c r="E353" s="492">
        <v>45372</v>
      </c>
      <c r="F353" s="493">
        <v>5941.66</v>
      </c>
      <c r="G353" s="484">
        <f t="shared" si="23"/>
        <v>1.1763143286255717E-2</v>
      </c>
      <c r="J353" s="483">
        <f t="shared" si="20"/>
        <v>-7.4226804123711521E-3</v>
      </c>
      <c r="K353" s="484">
        <f t="shared" si="21"/>
        <v>1.0058306530675409E-2</v>
      </c>
    </row>
    <row r="354" spans="1:11" x14ac:dyDescent="0.35">
      <c r="A354" s="490">
        <v>45371</v>
      </c>
      <c r="B354" s="491">
        <v>240.7</v>
      </c>
      <c r="C354" s="483">
        <f t="shared" si="22"/>
        <v>-7.4226804123711521E-3</v>
      </c>
      <c r="E354" s="492">
        <v>45371</v>
      </c>
      <c r="F354" s="493">
        <v>5872.58</v>
      </c>
      <c r="G354" s="484">
        <f t="shared" si="23"/>
        <v>1.0058306530675409E-2</v>
      </c>
      <c r="J354" s="483">
        <f t="shared" si="20"/>
        <v>-4.1067761806981018E-3</v>
      </c>
      <c r="K354" s="484">
        <f t="shared" si="21"/>
        <v>-1.4265272352430469E-2</v>
      </c>
    </row>
    <row r="355" spans="1:11" x14ac:dyDescent="0.35">
      <c r="A355" s="490">
        <v>45370</v>
      </c>
      <c r="B355" s="491">
        <v>242.5</v>
      </c>
      <c r="C355" s="483">
        <f t="shared" si="22"/>
        <v>-4.1067761806981018E-3</v>
      </c>
      <c r="E355" s="492">
        <v>45370</v>
      </c>
      <c r="F355" s="493">
        <v>5814.1</v>
      </c>
      <c r="G355" s="484">
        <f t="shared" si="23"/>
        <v>-1.4265272352430469E-2</v>
      </c>
      <c r="J355" s="483">
        <f t="shared" si="20"/>
        <v>8.2203041512540764E-4</v>
      </c>
      <c r="K355" s="484">
        <f t="shared" si="21"/>
        <v>-1.1695632066809236E-2</v>
      </c>
    </row>
    <row r="356" spans="1:11" x14ac:dyDescent="0.35">
      <c r="A356" s="490">
        <v>45369</v>
      </c>
      <c r="B356" s="491">
        <v>243.5</v>
      </c>
      <c r="C356" s="483">
        <f t="shared" si="22"/>
        <v>8.2203041512540764E-4</v>
      </c>
      <c r="E356" s="492">
        <v>45369</v>
      </c>
      <c r="F356" s="493">
        <v>5898.24</v>
      </c>
      <c r="G356" s="484">
        <f t="shared" si="23"/>
        <v>-1.1695632066809236E-2</v>
      </c>
      <c r="J356" s="483">
        <f t="shared" si="20"/>
        <v>8.7064676616916969E-3</v>
      </c>
      <c r="K356" s="484">
        <f t="shared" si="21"/>
        <v>-1.0160509264141027E-3</v>
      </c>
    </row>
    <row r="357" spans="1:11" x14ac:dyDescent="0.35">
      <c r="A357" s="490">
        <v>45365</v>
      </c>
      <c r="B357" s="491">
        <v>243.3</v>
      </c>
      <c r="C357" s="483">
        <f t="shared" si="22"/>
        <v>8.7064676616916969E-3</v>
      </c>
      <c r="E357" s="492">
        <v>45365</v>
      </c>
      <c r="F357" s="493">
        <v>5968.04</v>
      </c>
      <c r="G357" s="484">
        <f t="shared" si="23"/>
        <v>-1.0160509264141027E-3</v>
      </c>
      <c r="J357" s="483">
        <f t="shared" si="20"/>
        <v>-1.5108207431604792E-2</v>
      </c>
      <c r="K357" s="484">
        <f t="shared" si="21"/>
        <v>-5.4554111285726181E-3</v>
      </c>
    </row>
    <row r="358" spans="1:11" x14ac:dyDescent="0.35">
      <c r="A358" s="490">
        <v>45364</v>
      </c>
      <c r="B358" s="491">
        <v>241.2</v>
      </c>
      <c r="C358" s="483">
        <f t="shared" si="22"/>
        <v>-1.5108207431604792E-2</v>
      </c>
      <c r="E358" s="492">
        <v>45364</v>
      </c>
      <c r="F358" s="493">
        <v>5974.11</v>
      </c>
      <c r="G358" s="484">
        <f t="shared" si="23"/>
        <v>-5.4554111285726181E-3</v>
      </c>
      <c r="J358" s="483">
        <f t="shared" si="20"/>
        <v>-6.8937550689375238E-3</v>
      </c>
      <c r="K358" s="484">
        <f t="shared" si="21"/>
        <v>-8.5022588509489072E-3</v>
      </c>
    </row>
    <row r="359" spans="1:11" x14ac:dyDescent="0.35">
      <c r="A359" s="490">
        <v>45363</v>
      </c>
      <c r="B359" s="491">
        <v>244.9</v>
      </c>
      <c r="C359" s="483">
        <f t="shared" si="22"/>
        <v>-6.8937550689375238E-3</v>
      </c>
      <c r="E359" s="492">
        <v>45363</v>
      </c>
      <c r="F359" s="493">
        <v>6006.88</v>
      </c>
      <c r="G359" s="484">
        <f t="shared" si="23"/>
        <v>-8.5022588509489072E-3</v>
      </c>
      <c r="J359" s="483">
        <f t="shared" si="20"/>
        <v>-2.7218934911242609E-2</v>
      </c>
      <c r="K359" s="484">
        <f t="shared" si="21"/>
        <v>-8.8945091906110774E-3</v>
      </c>
    </row>
    <row r="360" spans="1:11" x14ac:dyDescent="0.35">
      <c r="A360" s="490">
        <v>45362</v>
      </c>
      <c r="B360" s="491">
        <v>246.6</v>
      </c>
      <c r="C360" s="483">
        <f t="shared" si="22"/>
        <v>-2.7218934911242609E-2</v>
      </c>
      <c r="E360" s="492">
        <v>45362</v>
      </c>
      <c r="F360" s="493">
        <v>6058.39</v>
      </c>
      <c r="G360" s="484">
        <f t="shared" si="23"/>
        <v>-8.8945091906110774E-3</v>
      </c>
      <c r="J360" s="483">
        <f t="shared" si="20"/>
        <v>-1.2465913517724969E-2</v>
      </c>
      <c r="K360" s="484">
        <f t="shared" si="21"/>
        <v>-8.6569555670159559E-3</v>
      </c>
    </row>
    <row r="361" spans="1:11" x14ac:dyDescent="0.35">
      <c r="A361" s="490">
        <v>45358</v>
      </c>
      <c r="B361" s="491">
        <v>253.5</v>
      </c>
      <c r="C361" s="483">
        <f t="shared" si="22"/>
        <v>-1.2465913517724969E-2</v>
      </c>
      <c r="E361" s="492">
        <v>45358</v>
      </c>
      <c r="F361" s="493">
        <v>6112.76</v>
      </c>
      <c r="G361" s="484">
        <f t="shared" si="23"/>
        <v>-8.6569555670159559E-3</v>
      </c>
      <c r="J361" s="483">
        <f t="shared" si="20"/>
        <v>1.62311955661123E-2</v>
      </c>
      <c r="K361" s="484">
        <f t="shared" si="21"/>
        <v>5.7085631709601348E-3</v>
      </c>
    </row>
    <row r="362" spans="1:11" x14ac:dyDescent="0.35">
      <c r="A362" s="490">
        <v>45357</v>
      </c>
      <c r="B362" s="491">
        <v>256.7</v>
      </c>
      <c r="C362" s="483">
        <f t="shared" si="22"/>
        <v>1.62311955661123E-2</v>
      </c>
      <c r="E362" s="492">
        <v>45357</v>
      </c>
      <c r="F362" s="493">
        <v>6166.14</v>
      </c>
      <c r="G362" s="484">
        <f t="shared" si="23"/>
        <v>5.7085631709601348E-3</v>
      </c>
      <c r="J362" s="483">
        <f t="shared" si="20"/>
        <v>-1.7884914463452528E-2</v>
      </c>
      <c r="K362" s="484">
        <f t="shared" si="21"/>
        <v>-7.1430306465324334E-3</v>
      </c>
    </row>
    <row r="363" spans="1:11" x14ac:dyDescent="0.35">
      <c r="A363" s="490">
        <v>45356</v>
      </c>
      <c r="B363" s="491">
        <v>252.6</v>
      </c>
      <c r="C363" s="483">
        <f t="shared" si="22"/>
        <v>-1.7884914463452528E-2</v>
      </c>
      <c r="E363" s="492">
        <v>45356</v>
      </c>
      <c r="F363" s="493">
        <v>6131.14</v>
      </c>
      <c r="G363" s="484">
        <f t="shared" si="23"/>
        <v>-7.1430306465324334E-3</v>
      </c>
      <c r="J363" s="483">
        <f t="shared" si="20"/>
        <v>-0.10258199581297989</v>
      </c>
      <c r="K363" s="484">
        <f t="shared" si="21"/>
        <v>-5.7420963940751912E-2</v>
      </c>
    </row>
    <row r="364" spans="1:11" x14ac:dyDescent="0.35">
      <c r="A364" s="490">
        <v>45355</v>
      </c>
      <c r="B364" s="491">
        <v>257.2</v>
      </c>
      <c r="C364" s="483">
        <f t="shared" si="22"/>
        <v>-0.10258199581297989</v>
      </c>
      <c r="E364" s="492">
        <v>45355</v>
      </c>
      <c r="F364" s="493">
        <v>6175.25</v>
      </c>
      <c r="G364" s="484">
        <f t="shared" si="23"/>
        <v>-5.7420963940751912E-2</v>
      </c>
      <c r="J364" s="483">
        <f t="shared" si="20"/>
        <v>-6.9735006973492553E-4</v>
      </c>
      <c r="K364" s="484">
        <f t="shared" si="21"/>
        <v>-6.8549841889683494E-3</v>
      </c>
    </row>
    <row r="365" spans="1:11" x14ac:dyDescent="0.35">
      <c r="A365" s="490">
        <v>44825</v>
      </c>
      <c r="B365" s="491">
        <v>286.60000000000002</v>
      </c>
      <c r="C365" s="483">
        <f t="shared" si="22"/>
        <v>-6.9735006973492553E-4</v>
      </c>
      <c r="E365" s="492">
        <v>44825</v>
      </c>
      <c r="F365" s="493">
        <v>6551.44</v>
      </c>
      <c r="G365" s="484">
        <f t="shared" si="23"/>
        <v>-6.8549841889683494E-3</v>
      </c>
      <c r="J365" s="483">
        <f t="shared" si="20"/>
        <v>-1.3927576601669989E-3</v>
      </c>
      <c r="K365" s="484">
        <f t="shared" si="21"/>
        <v>-6.3930869823425329E-4</v>
      </c>
    </row>
    <row r="366" spans="1:11" x14ac:dyDescent="0.35">
      <c r="A366" s="490">
        <v>44824</v>
      </c>
      <c r="B366" s="491">
        <v>286.8</v>
      </c>
      <c r="C366" s="483">
        <f t="shared" si="22"/>
        <v>-1.3927576601669989E-3</v>
      </c>
      <c r="E366" s="492">
        <v>44824</v>
      </c>
      <c r="F366" s="493">
        <v>6596.66</v>
      </c>
      <c r="G366" s="484">
        <f t="shared" si="23"/>
        <v>-6.3930869823425329E-4</v>
      </c>
      <c r="J366" s="483">
        <f t="shared" si="20"/>
        <v>2.0935101186321248E-3</v>
      </c>
      <c r="K366" s="484">
        <f t="shared" si="21"/>
        <v>9.6793930494369906E-3</v>
      </c>
    </row>
    <row r="367" spans="1:11" x14ac:dyDescent="0.35">
      <c r="A367" s="490">
        <v>44823</v>
      </c>
      <c r="B367" s="491">
        <v>287.2</v>
      </c>
      <c r="C367" s="483">
        <f t="shared" si="22"/>
        <v>2.0935101186321248E-3</v>
      </c>
      <c r="E367" s="492">
        <v>44823</v>
      </c>
      <c r="F367" s="493">
        <v>6600.88</v>
      </c>
      <c r="G367" s="484">
        <f t="shared" si="23"/>
        <v>9.6793930494369906E-3</v>
      </c>
      <c r="J367" s="483">
        <f t="shared" si="20"/>
        <v>-1.3937282229964376E-3</v>
      </c>
      <c r="K367" s="484">
        <f t="shared" si="21"/>
        <v>-3.4176725070960146E-3</v>
      </c>
    </row>
    <row r="368" spans="1:11" x14ac:dyDescent="0.35">
      <c r="A368" s="490">
        <v>44817</v>
      </c>
      <c r="B368" s="491">
        <v>286.60000000000002</v>
      </c>
      <c r="C368" s="483">
        <f t="shared" si="22"/>
        <v>-1.3937282229964376E-3</v>
      </c>
      <c r="E368" s="492">
        <v>44817</v>
      </c>
      <c r="F368" s="493">
        <v>6537.6</v>
      </c>
      <c r="G368" s="484">
        <f t="shared" si="23"/>
        <v>-3.4176725070960146E-3</v>
      </c>
      <c r="J368" s="483">
        <f t="shared" si="20"/>
        <v>6.9735006973492553E-4</v>
      </c>
      <c r="K368" s="484">
        <f t="shared" si="21"/>
        <v>1.9183011427332808E-3</v>
      </c>
    </row>
    <row r="369" spans="1:11" x14ac:dyDescent="0.35">
      <c r="A369" s="490">
        <v>44812</v>
      </c>
      <c r="B369" s="491">
        <v>287</v>
      </c>
      <c r="C369" s="483">
        <f t="shared" si="22"/>
        <v>6.9735006973492553E-4</v>
      </c>
      <c r="E369" s="492">
        <v>44812</v>
      </c>
      <c r="F369" s="493">
        <v>6560.02</v>
      </c>
      <c r="G369" s="484">
        <f t="shared" si="23"/>
        <v>1.9183011427332808E-3</v>
      </c>
      <c r="J369" s="483">
        <f t="shared" si="20"/>
        <v>3.4879665155229667E-4</v>
      </c>
      <c r="K369" s="484">
        <f t="shared" si="21"/>
        <v>1.1815793540411068E-2</v>
      </c>
    </row>
    <row r="370" spans="1:11" x14ac:dyDescent="0.35">
      <c r="A370" s="490">
        <v>44811</v>
      </c>
      <c r="B370" s="491">
        <v>286.8</v>
      </c>
      <c r="C370" s="483">
        <f t="shared" si="22"/>
        <v>3.4879665155229667E-4</v>
      </c>
      <c r="E370" s="492">
        <v>44811</v>
      </c>
      <c r="F370" s="493">
        <v>6547.46</v>
      </c>
      <c r="G370" s="484">
        <f t="shared" si="23"/>
        <v>1.1815793540411068E-2</v>
      </c>
      <c r="J370" s="483">
        <f t="shared" si="20"/>
        <v>-4.8594238111767663E-3</v>
      </c>
      <c r="K370" s="484">
        <f t="shared" si="21"/>
        <v>6.16511307890244E-3</v>
      </c>
    </row>
    <row r="371" spans="1:11" x14ac:dyDescent="0.35">
      <c r="A371" s="490">
        <v>44810</v>
      </c>
      <c r="B371" s="491">
        <v>286.7</v>
      </c>
      <c r="C371" s="483">
        <f t="shared" si="22"/>
        <v>-4.8594238111767663E-3</v>
      </c>
      <c r="E371" s="492">
        <v>44810</v>
      </c>
      <c r="F371" s="493">
        <v>6471</v>
      </c>
      <c r="G371" s="484">
        <f t="shared" si="23"/>
        <v>6.16511307890244E-3</v>
      </c>
      <c r="J371" s="483">
        <f t="shared" si="20"/>
        <v>-6.5517241379309255E-3</v>
      </c>
      <c r="K371" s="484">
        <f t="shared" si="21"/>
        <v>-1.1870430091832085E-2</v>
      </c>
    </row>
    <row r="372" spans="1:11" x14ac:dyDescent="0.35">
      <c r="A372" s="490">
        <v>44809</v>
      </c>
      <c r="B372" s="491">
        <v>288.10000000000002</v>
      </c>
      <c r="C372" s="483">
        <f t="shared" si="22"/>
        <v>-6.5517241379309255E-3</v>
      </c>
      <c r="E372" s="492">
        <v>44809</v>
      </c>
      <c r="F372" s="493">
        <v>6431.35</v>
      </c>
      <c r="G372" s="484">
        <f t="shared" si="23"/>
        <v>-1.1870430091832085E-2</v>
      </c>
      <c r="J372" s="483">
        <f t="shared" si="20"/>
        <v>7.6441973592771273E-3</v>
      </c>
      <c r="K372" s="484">
        <f t="shared" si="21"/>
        <v>7.9585332387621666E-3</v>
      </c>
    </row>
    <row r="373" spans="1:11" x14ac:dyDescent="0.35">
      <c r="A373" s="490">
        <v>44805</v>
      </c>
      <c r="B373" s="491">
        <v>290</v>
      </c>
      <c r="C373" s="483">
        <f t="shared" si="22"/>
        <v>7.6441973592771273E-3</v>
      </c>
      <c r="E373" s="492">
        <v>44805</v>
      </c>
      <c r="F373" s="493">
        <v>6508.61</v>
      </c>
      <c r="G373" s="484">
        <f t="shared" si="23"/>
        <v>7.9585332387621666E-3</v>
      </c>
      <c r="J373" s="483">
        <f t="shared" si="20"/>
        <v>-1.0413051023950848E-3</v>
      </c>
      <c r="K373" s="484">
        <f t="shared" si="21"/>
        <v>3.7914883496066309E-3</v>
      </c>
    </row>
    <row r="374" spans="1:11" x14ac:dyDescent="0.35">
      <c r="A374" s="490">
        <v>44804</v>
      </c>
      <c r="B374" s="491">
        <v>287.8</v>
      </c>
      <c r="C374" s="483">
        <f t="shared" si="22"/>
        <v>-1.0413051023950848E-3</v>
      </c>
      <c r="E374" s="492">
        <v>44804</v>
      </c>
      <c r="F374" s="493">
        <v>6457.22</v>
      </c>
      <c r="G374" s="484">
        <f t="shared" si="23"/>
        <v>3.7914883496066309E-3</v>
      </c>
      <c r="J374" s="483">
        <f t="shared" si="20"/>
        <v>-1.739427012278294E-2</v>
      </c>
      <c r="K374" s="484">
        <f t="shared" si="21"/>
        <v>3.8779771472445823E-3</v>
      </c>
    </row>
    <row r="375" spans="1:11" x14ac:dyDescent="0.35">
      <c r="A375" s="490">
        <v>44803</v>
      </c>
      <c r="B375" s="491">
        <v>288.10000000000002</v>
      </c>
      <c r="C375" s="483">
        <f t="shared" si="22"/>
        <v>-1.739427012278294E-2</v>
      </c>
      <c r="E375" s="492">
        <v>44803</v>
      </c>
      <c r="F375" s="493">
        <v>6432.83</v>
      </c>
      <c r="G375" s="484">
        <f t="shared" si="23"/>
        <v>3.8779771472445823E-3</v>
      </c>
      <c r="J375" s="483">
        <f t="shared" si="20"/>
        <v>2.1602787456445949E-2</v>
      </c>
      <c r="K375" s="484">
        <f t="shared" si="21"/>
        <v>8.3256360669512475E-3</v>
      </c>
    </row>
    <row r="376" spans="1:11" x14ac:dyDescent="0.35">
      <c r="A376" s="490">
        <v>44802</v>
      </c>
      <c r="B376" s="491">
        <v>293.2</v>
      </c>
      <c r="C376" s="483">
        <f t="shared" si="22"/>
        <v>2.1602787456445949E-2</v>
      </c>
      <c r="E376" s="492">
        <v>44802</v>
      </c>
      <c r="F376" s="493">
        <v>6407.98</v>
      </c>
      <c r="G376" s="484">
        <f t="shared" si="23"/>
        <v>8.3256360669512475E-3</v>
      </c>
      <c r="J376" s="483">
        <f t="shared" si="20"/>
        <v>1.3956734124214165E-3</v>
      </c>
      <c r="K376" s="484">
        <f t="shared" si="21"/>
        <v>1.1897426098863795E-2</v>
      </c>
    </row>
    <row r="377" spans="1:11" x14ac:dyDescent="0.35">
      <c r="A377" s="490">
        <v>44798</v>
      </c>
      <c r="B377" s="491">
        <v>287</v>
      </c>
      <c r="C377" s="483">
        <f t="shared" si="22"/>
        <v>1.3956734124214165E-3</v>
      </c>
      <c r="E377" s="492">
        <v>44798</v>
      </c>
      <c r="F377" s="493">
        <v>6355.07</v>
      </c>
      <c r="G377" s="484">
        <f t="shared" si="23"/>
        <v>1.1897426098863795E-2</v>
      </c>
      <c r="J377" s="483">
        <f t="shared" si="20"/>
        <v>-1.0456605088879911E-3</v>
      </c>
      <c r="K377" s="484">
        <f t="shared" si="21"/>
        <v>-5.6176306202034842E-3</v>
      </c>
    </row>
    <row r="378" spans="1:11" x14ac:dyDescent="0.35">
      <c r="A378" s="490">
        <v>44797</v>
      </c>
      <c r="B378" s="491">
        <v>286.60000000000002</v>
      </c>
      <c r="C378" s="483">
        <f t="shared" si="22"/>
        <v>-1.0456605088879911E-3</v>
      </c>
      <c r="E378" s="492">
        <v>44797</v>
      </c>
      <c r="F378" s="493">
        <v>6280.35</v>
      </c>
      <c r="G378" s="484">
        <f t="shared" si="23"/>
        <v>-5.6176306202034842E-3</v>
      </c>
      <c r="J378" s="483">
        <f t="shared" si="20"/>
        <v>6.9759330310414924E-4</v>
      </c>
      <c r="K378" s="484">
        <f t="shared" si="21"/>
        <v>2.4904208477907197E-3</v>
      </c>
    </row>
    <row r="379" spans="1:11" x14ac:dyDescent="0.35">
      <c r="A379" s="490">
        <v>44796</v>
      </c>
      <c r="B379" s="491">
        <v>286.89999999999998</v>
      </c>
      <c r="C379" s="483">
        <f t="shared" si="22"/>
        <v>6.9759330310414924E-4</v>
      </c>
      <c r="E379" s="492">
        <v>44796</v>
      </c>
      <c r="F379" s="493">
        <v>6315.83</v>
      </c>
      <c r="G379" s="484">
        <f t="shared" si="23"/>
        <v>2.4904208477907197E-3</v>
      </c>
      <c r="J379" s="483">
        <f t="shared" si="20"/>
        <v>-3.4867503486757379E-4</v>
      </c>
      <c r="K379" s="484">
        <f t="shared" si="21"/>
        <v>9.4048809249149823E-3</v>
      </c>
    </row>
    <row r="380" spans="1:11" x14ac:dyDescent="0.35">
      <c r="A380" s="490">
        <v>44795</v>
      </c>
      <c r="B380" s="491">
        <v>286.7</v>
      </c>
      <c r="C380" s="483">
        <f t="shared" si="22"/>
        <v>-3.4867503486757379E-4</v>
      </c>
      <c r="E380" s="492">
        <v>44795</v>
      </c>
      <c r="F380" s="493">
        <v>6300.14</v>
      </c>
      <c r="G380" s="484">
        <f t="shared" si="23"/>
        <v>9.4048809249149823E-3</v>
      </c>
      <c r="J380" s="483">
        <f t="shared" si="20"/>
        <v>-6.968641114981633E-4</v>
      </c>
      <c r="K380" s="484">
        <f t="shared" si="21"/>
        <v>2.4944144711374072E-3</v>
      </c>
    </row>
    <row r="381" spans="1:11" x14ac:dyDescent="0.35">
      <c r="A381" s="490">
        <v>44790</v>
      </c>
      <c r="B381" s="491">
        <v>286.8</v>
      </c>
      <c r="C381" s="483">
        <f t="shared" si="22"/>
        <v>-6.968641114981633E-4</v>
      </c>
      <c r="E381" s="492">
        <v>44790</v>
      </c>
      <c r="F381" s="493">
        <v>6241.44</v>
      </c>
      <c r="G381" s="484">
        <f t="shared" si="23"/>
        <v>2.4944144711374072E-3</v>
      </c>
      <c r="J381" s="483">
        <f t="shared" si="20"/>
        <v>-1.0442046641142566E-3</v>
      </c>
      <c r="K381" s="484">
        <f t="shared" si="21"/>
        <v>1.2545598550604442E-2</v>
      </c>
    </row>
    <row r="382" spans="1:11" x14ac:dyDescent="0.35">
      <c r="A382" s="490">
        <v>44789</v>
      </c>
      <c r="B382" s="491">
        <v>287</v>
      </c>
      <c r="C382" s="483">
        <f t="shared" si="22"/>
        <v>-1.0442046641142566E-3</v>
      </c>
      <c r="E382" s="492">
        <v>44789</v>
      </c>
      <c r="F382" s="493">
        <v>6225.91</v>
      </c>
      <c r="G382" s="484">
        <f t="shared" si="23"/>
        <v>1.2545598550604442E-2</v>
      </c>
      <c r="J382" s="483">
        <f t="shared" si="20"/>
        <v>-5.0875454245127072E-2</v>
      </c>
      <c r="K382" s="484">
        <f t="shared" si="21"/>
        <v>-1.7603591656747408E-2</v>
      </c>
    </row>
    <row r="383" spans="1:11" x14ac:dyDescent="0.35">
      <c r="A383" s="490">
        <v>44784</v>
      </c>
      <c r="B383" s="491">
        <v>287.3</v>
      </c>
      <c r="C383" s="483">
        <f t="shared" si="22"/>
        <v>-5.0875454245127072E-2</v>
      </c>
      <c r="E383" s="492">
        <v>44784</v>
      </c>
      <c r="F383" s="493">
        <v>6148.77</v>
      </c>
      <c r="G383" s="484">
        <f t="shared" si="23"/>
        <v>-1.7603591656747408E-2</v>
      </c>
      <c r="J383" s="483">
        <f t="shared" si="20"/>
        <v>1.0010010010010006E-2</v>
      </c>
      <c r="K383" s="484">
        <f t="shared" si="21"/>
        <v>-8.443898768268121E-3</v>
      </c>
    </row>
    <row r="384" spans="1:11" x14ac:dyDescent="0.35">
      <c r="A384" s="490">
        <v>44781</v>
      </c>
      <c r="B384" s="491">
        <v>302.7</v>
      </c>
      <c r="C384" s="483">
        <f t="shared" si="22"/>
        <v>1.0010010010010006E-2</v>
      </c>
      <c r="E384" s="492">
        <v>44781</v>
      </c>
      <c r="F384" s="493">
        <v>6258.95</v>
      </c>
      <c r="G384" s="484">
        <f t="shared" si="23"/>
        <v>-8.443898768268121E-3</v>
      </c>
      <c r="J384" s="483">
        <f t="shared" si="20"/>
        <v>6.7181726570373357E-3</v>
      </c>
      <c r="K384" s="484">
        <f t="shared" si="21"/>
        <v>1.9269504818171246E-3</v>
      </c>
    </row>
    <row r="385" spans="1:11" x14ac:dyDescent="0.35">
      <c r="A385" s="490">
        <v>44777</v>
      </c>
      <c r="B385" s="491">
        <v>299.7</v>
      </c>
      <c r="C385" s="483">
        <f t="shared" si="22"/>
        <v>6.7181726570373357E-3</v>
      </c>
      <c r="E385" s="492">
        <v>44777</v>
      </c>
      <c r="F385" s="493">
        <v>6312.25</v>
      </c>
      <c r="G385" s="484">
        <f t="shared" si="23"/>
        <v>1.9269504818171246E-3</v>
      </c>
      <c r="J385" s="483">
        <f t="shared" si="20"/>
        <v>-3.0140656396517862E-3</v>
      </c>
      <c r="K385" s="484">
        <f t="shared" si="21"/>
        <v>8.1418030701383426E-3</v>
      </c>
    </row>
    <row r="386" spans="1:11" x14ac:dyDescent="0.35">
      <c r="A386" s="490">
        <v>44776</v>
      </c>
      <c r="B386" s="491">
        <v>297.7</v>
      </c>
      <c r="C386" s="483">
        <f t="shared" si="22"/>
        <v>-3.0140656396517862E-3</v>
      </c>
      <c r="E386" s="492">
        <v>44776</v>
      </c>
      <c r="F386" s="493">
        <v>6300.11</v>
      </c>
      <c r="G386" s="484">
        <f t="shared" si="23"/>
        <v>8.1418030701383426E-3</v>
      </c>
      <c r="J386" s="483">
        <f t="shared" si="20"/>
        <v>2.686366689053088E-3</v>
      </c>
      <c r="K386" s="484">
        <f t="shared" si="21"/>
        <v>1.3828705108217099E-2</v>
      </c>
    </row>
    <row r="387" spans="1:11" x14ac:dyDescent="0.35">
      <c r="A387" s="490">
        <v>44775</v>
      </c>
      <c r="B387" s="491">
        <v>298.60000000000002</v>
      </c>
      <c r="C387" s="483">
        <f t="shared" si="22"/>
        <v>2.686366689053088E-3</v>
      </c>
      <c r="E387" s="492">
        <v>44775</v>
      </c>
      <c r="F387" s="493">
        <v>6249.23</v>
      </c>
      <c r="G387" s="484">
        <f t="shared" si="23"/>
        <v>1.3828705108217099E-2</v>
      </c>
      <c r="J387" s="483">
        <f t="shared" ref="J387:J450" si="24">(B388/B389)-1</f>
        <v>4.2352117605880313E-2</v>
      </c>
      <c r="K387" s="484">
        <f t="shared" ref="K387:K450" si="25">(F388/F389)-1</f>
        <v>3.0679657754940637E-2</v>
      </c>
    </row>
    <row r="388" spans="1:11" x14ac:dyDescent="0.35">
      <c r="A388" s="490">
        <v>44774</v>
      </c>
      <c r="B388" s="491">
        <v>297.8</v>
      </c>
      <c r="C388" s="483">
        <f t="shared" ref="C388:C451" si="26">(B388/B389)-1</f>
        <v>4.2352117605880313E-2</v>
      </c>
      <c r="E388" s="492">
        <v>44774</v>
      </c>
      <c r="F388" s="493">
        <v>6163.99</v>
      </c>
      <c r="G388" s="484">
        <f t="shared" ref="G388:G451" si="27">(F388/F389)-1</f>
        <v>3.0679657754940637E-2</v>
      </c>
      <c r="J388" s="483">
        <f t="shared" si="24"/>
        <v>-2.0957038071953704E-3</v>
      </c>
      <c r="K388" s="484">
        <f t="shared" si="25"/>
        <v>-2.1553437768415895E-2</v>
      </c>
    </row>
    <row r="389" spans="1:11" x14ac:dyDescent="0.35">
      <c r="A389" s="490">
        <v>44770</v>
      </c>
      <c r="B389" s="491">
        <v>285.7</v>
      </c>
      <c r="C389" s="483">
        <f t="shared" si="26"/>
        <v>-2.0957038071953704E-3</v>
      </c>
      <c r="E389" s="492">
        <v>44770</v>
      </c>
      <c r="F389" s="493">
        <v>5980.51</v>
      </c>
      <c r="G389" s="484">
        <f t="shared" si="27"/>
        <v>-2.1553437768415895E-2</v>
      </c>
      <c r="J389" s="483">
        <f t="shared" si="24"/>
        <v>-2.7864855451062986E-3</v>
      </c>
      <c r="K389" s="484">
        <f t="shared" si="25"/>
        <v>-2.3292178920497619E-3</v>
      </c>
    </row>
    <row r="390" spans="1:11" x14ac:dyDescent="0.35">
      <c r="A390" s="490">
        <v>44768</v>
      </c>
      <c r="B390" s="491">
        <v>286.3</v>
      </c>
      <c r="C390" s="483">
        <f t="shared" si="26"/>
        <v>-2.7864855451062986E-3</v>
      </c>
      <c r="E390" s="492">
        <v>44768</v>
      </c>
      <c r="F390" s="493">
        <v>6112.25</v>
      </c>
      <c r="G390" s="484">
        <f t="shared" si="27"/>
        <v>-2.3292178920497619E-3</v>
      </c>
      <c r="J390" s="483">
        <f t="shared" si="24"/>
        <v>3.8461538461538325E-3</v>
      </c>
      <c r="K390" s="484">
        <f t="shared" si="25"/>
        <v>-1.9987652289782387E-3</v>
      </c>
    </row>
    <row r="391" spans="1:11" x14ac:dyDescent="0.35">
      <c r="A391" s="490">
        <v>44763</v>
      </c>
      <c r="B391" s="491">
        <v>287.10000000000002</v>
      </c>
      <c r="C391" s="483">
        <f t="shared" si="26"/>
        <v>3.8461538461538325E-3</v>
      </c>
      <c r="E391" s="492">
        <v>44763</v>
      </c>
      <c r="F391" s="493">
        <v>6126.52</v>
      </c>
      <c r="G391" s="484">
        <f t="shared" si="27"/>
        <v>-1.9987652289782387E-3</v>
      </c>
      <c r="J391" s="483">
        <f t="shared" si="24"/>
        <v>-1.0478519035976852E-3</v>
      </c>
      <c r="K391" s="484">
        <f t="shared" si="25"/>
        <v>-2.3386281564979905E-3</v>
      </c>
    </row>
    <row r="392" spans="1:11" x14ac:dyDescent="0.35">
      <c r="A392" s="490">
        <v>44762</v>
      </c>
      <c r="B392" s="491">
        <v>286</v>
      </c>
      <c r="C392" s="483">
        <f t="shared" si="26"/>
        <v>-1.0478519035976852E-3</v>
      </c>
      <c r="E392" s="492">
        <v>44762</v>
      </c>
      <c r="F392" s="493">
        <v>6138.79</v>
      </c>
      <c r="G392" s="484">
        <f t="shared" si="27"/>
        <v>-2.3386281564979905E-3</v>
      </c>
      <c r="J392" s="483">
        <f t="shared" si="24"/>
        <v>-1.1053540587219302E-2</v>
      </c>
      <c r="K392" s="484">
        <f t="shared" si="25"/>
        <v>-1.0247889217920858E-2</v>
      </c>
    </row>
    <row r="393" spans="1:11" x14ac:dyDescent="0.35">
      <c r="A393" s="490">
        <v>44761</v>
      </c>
      <c r="B393" s="491">
        <v>286.3</v>
      </c>
      <c r="C393" s="483">
        <f t="shared" si="26"/>
        <v>-1.1053540587219302E-2</v>
      </c>
      <c r="E393" s="492">
        <v>44761</v>
      </c>
      <c r="F393" s="493">
        <v>6153.18</v>
      </c>
      <c r="G393" s="484">
        <f t="shared" si="27"/>
        <v>-1.0247889217920858E-2</v>
      </c>
      <c r="J393" s="483">
        <f t="shared" si="24"/>
        <v>2.7710426047800052E-3</v>
      </c>
      <c r="K393" s="484">
        <f t="shared" si="25"/>
        <v>-1.7014783777373643E-2</v>
      </c>
    </row>
    <row r="394" spans="1:11" x14ac:dyDescent="0.35">
      <c r="A394" s="490">
        <v>44760</v>
      </c>
      <c r="B394" s="491">
        <v>289.5</v>
      </c>
      <c r="C394" s="483">
        <f t="shared" si="26"/>
        <v>2.7710426047800052E-3</v>
      </c>
      <c r="E394" s="492">
        <v>44760</v>
      </c>
      <c r="F394" s="493">
        <v>6216.89</v>
      </c>
      <c r="G394" s="484">
        <f t="shared" si="27"/>
        <v>-1.7014783777373643E-2</v>
      </c>
      <c r="J394" s="483">
        <f t="shared" si="24"/>
        <v>3.1271716469769562E-3</v>
      </c>
      <c r="K394" s="484">
        <f t="shared" si="25"/>
        <v>-4.9013330044811454E-5</v>
      </c>
    </row>
    <row r="395" spans="1:11" x14ac:dyDescent="0.35">
      <c r="A395" s="490">
        <v>44756</v>
      </c>
      <c r="B395" s="491">
        <v>288.7</v>
      </c>
      <c r="C395" s="483">
        <f t="shared" si="26"/>
        <v>3.1271716469769562E-3</v>
      </c>
      <c r="E395" s="492">
        <v>44756</v>
      </c>
      <c r="F395" s="493">
        <v>6324.5</v>
      </c>
      <c r="G395" s="484">
        <f t="shared" si="27"/>
        <v>-4.9013330044811454E-5</v>
      </c>
      <c r="J395" s="483">
        <f t="shared" si="24"/>
        <v>-4.4967139398132128E-3</v>
      </c>
      <c r="K395" s="484">
        <f t="shared" si="25"/>
        <v>-4.8273225195852865E-3</v>
      </c>
    </row>
    <row r="396" spans="1:11" x14ac:dyDescent="0.35">
      <c r="A396" s="490">
        <v>44755</v>
      </c>
      <c r="B396" s="491">
        <v>287.8</v>
      </c>
      <c r="C396" s="483">
        <f t="shared" si="26"/>
        <v>-4.4967139398132128E-3</v>
      </c>
      <c r="E396" s="492">
        <v>44755</v>
      </c>
      <c r="F396" s="493">
        <v>6324.81</v>
      </c>
      <c r="G396" s="484">
        <f t="shared" si="27"/>
        <v>-4.8273225195852865E-3</v>
      </c>
      <c r="J396" s="483">
        <f t="shared" si="24"/>
        <v>2.7748872702046956E-3</v>
      </c>
      <c r="K396" s="484">
        <f t="shared" si="25"/>
        <v>-1.7999198988526421E-3</v>
      </c>
    </row>
    <row r="397" spans="1:11" x14ac:dyDescent="0.35">
      <c r="A397" s="490">
        <v>44754</v>
      </c>
      <c r="B397" s="491">
        <v>289.10000000000002</v>
      </c>
      <c r="C397" s="483">
        <f t="shared" si="26"/>
        <v>2.7748872702046956E-3</v>
      </c>
      <c r="E397" s="492">
        <v>44754</v>
      </c>
      <c r="F397" s="493">
        <v>6355.49</v>
      </c>
      <c r="G397" s="484">
        <f t="shared" si="27"/>
        <v>-1.7999198988526421E-3</v>
      </c>
      <c r="J397" s="483">
        <f t="shared" si="24"/>
        <v>-1.7047391749062446E-2</v>
      </c>
      <c r="K397" s="484">
        <f t="shared" si="25"/>
        <v>1.4137494992971789E-4</v>
      </c>
    </row>
    <row r="398" spans="1:11" x14ac:dyDescent="0.35">
      <c r="A398" s="490">
        <v>44749</v>
      </c>
      <c r="B398" s="491">
        <v>288.3</v>
      </c>
      <c r="C398" s="483">
        <f t="shared" si="26"/>
        <v>-1.7047391749062446E-2</v>
      </c>
      <c r="E398" s="492">
        <v>44749</v>
      </c>
      <c r="F398" s="493">
        <v>6366.95</v>
      </c>
      <c r="G398" s="484">
        <f t="shared" si="27"/>
        <v>1.4137494992971789E-4</v>
      </c>
      <c r="J398" s="483">
        <f t="shared" si="24"/>
        <v>7.5575403641359173E-3</v>
      </c>
      <c r="K398" s="484">
        <f t="shared" si="25"/>
        <v>-9.541550470564264E-4</v>
      </c>
    </row>
    <row r="399" spans="1:11" x14ac:dyDescent="0.35">
      <c r="A399" s="490">
        <v>44748</v>
      </c>
      <c r="B399" s="491">
        <v>293.3</v>
      </c>
      <c r="C399" s="483">
        <f t="shared" si="26"/>
        <v>7.5575403641359173E-3</v>
      </c>
      <c r="E399" s="492">
        <v>44748</v>
      </c>
      <c r="F399" s="493">
        <v>6366.05</v>
      </c>
      <c r="G399" s="484">
        <f t="shared" si="27"/>
        <v>-9.541550470564264E-4</v>
      </c>
      <c r="J399" s="483">
        <f t="shared" si="24"/>
        <v>3.0077848549186159E-2</v>
      </c>
      <c r="K399" s="484">
        <f t="shared" si="25"/>
        <v>3.9783326610869363E-3</v>
      </c>
    </row>
    <row r="400" spans="1:11" x14ac:dyDescent="0.35">
      <c r="A400" s="490">
        <v>44747</v>
      </c>
      <c r="B400" s="491">
        <v>291.10000000000002</v>
      </c>
      <c r="C400" s="483">
        <f t="shared" si="26"/>
        <v>3.0077848549186159E-2</v>
      </c>
      <c r="E400" s="492">
        <v>44747</v>
      </c>
      <c r="F400" s="493">
        <v>6372.13</v>
      </c>
      <c r="G400" s="484">
        <f t="shared" si="27"/>
        <v>3.9783326610869363E-3</v>
      </c>
      <c r="J400" s="483">
        <f t="shared" si="24"/>
        <v>-1.9771071800208095E-2</v>
      </c>
      <c r="K400" s="484">
        <f t="shared" si="25"/>
        <v>-2.026802856078147E-3</v>
      </c>
    </row>
    <row r="401" spans="1:11" x14ac:dyDescent="0.35">
      <c r="A401" s="490">
        <v>44746</v>
      </c>
      <c r="B401" s="491">
        <v>282.60000000000002</v>
      </c>
      <c r="C401" s="483">
        <f t="shared" si="26"/>
        <v>-1.9771071800208095E-2</v>
      </c>
      <c r="E401" s="492">
        <v>44746</v>
      </c>
      <c r="F401" s="493">
        <v>6346.88</v>
      </c>
      <c r="G401" s="484">
        <f t="shared" si="27"/>
        <v>-2.026802856078147E-3</v>
      </c>
      <c r="J401" s="483">
        <f t="shared" si="24"/>
        <v>-1.9721183270996256E-2</v>
      </c>
      <c r="K401" s="484">
        <f t="shared" si="25"/>
        <v>-2.6925139643777518E-3</v>
      </c>
    </row>
    <row r="402" spans="1:11" x14ac:dyDescent="0.35">
      <c r="A402" s="490">
        <v>44745</v>
      </c>
      <c r="B402" s="491">
        <v>288.3</v>
      </c>
      <c r="C402" s="483">
        <f t="shared" si="26"/>
        <v>-1.9721183270996256E-2</v>
      </c>
      <c r="E402" s="492">
        <v>44745</v>
      </c>
      <c r="F402" s="493">
        <v>6359.77</v>
      </c>
      <c r="G402" s="484">
        <f t="shared" si="27"/>
        <v>-2.6925139643777518E-3</v>
      </c>
      <c r="J402" s="483">
        <f t="shared" si="24"/>
        <v>-1.9993335554815084E-2</v>
      </c>
      <c r="K402" s="484">
        <f t="shared" si="25"/>
        <v>4.169776677594994E-3</v>
      </c>
    </row>
    <row r="403" spans="1:11" x14ac:dyDescent="0.35">
      <c r="A403" s="490">
        <v>44742</v>
      </c>
      <c r="B403" s="491">
        <v>294.10000000000002</v>
      </c>
      <c r="C403" s="483">
        <f t="shared" si="26"/>
        <v>-1.9993335554815084E-2</v>
      </c>
      <c r="E403" s="492">
        <v>44742</v>
      </c>
      <c r="F403" s="493">
        <v>6376.94</v>
      </c>
      <c r="G403" s="484">
        <f t="shared" si="27"/>
        <v>4.169776677594994E-3</v>
      </c>
      <c r="J403" s="483">
        <f t="shared" si="24"/>
        <v>-8.916776750330202E-3</v>
      </c>
      <c r="K403" s="484">
        <f t="shared" si="25"/>
        <v>1.2408180254439571E-3</v>
      </c>
    </row>
    <row r="404" spans="1:11" x14ac:dyDescent="0.35">
      <c r="A404" s="490">
        <v>44741</v>
      </c>
      <c r="B404" s="491">
        <v>300.10000000000002</v>
      </c>
      <c r="C404" s="483">
        <f t="shared" si="26"/>
        <v>-8.916776750330202E-3</v>
      </c>
      <c r="E404" s="492">
        <v>44741</v>
      </c>
      <c r="F404" s="493">
        <v>6350.46</v>
      </c>
      <c r="G404" s="484">
        <f t="shared" si="27"/>
        <v>1.2408180254439571E-3</v>
      </c>
      <c r="J404" s="483">
        <f t="shared" si="24"/>
        <v>-3.3014196104308446E-4</v>
      </c>
      <c r="K404" s="484">
        <f t="shared" si="25"/>
        <v>3.5219679985063479E-3</v>
      </c>
    </row>
    <row r="405" spans="1:11" x14ac:dyDescent="0.35">
      <c r="A405" s="490">
        <v>44740</v>
      </c>
      <c r="B405" s="491">
        <v>302.8</v>
      </c>
      <c r="C405" s="483">
        <f t="shared" si="26"/>
        <v>-3.3014196104308446E-4</v>
      </c>
      <c r="E405" s="492">
        <v>44740</v>
      </c>
      <c r="F405" s="493">
        <v>6342.59</v>
      </c>
      <c r="G405" s="484">
        <f t="shared" si="27"/>
        <v>3.5219679985063479E-3</v>
      </c>
      <c r="J405" s="483">
        <f t="shared" si="24"/>
        <v>-8.8350785340315374E-3</v>
      </c>
      <c r="K405" s="484">
        <f t="shared" si="25"/>
        <v>3.0550318358122386E-3</v>
      </c>
    </row>
    <row r="406" spans="1:11" x14ac:dyDescent="0.35">
      <c r="A406" s="490">
        <v>44739</v>
      </c>
      <c r="B406" s="491">
        <v>302.89999999999998</v>
      </c>
      <c r="C406" s="483">
        <f t="shared" si="26"/>
        <v>-8.8350785340315374E-3</v>
      </c>
      <c r="E406" s="492">
        <v>44739</v>
      </c>
      <c r="F406" s="493">
        <v>6320.33</v>
      </c>
      <c r="G406" s="484">
        <f t="shared" si="27"/>
        <v>3.0550318358122386E-3</v>
      </c>
      <c r="J406" s="483">
        <f t="shared" si="24"/>
        <v>6.2561738557789237E-3</v>
      </c>
      <c r="K406" s="484">
        <f t="shared" si="25"/>
        <v>-4.1990312359247994E-3</v>
      </c>
    </row>
    <row r="407" spans="1:11" x14ac:dyDescent="0.35">
      <c r="A407" s="490">
        <v>44738</v>
      </c>
      <c r="B407" s="491">
        <v>305.60000000000002</v>
      </c>
      <c r="C407" s="483">
        <f t="shared" si="26"/>
        <v>6.2561738557789237E-3</v>
      </c>
      <c r="E407" s="492">
        <v>44738</v>
      </c>
      <c r="F407" s="493">
        <v>6301.08</v>
      </c>
      <c r="G407" s="484">
        <f t="shared" si="27"/>
        <v>-4.1990312359247994E-3</v>
      </c>
      <c r="J407" s="483">
        <f t="shared" si="24"/>
        <v>-3.291639236340238E-4</v>
      </c>
      <c r="K407" s="484">
        <f t="shared" si="25"/>
        <v>1.559087023963901E-3</v>
      </c>
    </row>
    <row r="408" spans="1:11" x14ac:dyDescent="0.35">
      <c r="A408" s="490">
        <v>44735</v>
      </c>
      <c r="B408" s="491">
        <v>303.7</v>
      </c>
      <c r="C408" s="483">
        <f t="shared" si="26"/>
        <v>-3.291639236340238E-4</v>
      </c>
      <c r="E408" s="492">
        <v>44735</v>
      </c>
      <c r="F408" s="493">
        <v>6327.65</v>
      </c>
      <c r="G408" s="484">
        <f t="shared" si="27"/>
        <v>1.559087023963901E-3</v>
      </c>
      <c r="J408" s="483">
        <f t="shared" si="24"/>
        <v>-6.5789473684207955E-4</v>
      </c>
      <c r="K408" s="484">
        <f t="shared" si="25"/>
        <v>9.7438863054843949E-4</v>
      </c>
    </row>
    <row r="409" spans="1:11" x14ac:dyDescent="0.35">
      <c r="A409" s="490">
        <v>44734</v>
      </c>
      <c r="B409" s="491">
        <v>303.8</v>
      </c>
      <c r="C409" s="483">
        <f t="shared" si="26"/>
        <v>-6.5789473684207955E-4</v>
      </c>
      <c r="E409" s="492">
        <v>44734</v>
      </c>
      <c r="F409" s="493">
        <v>6317.8</v>
      </c>
      <c r="G409" s="484">
        <f t="shared" si="27"/>
        <v>9.7438863054843949E-4</v>
      </c>
      <c r="J409" s="483">
        <f t="shared" si="24"/>
        <v>-9.8586920801846389E-4</v>
      </c>
      <c r="K409" s="484">
        <f t="shared" si="25"/>
        <v>-7.1932148149080888E-3</v>
      </c>
    </row>
    <row r="410" spans="1:11" x14ac:dyDescent="0.35">
      <c r="A410" s="490">
        <v>44733</v>
      </c>
      <c r="B410" s="491">
        <v>304</v>
      </c>
      <c r="C410" s="483">
        <f t="shared" si="26"/>
        <v>-9.8586920801846389E-4</v>
      </c>
      <c r="E410" s="492">
        <v>44733</v>
      </c>
      <c r="F410" s="493">
        <v>6311.65</v>
      </c>
      <c r="G410" s="484">
        <f t="shared" si="27"/>
        <v>-7.1932148149080888E-3</v>
      </c>
      <c r="J410" s="483">
        <f t="shared" si="24"/>
        <v>-8.7947882736155725E-3</v>
      </c>
      <c r="K410" s="484">
        <f t="shared" si="25"/>
        <v>-7.8019530634253487E-3</v>
      </c>
    </row>
    <row r="411" spans="1:11" x14ac:dyDescent="0.35">
      <c r="A411" s="490">
        <v>44732</v>
      </c>
      <c r="B411" s="491">
        <v>304.3</v>
      </c>
      <c r="C411" s="483">
        <f t="shared" si="26"/>
        <v>-8.7947882736155725E-3</v>
      </c>
      <c r="E411" s="492">
        <v>44732</v>
      </c>
      <c r="F411" s="493">
        <v>6357.38</v>
      </c>
      <c r="G411" s="484">
        <f t="shared" si="27"/>
        <v>-7.8019530634253487E-3</v>
      </c>
      <c r="J411" s="483">
        <f t="shared" si="24"/>
        <v>6.2274664044574823E-3</v>
      </c>
      <c r="K411" s="484">
        <f t="shared" si="25"/>
        <v>-2.8572629102062708E-3</v>
      </c>
    </row>
    <row r="412" spans="1:11" x14ac:dyDescent="0.35">
      <c r="A412" s="490">
        <v>44731</v>
      </c>
      <c r="B412" s="491">
        <v>307</v>
      </c>
      <c r="C412" s="483">
        <f t="shared" si="26"/>
        <v>6.2274664044574823E-3</v>
      </c>
      <c r="E412" s="492">
        <v>44731</v>
      </c>
      <c r="F412" s="493">
        <v>6407.37</v>
      </c>
      <c r="G412" s="484">
        <f t="shared" si="27"/>
        <v>-2.8572629102062708E-3</v>
      </c>
      <c r="J412" s="483">
        <f t="shared" si="24"/>
        <v>1.9704433497538254E-3</v>
      </c>
      <c r="K412" s="484">
        <f t="shared" si="25"/>
        <v>8.0351274058712008E-3</v>
      </c>
    </row>
    <row r="413" spans="1:11" x14ac:dyDescent="0.35">
      <c r="A413" s="490">
        <v>44728</v>
      </c>
      <c r="B413" s="491">
        <v>305.10000000000002</v>
      </c>
      <c r="C413" s="483">
        <f t="shared" si="26"/>
        <v>1.9704433497538254E-3</v>
      </c>
      <c r="E413" s="492">
        <v>44728</v>
      </c>
      <c r="F413" s="493">
        <v>6425.73</v>
      </c>
      <c r="G413" s="484">
        <f t="shared" si="27"/>
        <v>8.0351274058712008E-3</v>
      </c>
      <c r="J413" s="483">
        <f t="shared" si="24"/>
        <v>-6.5638332786344122E-4</v>
      </c>
      <c r="K413" s="484">
        <f t="shared" si="25"/>
        <v>2.0624423278559068E-3</v>
      </c>
    </row>
    <row r="414" spans="1:11" x14ac:dyDescent="0.35">
      <c r="A414" s="490">
        <v>44727</v>
      </c>
      <c r="B414" s="491">
        <v>304.5</v>
      </c>
      <c r="C414" s="483">
        <f t="shared" si="26"/>
        <v>-6.5638332786344122E-4</v>
      </c>
      <c r="E414" s="492">
        <v>44727</v>
      </c>
      <c r="F414" s="493">
        <v>6374.51</v>
      </c>
      <c r="G414" s="484">
        <f t="shared" si="27"/>
        <v>2.0624423278559068E-3</v>
      </c>
      <c r="J414" s="483">
        <f t="shared" si="24"/>
        <v>-3.597122302158362E-3</v>
      </c>
      <c r="K414" s="484">
        <f t="shared" si="25"/>
        <v>-4.7872415319797357E-3</v>
      </c>
    </row>
    <row r="415" spans="1:11" x14ac:dyDescent="0.35">
      <c r="A415" s="490">
        <v>44726</v>
      </c>
      <c r="B415" s="491">
        <v>304.7</v>
      </c>
      <c r="C415" s="483">
        <f t="shared" si="26"/>
        <v>-3.597122302158362E-3</v>
      </c>
      <c r="E415" s="492">
        <v>44726</v>
      </c>
      <c r="F415" s="493">
        <v>6361.39</v>
      </c>
      <c r="G415" s="484">
        <f t="shared" si="27"/>
        <v>-4.7872415319797357E-3</v>
      </c>
      <c r="J415" s="483">
        <f t="shared" si="24"/>
        <v>-5.8517555266580645E-3</v>
      </c>
      <c r="K415" s="484">
        <f t="shared" si="25"/>
        <v>-6.137020210030153E-3</v>
      </c>
    </row>
    <row r="416" spans="1:11" x14ac:dyDescent="0.35">
      <c r="A416" s="490">
        <v>44725</v>
      </c>
      <c r="B416" s="491">
        <v>305.8</v>
      </c>
      <c r="C416" s="483">
        <f t="shared" si="26"/>
        <v>-5.8517555266580645E-3</v>
      </c>
      <c r="E416" s="492">
        <v>44725</v>
      </c>
      <c r="F416" s="493">
        <v>6391.99</v>
      </c>
      <c r="G416" s="484">
        <f t="shared" si="27"/>
        <v>-6.137020210030153E-3</v>
      </c>
      <c r="J416" s="483">
        <f t="shared" si="24"/>
        <v>6.5445026178010401E-3</v>
      </c>
      <c r="K416" s="484">
        <f t="shared" si="25"/>
        <v>-7.5366881162909349E-3</v>
      </c>
    </row>
    <row r="417" spans="1:11" x14ac:dyDescent="0.35">
      <c r="A417" s="490">
        <v>44724</v>
      </c>
      <c r="B417" s="491">
        <v>307.60000000000002</v>
      </c>
      <c r="C417" s="483">
        <f t="shared" si="26"/>
        <v>6.5445026178010401E-3</v>
      </c>
      <c r="E417" s="492">
        <v>44724</v>
      </c>
      <c r="F417" s="493">
        <v>6431.46</v>
      </c>
      <c r="G417" s="484">
        <f t="shared" si="27"/>
        <v>-7.5366881162909349E-3</v>
      </c>
      <c r="J417" s="483">
        <f t="shared" si="24"/>
        <v>3.2829940906107247E-3</v>
      </c>
      <c r="K417" s="484">
        <f t="shared" si="25"/>
        <v>-6.0762710818840215E-4</v>
      </c>
    </row>
    <row r="418" spans="1:11" x14ac:dyDescent="0.35">
      <c r="A418" s="490">
        <v>44721</v>
      </c>
      <c r="B418" s="491">
        <v>305.60000000000002</v>
      </c>
      <c r="C418" s="483">
        <f t="shared" si="26"/>
        <v>3.2829940906107247E-3</v>
      </c>
      <c r="E418" s="492">
        <v>44721</v>
      </c>
      <c r="F418" s="493">
        <v>6480.3</v>
      </c>
      <c r="G418" s="484">
        <f t="shared" si="27"/>
        <v>-6.0762710818840215E-4</v>
      </c>
      <c r="J418" s="483">
        <f t="shared" si="24"/>
        <v>-4.5751633986926832E-3</v>
      </c>
      <c r="K418" s="484">
        <f t="shared" si="25"/>
        <v>2.4178338434899249E-3</v>
      </c>
    </row>
    <row r="419" spans="1:11" x14ac:dyDescent="0.35">
      <c r="A419" s="490">
        <v>44720</v>
      </c>
      <c r="B419" s="491">
        <v>304.60000000000002</v>
      </c>
      <c r="C419" s="483">
        <f t="shared" si="26"/>
        <v>-4.5751633986926832E-3</v>
      </c>
      <c r="E419" s="492">
        <v>44720</v>
      </c>
      <c r="F419" s="493">
        <v>6484.24</v>
      </c>
      <c r="G419" s="484">
        <f t="shared" si="27"/>
        <v>2.4178338434899249E-3</v>
      </c>
      <c r="J419" s="483">
        <f t="shared" si="24"/>
        <v>-3.90625E-3</v>
      </c>
      <c r="K419" s="484">
        <f t="shared" si="25"/>
        <v>-3.1698969205614658E-3</v>
      </c>
    </row>
    <row r="420" spans="1:11" x14ac:dyDescent="0.35">
      <c r="A420" s="490">
        <v>44719</v>
      </c>
      <c r="B420" s="491">
        <v>306</v>
      </c>
      <c r="C420" s="483">
        <f t="shared" si="26"/>
        <v>-3.90625E-3</v>
      </c>
      <c r="E420" s="492">
        <v>44719</v>
      </c>
      <c r="F420" s="493">
        <v>6468.6</v>
      </c>
      <c r="G420" s="484">
        <f t="shared" si="27"/>
        <v>-3.1698969205614658E-3</v>
      </c>
      <c r="J420" s="483">
        <f t="shared" si="24"/>
        <v>-1.9783024888321621E-2</v>
      </c>
      <c r="K420" s="484">
        <f t="shared" si="25"/>
        <v>-1.2651233803112616E-3</v>
      </c>
    </row>
    <row r="421" spans="1:11" x14ac:dyDescent="0.35">
      <c r="A421" s="490">
        <v>44718</v>
      </c>
      <c r="B421" s="491">
        <v>307.2</v>
      </c>
      <c r="C421" s="483">
        <f t="shared" si="26"/>
        <v>-1.9783024888321621E-2</v>
      </c>
      <c r="E421" s="492">
        <v>44718</v>
      </c>
      <c r="F421" s="493">
        <v>6489.17</v>
      </c>
      <c r="G421" s="484">
        <f t="shared" si="27"/>
        <v>-1.2651233803112616E-3</v>
      </c>
      <c r="J421" s="483">
        <f t="shared" si="24"/>
        <v>2.9566360052562413E-2</v>
      </c>
      <c r="K421" s="484">
        <f t="shared" si="25"/>
        <v>7.1083913428289236E-3</v>
      </c>
    </row>
    <row r="422" spans="1:11" x14ac:dyDescent="0.35">
      <c r="A422" s="490">
        <v>44717</v>
      </c>
      <c r="B422" s="491">
        <v>313.39999999999998</v>
      </c>
      <c r="C422" s="483">
        <f t="shared" si="26"/>
        <v>2.9566360052562413E-2</v>
      </c>
      <c r="E422" s="492">
        <v>44717</v>
      </c>
      <c r="F422" s="493">
        <v>6497.39</v>
      </c>
      <c r="G422" s="484">
        <f t="shared" si="27"/>
        <v>7.1083913428289236E-3</v>
      </c>
      <c r="J422" s="483">
        <f t="shared" si="24"/>
        <v>-7.8226857887876422E-3</v>
      </c>
      <c r="K422" s="484">
        <f t="shared" si="25"/>
        <v>2.8539584683755503E-3</v>
      </c>
    </row>
    <row r="423" spans="1:11" x14ac:dyDescent="0.35">
      <c r="A423" s="490">
        <v>44714</v>
      </c>
      <c r="B423" s="491">
        <v>304.39999999999998</v>
      </c>
      <c r="C423" s="483">
        <f t="shared" si="26"/>
        <v>-7.8226857887876422E-3</v>
      </c>
      <c r="E423" s="492">
        <v>44714</v>
      </c>
      <c r="F423" s="493">
        <v>6451.53</v>
      </c>
      <c r="G423" s="484">
        <f t="shared" si="27"/>
        <v>2.8539584683755503E-3</v>
      </c>
      <c r="J423" s="483">
        <f t="shared" si="24"/>
        <v>-9.7688049495281426E-4</v>
      </c>
      <c r="K423" s="484">
        <f t="shared" si="25"/>
        <v>6.3070461531240518E-3</v>
      </c>
    </row>
    <row r="424" spans="1:11" x14ac:dyDescent="0.35">
      <c r="A424" s="490">
        <v>44713</v>
      </c>
      <c r="B424" s="491">
        <v>306.8</v>
      </c>
      <c r="C424" s="483">
        <f t="shared" si="26"/>
        <v>-9.7688049495281426E-4</v>
      </c>
      <c r="E424" s="492">
        <v>44713</v>
      </c>
      <c r="F424" s="493">
        <v>6433.17</v>
      </c>
      <c r="G424" s="484">
        <f t="shared" si="27"/>
        <v>6.3070461531240518E-3</v>
      </c>
      <c r="J424" s="483">
        <f t="shared" si="24"/>
        <v>-1.3008130081300084E-3</v>
      </c>
      <c r="K424" s="484">
        <f t="shared" si="25"/>
        <v>6.5741588598533518E-4</v>
      </c>
    </row>
    <row r="425" spans="1:11" x14ac:dyDescent="0.35">
      <c r="A425" s="490">
        <v>44712</v>
      </c>
      <c r="B425" s="491">
        <v>307.10000000000002</v>
      </c>
      <c r="C425" s="483">
        <f t="shared" si="26"/>
        <v>-1.3008130081300084E-3</v>
      </c>
      <c r="E425" s="492">
        <v>44712</v>
      </c>
      <c r="F425" s="493">
        <v>6392.85</v>
      </c>
      <c r="G425" s="484">
        <f t="shared" si="27"/>
        <v>6.5741588598533518E-4</v>
      </c>
      <c r="J425" s="483">
        <f t="shared" si="24"/>
        <v>-5.8195926285160571E-3</v>
      </c>
      <c r="K425" s="484">
        <f t="shared" si="25"/>
        <v>3.0332860756154822E-3</v>
      </c>
    </row>
    <row r="426" spans="1:11" x14ac:dyDescent="0.35">
      <c r="A426" s="490">
        <v>44711</v>
      </c>
      <c r="B426" s="491">
        <v>307.5</v>
      </c>
      <c r="C426" s="483">
        <f t="shared" si="26"/>
        <v>-5.8195926285160571E-3</v>
      </c>
      <c r="E426" s="492">
        <v>44711</v>
      </c>
      <c r="F426" s="493">
        <v>6388.65</v>
      </c>
      <c r="G426" s="484">
        <f t="shared" si="27"/>
        <v>3.0332860756154822E-3</v>
      </c>
      <c r="J426" s="483">
        <f t="shared" si="24"/>
        <v>2.8257978723404298E-2</v>
      </c>
      <c r="K426" s="484">
        <f t="shared" si="25"/>
        <v>2.1058132693809073E-2</v>
      </c>
    </row>
    <row r="427" spans="1:11" x14ac:dyDescent="0.35">
      <c r="A427" s="490">
        <v>44710</v>
      </c>
      <c r="B427" s="491">
        <v>309.3</v>
      </c>
      <c r="C427" s="483">
        <f t="shared" si="26"/>
        <v>2.8257978723404298E-2</v>
      </c>
      <c r="E427" s="492">
        <v>44710</v>
      </c>
      <c r="F427" s="493">
        <v>6369.33</v>
      </c>
      <c r="G427" s="484">
        <f t="shared" si="27"/>
        <v>2.1058132693809073E-2</v>
      </c>
      <c r="J427" s="483">
        <f t="shared" si="24"/>
        <v>-3.3233632436013849E-4</v>
      </c>
      <c r="K427" s="484">
        <f t="shared" si="25"/>
        <v>8.1339573730856429E-3</v>
      </c>
    </row>
    <row r="428" spans="1:11" x14ac:dyDescent="0.35">
      <c r="A428" s="490">
        <v>44707</v>
      </c>
      <c r="B428" s="491">
        <v>300.8</v>
      </c>
      <c r="C428" s="483">
        <f t="shared" si="26"/>
        <v>-3.3233632436013849E-4</v>
      </c>
      <c r="E428" s="492">
        <v>44707</v>
      </c>
      <c r="F428" s="493">
        <v>6237.97</v>
      </c>
      <c r="G428" s="484">
        <f t="shared" si="27"/>
        <v>8.1339573730856429E-3</v>
      </c>
      <c r="J428" s="483">
        <f t="shared" si="24"/>
        <v>-7.9129574678536985E-3</v>
      </c>
      <c r="K428" s="484">
        <f t="shared" si="25"/>
        <v>-3.8348472017850632E-3</v>
      </c>
    </row>
    <row r="429" spans="1:11" x14ac:dyDescent="0.35">
      <c r="A429" s="490">
        <v>44706</v>
      </c>
      <c r="B429" s="491">
        <v>300.89999999999998</v>
      </c>
      <c r="C429" s="483">
        <f t="shared" si="26"/>
        <v>-7.9129574678536985E-3</v>
      </c>
      <c r="E429" s="492">
        <v>44706</v>
      </c>
      <c r="F429" s="493">
        <v>6187.64</v>
      </c>
      <c r="G429" s="484">
        <f t="shared" si="27"/>
        <v>-3.8348472017850632E-3</v>
      </c>
      <c r="J429" s="483">
        <f t="shared" si="24"/>
        <v>-8.4995096436742967E-3</v>
      </c>
      <c r="K429" s="484">
        <f t="shared" si="25"/>
        <v>-7.9980324329158581E-3</v>
      </c>
    </row>
    <row r="430" spans="1:11" x14ac:dyDescent="0.35">
      <c r="A430" s="490">
        <v>44705</v>
      </c>
      <c r="B430" s="491">
        <v>303.3</v>
      </c>
      <c r="C430" s="483">
        <f t="shared" si="26"/>
        <v>-8.4995096436742967E-3</v>
      </c>
      <c r="E430" s="492">
        <v>44705</v>
      </c>
      <c r="F430" s="493">
        <v>6211.46</v>
      </c>
      <c r="G430" s="484">
        <f t="shared" si="27"/>
        <v>-7.9980324329158581E-3</v>
      </c>
      <c r="J430" s="483">
        <f t="shared" si="24"/>
        <v>6.5811122079630913E-3</v>
      </c>
      <c r="K430" s="484">
        <f t="shared" si="25"/>
        <v>1.9349860321553392E-2</v>
      </c>
    </row>
    <row r="431" spans="1:11" x14ac:dyDescent="0.35">
      <c r="A431" s="490">
        <v>44704</v>
      </c>
      <c r="B431" s="491">
        <v>305.89999999999998</v>
      </c>
      <c r="C431" s="483">
        <f t="shared" si="26"/>
        <v>6.5811122079630913E-3</v>
      </c>
      <c r="E431" s="492">
        <v>44704</v>
      </c>
      <c r="F431" s="493">
        <v>6261.54</v>
      </c>
      <c r="G431" s="484">
        <f t="shared" si="27"/>
        <v>1.9349860321553392E-2</v>
      </c>
      <c r="J431" s="483">
        <f t="shared" si="24"/>
        <v>4.2961004626567156E-3</v>
      </c>
      <c r="K431" s="484">
        <f t="shared" si="25"/>
        <v>-1.8465255407270953E-2</v>
      </c>
    </row>
    <row r="432" spans="1:11" x14ac:dyDescent="0.35">
      <c r="A432" s="490">
        <v>44703</v>
      </c>
      <c r="B432" s="491">
        <v>303.89999999999998</v>
      </c>
      <c r="C432" s="483">
        <f t="shared" si="26"/>
        <v>4.2961004626567156E-3</v>
      </c>
      <c r="E432" s="492">
        <v>44703</v>
      </c>
      <c r="F432" s="493">
        <v>6142.68</v>
      </c>
      <c r="G432" s="484">
        <f t="shared" si="27"/>
        <v>-1.8465255407270953E-2</v>
      </c>
      <c r="J432" s="483">
        <f t="shared" si="24"/>
        <v>-4.6052631578946679E-3</v>
      </c>
      <c r="K432" s="484">
        <f t="shared" si="25"/>
        <v>-8.1887063365404522E-3</v>
      </c>
    </row>
    <row r="433" spans="1:11" x14ac:dyDescent="0.35">
      <c r="A433" s="490">
        <v>44700</v>
      </c>
      <c r="B433" s="491">
        <v>302.60000000000002</v>
      </c>
      <c r="C433" s="483">
        <f t="shared" si="26"/>
        <v>-4.6052631578946679E-3</v>
      </c>
      <c r="E433" s="492">
        <v>44700</v>
      </c>
      <c r="F433" s="493">
        <v>6258.24</v>
      </c>
      <c r="G433" s="484">
        <f t="shared" si="27"/>
        <v>-8.1887063365404522E-3</v>
      </c>
      <c r="J433" s="483">
        <f t="shared" si="24"/>
        <v>-9.4493320299771089E-3</v>
      </c>
      <c r="K433" s="484">
        <f t="shared" si="25"/>
        <v>-1.4615444678691358E-2</v>
      </c>
    </row>
    <row r="434" spans="1:11" x14ac:dyDescent="0.35">
      <c r="A434" s="490">
        <v>44699</v>
      </c>
      <c r="B434" s="491">
        <v>304</v>
      </c>
      <c r="C434" s="483">
        <f t="shared" si="26"/>
        <v>-9.4493320299771089E-3</v>
      </c>
      <c r="E434" s="492">
        <v>44699</v>
      </c>
      <c r="F434" s="493">
        <v>6309.91</v>
      </c>
      <c r="G434" s="484">
        <f t="shared" si="27"/>
        <v>-1.4615444678691358E-2</v>
      </c>
      <c r="J434" s="483">
        <f t="shared" si="24"/>
        <v>-8.720930232558266E-3</v>
      </c>
      <c r="K434" s="484">
        <f t="shared" si="25"/>
        <v>-4.265323988909886E-3</v>
      </c>
    </row>
    <row r="435" spans="1:11" x14ac:dyDescent="0.35">
      <c r="A435" s="490">
        <v>44698</v>
      </c>
      <c r="B435" s="491">
        <v>306.89999999999998</v>
      </c>
      <c r="C435" s="483">
        <f t="shared" si="26"/>
        <v>-8.720930232558266E-3</v>
      </c>
      <c r="E435" s="492">
        <v>44698</v>
      </c>
      <c r="F435" s="493">
        <v>6403.5</v>
      </c>
      <c r="G435" s="484">
        <f t="shared" si="27"/>
        <v>-4.265323988909886E-3</v>
      </c>
      <c r="J435" s="483">
        <f t="shared" si="24"/>
        <v>-2.2558814050918086E-3</v>
      </c>
      <c r="K435" s="484">
        <f t="shared" si="25"/>
        <v>-2.0492059212821045E-2</v>
      </c>
    </row>
    <row r="436" spans="1:11" x14ac:dyDescent="0.35">
      <c r="A436" s="490">
        <v>44697</v>
      </c>
      <c r="B436" s="491">
        <v>309.60000000000002</v>
      </c>
      <c r="C436" s="483">
        <f t="shared" si="26"/>
        <v>-2.2558814050918086E-3</v>
      </c>
      <c r="E436" s="492">
        <v>44697</v>
      </c>
      <c r="F436" s="493">
        <v>6430.93</v>
      </c>
      <c r="G436" s="484">
        <f t="shared" si="27"/>
        <v>-2.0492059212821045E-2</v>
      </c>
      <c r="J436" s="483">
        <f t="shared" si="24"/>
        <v>-1.6169942929613046E-2</v>
      </c>
      <c r="K436" s="484">
        <f t="shared" si="25"/>
        <v>-4.0230643553766932E-3</v>
      </c>
    </row>
    <row r="437" spans="1:11" x14ac:dyDescent="0.35">
      <c r="A437" s="490">
        <v>44693</v>
      </c>
      <c r="B437" s="491">
        <v>310.3</v>
      </c>
      <c r="C437" s="483">
        <f t="shared" si="26"/>
        <v>-1.6169942929613046E-2</v>
      </c>
      <c r="E437" s="492">
        <v>44693</v>
      </c>
      <c r="F437" s="493">
        <v>6565.47</v>
      </c>
      <c r="G437" s="484">
        <f t="shared" si="27"/>
        <v>-4.0230643553766932E-3</v>
      </c>
      <c r="J437" s="483">
        <f t="shared" si="24"/>
        <v>-1.0664993726474337E-2</v>
      </c>
      <c r="K437" s="484">
        <f t="shared" si="25"/>
        <v>-1.1044750592968944E-2</v>
      </c>
    </row>
    <row r="438" spans="1:11" x14ac:dyDescent="0.35">
      <c r="A438" s="490">
        <v>44692</v>
      </c>
      <c r="B438" s="491">
        <v>315.39999999999998</v>
      </c>
      <c r="C438" s="483">
        <f t="shared" si="26"/>
        <v>-1.0664993726474337E-2</v>
      </c>
      <c r="E438" s="492">
        <v>44692</v>
      </c>
      <c r="F438" s="493">
        <v>6591.99</v>
      </c>
      <c r="G438" s="484">
        <f t="shared" si="27"/>
        <v>-1.1044750592968944E-2</v>
      </c>
      <c r="J438" s="483">
        <f t="shared" si="24"/>
        <v>-3.1357792411401686E-4</v>
      </c>
      <c r="K438" s="484">
        <f t="shared" si="25"/>
        <v>-4.8476578362754985E-3</v>
      </c>
    </row>
    <row r="439" spans="1:11" x14ac:dyDescent="0.35">
      <c r="A439" s="490">
        <v>44691</v>
      </c>
      <c r="B439" s="491">
        <v>318.8</v>
      </c>
      <c r="C439" s="483">
        <f t="shared" si="26"/>
        <v>-3.1357792411401686E-4</v>
      </c>
      <c r="E439" s="492">
        <v>44691</v>
      </c>
      <c r="F439" s="493">
        <v>6665.61</v>
      </c>
      <c r="G439" s="484">
        <f t="shared" si="27"/>
        <v>-4.8476578362754985E-3</v>
      </c>
      <c r="J439" s="483">
        <f t="shared" si="24"/>
        <v>-6.2324711748208417E-3</v>
      </c>
      <c r="K439" s="484">
        <f t="shared" si="25"/>
        <v>4.2987310721638305E-3</v>
      </c>
    </row>
    <row r="440" spans="1:11" x14ac:dyDescent="0.35">
      <c r="A440" s="490">
        <v>44690</v>
      </c>
      <c r="B440" s="491">
        <v>318.89999999999998</v>
      </c>
      <c r="C440" s="483">
        <f t="shared" si="26"/>
        <v>-6.2324711748208417E-3</v>
      </c>
      <c r="E440" s="492">
        <v>44690</v>
      </c>
      <c r="F440" s="493">
        <v>6698.08</v>
      </c>
      <c r="G440" s="484">
        <f t="shared" si="27"/>
        <v>4.2987310721638305E-3</v>
      </c>
      <c r="J440" s="483">
        <f t="shared" si="24"/>
        <v>3.4396497811131077E-3</v>
      </c>
      <c r="K440" s="484">
        <f t="shared" si="25"/>
        <v>3.9514327518830328E-3</v>
      </c>
    </row>
    <row r="441" spans="1:11" x14ac:dyDescent="0.35">
      <c r="A441" s="490">
        <v>44689</v>
      </c>
      <c r="B441" s="491">
        <v>320.89999999999998</v>
      </c>
      <c r="C441" s="483">
        <f t="shared" si="26"/>
        <v>3.4396497811131077E-3</v>
      </c>
      <c r="E441" s="492">
        <v>44689</v>
      </c>
      <c r="F441" s="493">
        <v>6669.41</v>
      </c>
      <c r="G441" s="484">
        <f t="shared" si="27"/>
        <v>3.9514327518830328E-3</v>
      </c>
      <c r="J441" s="483">
        <f t="shared" si="24"/>
        <v>-3.1259768677704969E-4</v>
      </c>
      <c r="K441" s="484">
        <f t="shared" si="25"/>
        <v>-1.8781007443289255E-3</v>
      </c>
    </row>
    <row r="442" spans="1:11" x14ac:dyDescent="0.35">
      <c r="A442" s="490">
        <v>44686</v>
      </c>
      <c r="B442" s="491">
        <v>319.8</v>
      </c>
      <c r="C442" s="483">
        <f t="shared" si="26"/>
        <v>-3.1259768677704969E-4</v>
      </c>
      <c r="E442" s="492">
        <v>44686</v>
      </c>
      <c r="F442" s="493">
        <v>6643.16</v>
      </c>
      <c r="G442" s="484">
        <f t="shared" si="27"/>
        <v>-1.8781007443289255E-3</v>
      </c>
      <c r="J442" s="483">
        <f t="shared" si="24"/>
        <v>-1.8720748829953449E-3</v>
      </c>
      <c r="K442" s="484">
        <f t="shared" si="25"/>
        <v>-3.2915820559360487E-3</v>
      </c>
    </row>
    <row r="443" spans="1:11" x14ac:dyDescent="0.35">
      <c r="A443" s="490">
        <v>44679</v>
      </c>
      <c r="B443" s="491">
        <v>319.89999999999998</v>
      </c>
      <c r="C443" s="483">
        <f t="shared" si="26"/>
        <v>-1.8720748829953449E-3</v>
      </c>
      <c r="E443" s="492">
        <v>44679</v>
      </c>
      <c r="F443" s="493">
        <v>6655.66</v>
      </c>
      <c r="G443" s="484">
        <f t="shared" si="27"/>
        <v>-3.2915820559360487E-3</v>
      </c>
      <c r="J443" s="483">
        <f t="shared" si="24"/>
        <v>-1.9577852554297892E-2</v>
      </c>
      <c r="K443" s="484">
        <f t="shared" si="25"/>
        <v>1.1980423987090205E-5</v>
      </c>
    </row>
    <row r="444" spans="1:11" x14ac:dyDescent="0.35">
      <c r="A444" s="490">
        <v>44678</v>
      </c>
      <c r="B444" s="491">
        <v>320.5</v>
      </c>
      <c r="C444" s="483">
        <f t="shared" si="26"/>
        <v>-1.9577852554297892E-2</v>
      </c>
      <c r="E444" s="492">
        <v>44678</v>
      </c>
      <c r="F444" s="493">
        <v>6677.64</v>
      </c>
      <c r="G444" s="484">
        <f t="shared" si="27"/>
        <v>1.1980423987090205E-5</v>
      </c>
      <c r="J444" s="483">
        <f t="shared" si="24"/>
        <v>-6.1143381229000759E-4</v>
      </c>
      <c r="K444" s="484">
        <f t="shared" si="25"/>
        <v>-8.4839216965437725E-4</v>
      </c>
    </row>
    <row r="445" spans="1:11" x14ac:dyDescent="0.35">
      <c r="A445" s="490">
        <v>44677</v>
      </c>
      <c r="B445" s="491">
        <v>326.89999999999998</v>
      </c>
      <c r="C445" s="483">
        <f t="shared" si="26"/>
        <v>-6.1143381229000759E-4</v>
      </c>
      <c r="E445" s="492">
        <v>44677</v>
      </c>
      <c r="F445" s="493">
        <v>6677.56</v>
      </c>
      <c r="G445" s="484">
        <f t="shared" si="27"/>
        <v>-8.4839216965437725E-4</v>
      </c>
      <c r="J445" s="483">
        <f t="shared" si="24"/>
        <v>9.8795924668109159E-3</v>
      </c>
      <c r="K445" s="484">
        <f t="shared" si="25"/>
        <v>3.1325236102521803E-3</v>
      </c>
    </row>
    <row r="446" spans="1:11" x14ac:dyDescent="0.35">
      <c r="A446" s="490">
        <v>44675</v>
      </c>
      <c r="B446" s="491">
        <v>327.10000000000002</v>
      </c>
      <c r="C446" s="483">
        <f t="shared" si="26"/>
        <v>9.8795924668109159E-3</v>
      </c>
      <c r="E446" s="492">
        <v>44675</v>
      </c>
      <c r="F446" s="493">
        <v>6683.23</v>
      </c>
      <c r="G446" s="484">
        <f t="shared" si="27"/>
        <v>3.1325236102521803E-3</v>
      </c>
      <c r="J446" s="483">
        <f t="shared" si="24"/>
        <v>7.7784691972619946E-3</v>
      </c>
      <c r="K446" s="484">
        <f t="shared" si="25"/>
        <v>8.4690474856994324E-3</v>
      </c>
    </row>
    <row r="447" spans="1:11" x14ac:dyDescent="0.35">
      <c r="A447" s="490">
        <v>44672</v>
      </c>
      <c r="B447" s="491">
        <v>323.89999999999998</v>
      </c>
      <c r="C447" s="483">
        <f t="shared" si="26"/>
        <v>7.7784691972619946E-3</v>
      </c>
      <c r="E447" s="492">
        <v>44672</v>
      </c>
      <c r="F447" s="493">
        <v>6662.36</v>
      </c>
      <c r="G447" s="484">
        <f t="shared" si="27"/>
        <v>8.4690474856994324E-3</v>
      </c>
      <c r="J447" s="483">
        <f t="shared" si="24"/>
        <v>4.0612308653544815E-3</v>
      </c>
      <c r="K447" s="484">
        <f t="shared" si="25"/>
        <v>1.1692082461723041E-2</v>
      </c>
    </row>
    <row r="448" spans="1:11" x14ac:dyDescent="0.35">
      <c r="A448" s="490">
        <v>44671</v>
      </c>
      <c r="B448" s="491">
        <v>321.39999999999998</v>
      </c>
      <c r="C448" s="483">
        <f t="shared" si="26"/>
        <v>4.0612308653544815E-3</v>
      </c>
      <c r="E448" s="492">
        <v>44671</v>
      </c>
      <c r="F448" s="493">
        <v>6606.41</v>
      </c>
      <c r="G448" s="484">
        <f t="shared" si="27"/>
        <v>1.1692082461723041E-2</v>
      </c>
      <c r="J448" s="483">
        <f t="shared" si="24"/>
        <v>9.3808630394009995E-4</v>
      </c>
      <c r="K448" s="484">
        <f t="shared" si="25"/>
        <v>7.3553231991954071E-3</v>
      </c>
    </row>
    <row r="449" spans="1:11" x14ac:dyDescent="0.35">
      <c r="A449" s="490">
        <v>44670</v>
      </c>
      <c r="B449" s="491">
        <v>320.10000000000002</v>
      </c>
      <c r="C449" s="483">
        <f t="shared" si="26"/>
        <v>9.3808630394009995E-4</v>
      </c>
      <c r="E449" s="492">
        <v>44670</v>
      </c>
      <c r="F449" s="493">
        <v>6530.06</v>
      </c>
      <c r="G449" s="484">
        <f t="shared" si="27"/>
        <v>7.3553231991954071E-3</v>
      </c>
      <c r="J449" s="483">
        <f t="shared" si="24"/>
        <v>-1.0213556174558991E-2</v>
      </c>
      <c r="K449" s="484">
        <f t="shared" si="25"/>
        <v>-1.1058953114249426E-2</v>
      </c>
    </row>
    <row r="450" spans="1:11" x14ac:dyDescent="0.35">
      <c r="A450" s="490">
        <v>44669</v>
      </c>
      <c r="B450" s="491">
        <v>319.8</v>
      </c>
      <c r="C450" s="483">
        <f t="shared" si="26"/>
        <v>-1.0213556174558991E-2</v>
      </c>
      <c r="E450" s="492">
        <v>44669</v>
      </c>
      <c r="F450" s="493">
        <v>6482.38</v>
      </c>
      <c r="G450" s="484">
        <f t="shared" si="27"/>
        <v>-1.1058953114249426E-2</v>
      </c>
      <c r="J450" s="483">
        <f t="shared" si="24"/>
        <v>1.000312597686781E-2</v>
      </c>
      <c r="K450" s="484">
        <f t="shared" si="25"/>
        <v>-4.5710155095619598E-3</v>
      </c>
    </row>
    <row r="451" spans="1:11" x14ac:dyDescent="0.35">
      <c r="A451" s="490">
        <v>44668</v>
      </c>
      <c r="B451" s="491">
        <v>323.10000000000002</v>
      </c>
      <c r="C451" s="483">
        <f t="shared" si="26"/>
        <v>1.000312597686781E-2</v>
      </c>
      <c r="E451" s="492">
        <v>44668</v>
      </c>
      <c r="F451" s="493">
        <v>6554.87</v>
      </c>
      <c r="G451" s="484">
        <f t="shared" si="27"/>
        <v>-4.5710155095619598E-3</v>
      </c>
      <c r="J451" s="483">
        <f t="shared" ref="J451:J514" si="28">(B452/B453)-1</f>
        <v>2.5070510811655566E-3</v>
      </c>
      <c r="K451" s="484">
        <f t="shared" ref="K451:K514" si="29">(F452/F453)-1</f>
        <v>1.6580291965251348E-3</v>
      </c>
    </row>
    <row r="452" spans="1:11" x14ac:dyDescent="0.35">
      <c r="A452" s="490">
        <v>44664</v>
      </c>
      <c r="B452" s="491">
        <v>319.89999999999998</v>
      </c>
      <c r="C452" s="483">
        <f t="shared" ref="C452:C515" si="30">(B452/B453)-1</f>
        <v>2.5070510811655566E-3</v>
      </c>
      <c r="E452" s="492">
        <v>44664</v>
      </c>
      <c r="F452" s="493">
        <v>6584.97</v>
      </c>
      <c r="G452" s="484">
        <f t="shared" ref="G452:G515" si="31">(F452/F453)-1</f>
        <v>1.6580291965251348E-3</v>
      </c>
      <c r="J452" s="483">
        <f t="shared" si="28"/>
        <v>-9.3138776777398347E-3</v>
      </c>
      <c r="K452" s="484">
        <f t="shared" si="29"/>
        <v>-9.7144561471163016E-3</v>
      </c>
    </row>
    <row r="453" spans="1:11" x14ac:dyDescent="0.35">
      <c r="A453" s="490">
        <v>44663</v>
      </c>
      <c r="B453" s="491">
        <v>319.10000000000002</v>
      </c>
      <c r="C453" s="483">
        <f t="shared" si="30"/>
        <v>-9.3138776777398347E-3</v>
      </c>
      <c r="E453" s="492">
        <v>44663</v>
      </c>
      <c r="F453" s="493">
        <v>6574.07</v>
      </c>
      <c r="G453" s="484">
        <f t="shared" si="31"/>
        <v>-9.7144561471163016E-3</v>
      </c>
      <c r="J453" s="483">
        <f t="shared" si="28"/>
        <v>6.213109661385996E-4</v>
      </c>
      <c r="K453" s="484">
        <f t="shared" si="29"/>
        <v>-3.5857679982588264E-3</v>
      </c>
    </row>
    <row r="454" spans="1:11" x14ac:dyDescent="0.35">
      <c r="A454" s="490">
        <v>44662</v>
      </c>
      <c r="B454" s="491">
        <v>322.10000000000002</v>
      </c>
      <c r="C454" s="483">
        <f t="shared" si="30"/>
        <v>6.213109661385996E-4</v>
      </c>
      <c r="E454" s="492">
        <v>44662</v>
      </c>
      <c r="F454" s="493">
        <v>6638.56</v>
      </c>
      <c r="G454" s="484">
        <f t="shared" si="31"/>
        <v>-3.5857679982588264E-3</v>
      </c>
      <c r="J454" s="483">
        <f t="shared" si="28"/>
        <v>1.2441679626749025E-3</v>
      </c>
      <c r="K454" s="484">
        <f t="shared" si="29"/>
        <v>3.1951912522227843E-3</v>
      </c>
    </row>
    <row r="455" spans="1:11" x14ac:dyDescent="0.35">
      <c r="A455" s="490">
        <v>44661</v>
      </c>
      <c r="B455" s="491">
        <v>321.89999999999998</v>
      </c>
      <c r="C455" s="483">
        <f t="shared" si="30"/>
        <v>1.2441679626749025E-3</v>
      </c>
      <c r="E455" s="492">
        <v>44661</v>
      </c>
      <c r="F455" s="493">
        <v>6662.45</v>
      </c>
      <c r="G455" s="484">
        <f t="shared" si="31"/>
        <v>3.1951912522227843E-3</v>
      </c>
      <c r="J455" s="483">
        <f t="shared" si="28"/>
        <v>3.7464876678114933E-3</v>
      </c>
      <c r="K455" s="484">
        <f t="shared" si="29"/>
        <v>-3.1895030078890052E-3</v>
      </c>
    </row>
    <row r="456" spans="1:11" x14ac:dyDescent="0.35">
      <c r="A456" s="490">
        <v>44658</v>
      </c>
      <c r="B456" s="491">
        <v>321.5</v>
      </c>
      <c r="C456" s="483">
        <f t="shared" si="30"/>
        <v>3.7464876678114933E-3</v>
      </c>
      <c r="E456" s="492">
        <v>44658</v>
      </c>
      <c r="F456" s="493">
        <v>6641.23</v>
      </c>
      <c r="G456" s="484">
        <f t="shared" si="31"/>
        <v>-3.1895030078890052E-3</v>
      </c>
      <c r="J456" s="483">
        <f t="shared" si="28"/>
        <v>-1.4461538461538415E-2</v>
      </c>
      <c r="K456" s="484">
        <f t="shared" si="29"/>
        <v>-4.7532975815246514E-3</v>
      </c>
    </row>
    <row r="457" spans="1:11" x14ac:dyDescent="0.35">
      <c r="A457" s="490">
        <v>44657</v>
      </c>
      <c r="B457" s="491">
        <v>320.3</v>
      </c>
      <c r="C457" s="483">
        <f t="shared" si="30"/>
        <v>-1.4461538461538415E-2</v>
      </c>
      <c r="E457" s="492">
        <v>44657</v>
      </c>
      <c r="F457" s="493">
        <v>6662.48</v>
      </c>
      <c r="G457" s="484">
        <f t="shared" si="31"/>
        <v>-4.7532975815246514E-3</v>
      </c>
      <c r="J457" s="483">
        <f t="shared" si="28"/>
        <v>3.0778701138811648E-4</v>
      </c>
      <c r="K457" s="484">
        <f t="shared" si="29"/>
        <v>-3.6627964952647973E-3</v>
      </c>
    </row>
    <row r="458" spans="1:11" x14ac:dyDescent="0.35">
      <c r="A458" s="490">
        <v>44656</v>
      </c>
      <c r="B458" s="491">
        <v>325</v>
      </c>
      <c r="C458" s="483">
        <f t="shared" si="30"/>
        <v>3.0778701138811648E-4</v>
      </c>
      <c r="E458" s="492">
        <v>44656</v>
      </c>
      <c r="F458" s="493">
        <v>6694.3</v>
      </c>
      <c r="G458" s="484">
        <f t="shared" si="31"/>
        <v>-3.6627964952647973E-3</v>
      </c>
      <c r="J458" s="483">
        <f t="shared" si="28"/>
        <v>-1.1560693641618491E-2</v>
      </c>
      <c r="K458" s="484">
        <f t="shared" si="29"/>
        <v>-7.8264477820880751E-3</v>
      </c>
    </row>
    <row r="459" spans="1:11" x14ac:dyDescent="0.35">
      <c r="A459" s="490">
        <v>44655</v>
      </c>
      <c r="B459" s="491">
        <v>324.89999999999998</v>
      </c>
      <c r="C459" s="483">
        <f t="shared" si="30"/>
        <v>-1.1560693641618491E-2</v>
      </c>
      <c r="E459" s="492">
        <v>44655</v>
      </c>
      <c r="F459" s="493">
        <v>6718.91</v>
      </c>
      <c r="G459" s="484">
        <f t="shared" si="31"/>
        <v>-7.8264477820880751E-3</v>
      </c>
      <c r="J459" s="483">
        <f t="shared" si="28"/>
        <v>-6.0808756460928315E-4</v>
      </c>
      <c r="K459" s="484">
        <f t="shared" si="29"/>
        <v>2.0835090554216507E-3</v>
      </c>
    </row>
    <row r="460" spans="1:11" x14ac:dyDescent="0.35">
      <c r="A460" s="490">
        <v>44654</v>
      </c>
      <c r="B460" s="491">
        <v>328.7</v>
      </c>
      <c r="C460" s="483">
        <f t="shared" si="30"/>
        <v>-6.0808756460928315E-4</v>
      </c>
      <c r="E460" s="492">
        <v>44654</v>
      </c>
      <c r="F460" s="493">
        <v>6771.91</v>
      </c>
      <c r="G460" s="484">
        <f t="shared" si="31"/>
        <v>2.0835090554216507E-3</v>
      </c>
      <c r="J460" s="483">
        <f t="shared" si="28"/>
        <v>6.0845756008509611E-4</v>
      </c>
      <c r="K460" s="484">
        <f t="shared" si="29"/>
        <v>6.0262727724991194E-4</v>
      </c>
    </row>
    <row r="461" spans="1:11" x14ac:dyDescent="0.35">
      <c r="A461" s="490">
        <v>44651</v>
      </c>
      <c r="B461" s="491">
        <v>328.9</v>
      </c>
      <c r="C461" s="483">
        <f t="shared" si="30"/>
        <v>6.0845756008509611E-4</v>
      </c>
      <c r="E461" s="492">
        <v>44651</v>
      </c>
      <c r="F461" s="493">
        <v>6757.83</v>
      </c>
      <c r="G461" s="484">
        <f t="shared" si="31"/>
        <v>6.0262727724991194E-4</v>
      </c>
      <c r="J461" s="483">
        <f t="shared" si="28"/>
        <v>1.8287107589147755E-3</v>
      </c>
      <c r="K461" s="484">
        <f t="shared" si="29"/>
        <v>-1.7057632329682271E-3</v>
      </c>
    </row>
    <row r="462" spans="1:11" x14ac:dyDescent="0.35">
      <c r="A462" s="490">
        <v>44650</v>
      </c>
      <c r="B462" s="491">
        <v>328.7</v>
      </c>
      <c r="C462" s="483">
        <f t="shared" si="30"/>
        <v>1.8287107589147755E-3</v>
      </c>
      <c r="E462" s="492">
        <v>44650</v>
      </c>
      <c r="F462" s="493">
        <v>6753.76</v>
      </c>
      <c r="G462" s="484">
        <f t="shared" si="31"/>
        <v>-1.7057632329682271E-3</v>
      </c>
      <c r="J462" s="483">
        <f t="shared" si="28"/>
        <v>-8.4617709277725606E-3</v>
      </c>
      <c r="K462" s="484">
        <f t="shared" si="29"/>
        <v>1.0565005859584087E-3</v>
      </c>
    </row>
    <row r="463" spans="1:11" x14ac:dyDescent="0.35">
      <c r="A463" s="490">
        <v>44649</v>
      </c>
      <c r="B463" s="491">
        <v>328.1</v>
      </c>
      <c r="C463" s="483">
        <f t="shared" si="30"/>
        <v>-8.4617709277725606E-3</v>
      </c>
      <c r="E463" s="492">
        <v>44649</v>
      </c>
      <c r="F463" s="493">
        <v>6765.3</v>
      </c>
      <c r="G463" s="484">
        <f t="shared" si="31"/>
        <v>1.0565005859584087E-3</v>
      </c>
      <c r="J463" s="483">
        <f t="shared" si="28"/>
        <v>6.6930331609369453E-3</v>
      </c>
      <c r="K463" s="484">
        <f t="shared" si="29"/>
        <v>2.463825084735749E-3</v>
      </c>
    </row>
    <row r="464" spans="1:11" x14ac:dyDescent="0.35">
      <c r="A464" s="490">
        <v>44648</v>
      </c>
      <c r="B464" s="491">
        <v>330.9</v>
      </c>
      <c r="C464" s="483">
        <f t="shared" si="30"/>
        <v>6.6930331609369453E-3</v>
      </c>
      <c r="E464" s="492">
        <v>44648</v>
      </c>
      <c r="F464" s="493">
        <v>6758.16</v>
      </c>
      <c r="G464" s="484">
        <f t="shared" si="31"/>
        <v>2.463825084735749E-3</v>
      </c>
      <c r="J464" s="483">
        <f t="shared" si="28"/>
        <v>9.5208845208845094E-3</v>
      </c>
      <c r="K464" s="484">
        <f t="shared" si="29"/>
        <v>-1.676324288783837E-3</v>
      </c>
    </row>
    <row r="465" spans="1:11" x14ac:dyDescent="0.35">
      <c r="A465" s="490">
        <v>44647</v>
      </c>
      <c r="B465" s="491">
        <v>328.7</v>
      </c>
      <c r="C465" s="483">
        <f t="shared" si="30"/>
        <v>9.5208845208845094E-3</v>
      </c>
      <c r="E465" s="492">
        <v>44647</v>
      </c>
      <c r="F465" s="493">
        <v>6741.55</v>
      </c>
      <c r="G465" s="484">
        <f t="shared" si="31"/>
        <v>-1.676324288783837E-3</v>
      </c>
      <c r="J465" s="483">
        <f t="shared" si="28"/>
        <v>3.0721966205837781E-4</v>
      </c>
      <c r="K465" s="484">
        <f t="shared" si="29"/>
        <v>3.6590424271154554E-4</v>
      </c>
    </row>
    <row r="466" spans="1:11" x14ac:dyDescent="0.35">
      <c r="A466" s="490">
        <v>44644</v>
      </c>
      <c r="B466" s="491">
        <v>325.60000000000002</v>
      </c>
      <c r="C466" s="483">
        <f t="shared" si="30"/>
        <v>3.0721966205837781E-4</v>
      </c>
      <c r="E466" s="492">
        <v>44644</v>
      </c>
      <c r="F466" s="493">
        <v>6752.87</v>
      </c>
      <c r="G466" s="484">
        <f t="shared" si="31"/>
        <v>3.6590424271154554E-4</v>
      </c>
      <c r="J466" s="483">
        <f t="shared" si="28"/>
        <v>2.4638127502309981E-3</v>
      </c>
      <c r="K466" s="484">
        <f t="shared" si="29"/>
        <v>-3.1395551460056126E-3</v>
      </c>
    </row>
    <row r="467" spans="1:11" x14ac:dyDescent="0.35">
      <c r="A467" s="490">
        <v>44643</v>
      </c>
      <c r="B467" s="491">
        <v>325.5</v>
      </c>
      <c r="C467" s="483">
        <f t="shared" si="30"/>
        <v>2.4638127502309981E-3</v>
      </c>
      <c r="E467" s="492">
        <v>44643</v>
      </c>
      <c r="F467" s="493">
        <v>6750.4</v>
      </c>
      <c r="G467" s="484">
        <f t="shared" si="31"/>
        <v>-3.1395551460056126E-3</v>
      </c>
      <c r="J467" s="483">
        <f t="shared" si="28"/>
        <v>-9.2307692307691536E-4</v>
      </c>
      <c r="K467" s="484">
        <f t="shared" si="29"/>
        <v>1.1938545407268908E-2</v>
      </c>
    </row>
    <row r="468" spans="1:11" x14ac:dyDescent="0.35">
      <c r="A468" s="490">
        <v>44642</v>
      </c>
      <c r="B468" s="491">
        <v>324.7</v>
      </c>
      <c r="C468" s="483">
        <f t="shared" si="30"/>
        <v>-9.2307692307691536E-4</v>
      </c>
      <c r="E468" s="492">
        <v>44642</v>
      </c>
      <c r="F468" s="493">
        <v>6771.66</v>
      </c>
      <c r="G468" s="484">
        <f t="shared" si="31"/>
        <v>1.1938545407268908E-2</v>
      </c>
      <c r="J468" s="483">
        <f t="shared" si="28"/>
        <v>-3.373198405397182E-3</v>
      </c>
      <c r="K468" s="484">
        <f t="shared" si="29"/>
        <v>-9.3609473816214095E-4</v>
      </c>
    </row>
    <row r="469" spans="1:11" x14ac:dyDescent="0.35">
      <c r="A469" s="490">
        <v>44641</v>
      </c>
      <c r="B469" s="491">
        <v>325</v>
      </c>
      <c r="C469" s="483">
        <f t="shared" si="30"/>
        <v>-3.373198405397182E-3</v>
      </c>
      <c r="E469" s="492">
        <v>44641</v>
      </c>
      <c r="F469" s="493">
        <v>6691.77</v>
      </c>
      <c r="G469" s="484">
        <f t="shared" si="31"/>
        <v>-9.3609473816214095E-4</v>
      </c>
      <c r="J469" s="483">
        <f t="shared" si="28"/>
        <v>6.1368517950310952E-4</v>
      </c>
      <c r="K469" s="484">
        <f t="shared" si="29"/>
        <v>-9.9828839508216971E-3</v>
      </c>
    </row>
    <row r="470" spans="1:11" x14ac:dyDescent="0.35">
      <c r="A470" s="490">
        <v>44640</v>
      </c>
      <c r="B470" s="491">
        <v>326.10000000000002</v>
      </c>
      <c r="C470" s="483">
        <f t="shared" si="30"/>
        <v>6.1368517950310952E-4</v>
      </c>
      <c r="E470" s="492">
        <v>44640</v>
      </c>
      <c r="F470" s="493">
        <v>6698.04</v>
      </c>
      <c r="G470" s="484">
        <f t="shared" si="31"/>
        <v>-9.9828839508216971E-3</v>
      </c>
      <c r="J470" s="483">
        <f t="shared" si="28"/>
        <v>-1.837349397590371E-2</v>
      </c>
      <c r="K470" s="484">
        <f t="shared" si="29"/>
        <v>1.6259033001286838E-5</v>
      </c>
    </row>
    <row r="471" spans="1:11" x14ac:dyDescent="0.35">
      <c r="A471" s="490">
        <v>44636</v>
      </c>
      <c r="B471" s="491">
        <v>325.89999999999998</v>
      </c>
      <c r="C471" s="483">
        <f t="shared" si="30"/>
        <v>-1.837349397590371E-2</v>
      </c>
      <c r="E471" s="492">
        <v>44636</v>
      </c>
      <c r="F471" s="493">
        <v>6765.58</v>
      </c>
      <c r="G471" s="484">
        <f t="shared" si="31"/>
        <v>1.6259033001286838E-5</v>
      </c>
      <c r="J471" s="483">
        <f t="shared" si="28"/>
        <v>6.0606060606060996E-3</v>
      </c>
      <c r="K471" s="484">
        <f t="shared" si="29"/>
        <v>2.2767828762271236E-4</v>
      </c>
    </row>
    <row r="472" spans="1:11" x14ac:dyDescent="0.35">
      <c r="A472" s="490">
        <v>44635</v>
      </c>
      <c r="B472" s="491">
        <v>332</v>
      </c>
      <c r="C472" s="483">
        <f t="shared" si="30"/>
        <v>6.0606060606060996E-3</v>
      </c>
      <c r="E472" s="492">
        <v>44635</v>
      </c>
      <c r="F472" s="493">
        <v>6765.47</v>
      </c>
      <c r="G472" s="484">
        <f t="shared" si="31"/>
        <v>2.2767828762271236E-4</v>
      </c>
      <c r="J472" s="483">
        <f t="shared" si="28"/>
        <v>6.7114093959730337E-3</v>
      </c>
      <c r="K472" s="484">
        <f t="shared" si="29"/>
        <v>-2.6604667936780402E-4</v>
      </c>
    </row>
    <row r="473" spans="1:11" x14ac:dyDescent="0.35">
      <c r="A473" s="490">
        <v>44634</v>
      </c>
      <c r="B473" s="491">
        <v>330</v>
      </c>
      <c r="C473" s="483">
        <f t="shared" si="30"/>
        <v>6.7114093959730337E-3</v>
      </c>
      <c r="E473" s="492">
        <v>44634</v>
      </c>
      <c r="F473" s="493">
        <v>6763.93</v>
      </c>
      <c r="G473" s="484">
        <f t="shared" si="31"/>
        <v>-2.6604667936780402E-4</v>
      </c>
      <c r="J473" s="483">
        <f t="shared" si="28"/>
        <v>1.7380509000620714E-2</v>
      </c>
      <c r="K473" s="484">
        <f t="shared" si="29"/>
        <v>1.4635265606300907E-2</v>
      </c>
    </row>
    <row r="474" spans="1:11" x14ac:dyDescent="0.35">
      <c r="A474" s="490">
        <v>44633</v>
      </c>
      <c r="B474" s="491">
        <v>327.8</v>
      </c>
      <c r="C474" s="483">
        <f t="shared" si="30"/>
        <v>1.7380509000620714E-2</v>
      </c>
      <c r="E474" s="492">
        <v>44633</v>
      </c>
      <c r="F474" s="493">
        <v>6765.73</v>
      </c>
      <c r="G474" s="484">
        <f t="shared" si="31"/>
        <v>1.4635265606300907E-2</v>
      </c>
      <c r="J474" s="483">
        <f t="shared" si="28"/>
        <v>5.3042121684867549E-3</v>
      </c>
      <c r="K474" s="484">
        <f t="shared" si="29"/>
        <v>5.7496055818835323E-3</v>
      </c>
    </row>
    <row r="475" spans="1:11" x14ac:dyDescent="0.35">
      <c r="A475" s="490">
        <v>44630</v>
      </c>
      <c r="B475" s="491">
        <v>322.2</v>
      </c>
      <c r="C475" s="483">
        <f t="shared" si="30"/>
        <v>5.3042121684867549E-3</v>
      </c>
      <c r="E475" s="492">
        <v>44630</v>
      </c>
      <c r="F475" s="493">
        <v>6668.14</v>
      </c>
      <c r="G475" s="484">
        <f t="shared" si="31"/>
        <v>5.7496055818835323E-3</v>
      </c>
      <c r="J475" s="483">
        <f t="shared" si="28"/>
        <v>1.2958280657395793E-2</v>
      </c>
      <c r="K475" s="484">
        <f t="shared" si="29"/>
        <v>2.4055184514726102E-2</v>
      </c>
    </row>
    <row r="476" spans="1:11" x14ac:dyDescent="0.35">
      <c r="A476" s="490">
        <v>44629</v>
      </c>
      <c r="B476" s="491">
        <v>320.5</v>
      </c>
      <c r="C476" s="483">
        <f t="shared" si="30"/>
        <v>1.2958280657395793E-2</v>
      </c>
      <c r="E476" s="492">
        <v>44629</v>
      </c>
      <c r="F476" s="493">
        <v>6630.02</v>
      </c>
      <c r="G476" s="484">
        <f t="shared" si="31"/>
        <v>2.4055184514726102E-2</v>
      </c>
      <c r="J476" s="483">
        <f t="shared" si="28"/>
        <v>-3.7783375314862644E-3</v>
      </c>
      <c r="K476" s="484">
        <f t="shared" si="29"/>
        <v>2.7522608963665984E-3</v>
      </c>
    </row>
    <row r="477" spans="1:11" x14ac:dyDescent="0.35">
      <c r="A477" s="490">
        <v>44628</v>
      </c>
      <c r="B477" s="491">
        <v>316.39999999999998</v>
      </c>
      <c r="C477" s="483">
        <f t="shared" si="30"/>
        <v>-3.7783375314862644E-3</v>
      </c>
      <c r="E477" s="492">
        <v>44628</v>
      </c>
      <c r="F477" s="493">
        <v>6474.28</v>
      </c>
      <c r="G477" s="484">
        <f t="shared" si="31"/>
        <v>2.7522608963665984E-3</v>
      </c>
      <c r="J477" s="483">
        <f t="shared" si="28"/>
        <v>-1.7022593624264948E-2</v>
      </c>
      <c r="K477" s="484">
        <f t="shared" si="29"/>
        <v>-2.7433371041916788E-2</v>
      </c>
    </row>
    <row r="478" spans="1:11" x14ac:dyDescent="0.35">
      <c r="A478" s="490">
        <v>44627</v>
      </c>
      <c r="B478" s="491">
        <v>317.60000000000002</v>
      </c>
      <c r="C478" s="483">
        <f t="shared" si="30"/>
        <v>-1.7022593624264948E-2</v>
      </c>
      <c r="E478" s="492">
        <v>44627</v>
      </c>
      <c r="F478" s="493">
        <v>6456.51</v>
      </c>
      <c r="G478" s="484">
        <f t="shared" si="31"/>
        <v>-2.7433371041916788E-2</v>
      </c>
      <c r="J478" s="483">
        <f t="shared" si="28"/>
        <v>-1.7335766423357657E-2</v>
      </c>
      <c r="K478" s="484">
        <f t="shared" si="29"/>
        <v>-8.6447886364858784E-3</v>
      </c>
    </row>
    <row r="479" spans="1:11" x14ac:dyDescent="0.35">
      <c r="A479" s="490">
        <v>44626</v>
      </c>
      <c r="B479" s="491">
        <v>323.10000000000002</v>
      </c>
      <c r="C479" s="483">
        <f t="shared" si="30"/>
        <v>-1.7335766423357657E-2</v>
      </c>
      <c r="E479" s="492">
        <v>44626</v>
      </c>
      <c r="F479" s="493">
        <v>6638.63</v>
      </c>
      <c r="G479" s="484">
        <f t="shared" si="31"/>
        <v>-8.6447886364858784E-3</v>
      </c>
      <c r="J479" s="483">
        <f t="shared" si="28"/>
        <v>-1.8800358102059156E-2</v>
      </c>
      <c r="K479" s="484">
        <f t="shared" si="29"/>
        <v>-4.9404238615002871E-4</v>
      </c>
    </row>
    <row r="480" spans="1:11" x14ac:dyDescent="0.35">
      <c r="A480" s="490">
        <v>44623</v>
      </c>
      <c r="B480" s="491">
        <v>328.8</v>
      </c>
      <c r="C480" s="483">
        <f t="shared" si="30"/>
        <v>-1.8800358102059156E-2</v>
      </c>
      <c r="E480" s="492">
        <v>44623</v>
      </c>
      <c r="F480" s="493">
        <v>6696.52</v>
      </c>
      <c r="G480" s="484">
        <f t="shared" si="31"/>
        <v>-4.9404238615002871E-4</v>
      </c>
      <c r="J480" s="483">
        <f t="shared" si="28"/>
        <v>-1.5280634734058163E-2</v>
      </c>
      <c r="K480" s="484">
        <f t="shared" si="29"/>
        <v>-7.9881192458148842E-3</v>
      </c>
    </row>
    <row r="481" spans="1:11" x14ac:dyDescent="0.35">
      <c r="A481" s="490">
        <v>44622</v>
      </c>
      <c r="B481" s="491">
        <v>335.1</v>
      </c>
      <c r="C481" s="483">
        <f t="shared" si="30"/>
        <v>-1.5280634734058163E-2</v>
      </c>
      <c r="E481" s="492">
        <v>44622</v>
      </c>
      <c r="F481" s="493">
        <v>6699.83</v>
      </c>
      <c r="G481" s="484">
        <f t="shared" si="31"/>
        <v>-7.9881192458148842E-3</v>
      </c>
      <c r="J481" s="483">
        <f t="shared" si="28"/>
        <v>8.8235294117655627E-4</v>
      </c>
      <c r="K481" s="484">
        <f t="shared" si="29"/>
        <v>2.1277732274491701E-3</v>
      </c>
    </row>
    <row r="482" spans="1:11" x14ac:dyDescent="0.35">
      <c r="A482" s="490">
        <v>44621</v>
      </c>
      <c r="B482" s="491">
        <v>340.3</v>
      </c>
      <c r="C482" s="483">
        <f t="shared" si="30"/>
        <v>8.8235294117655627E-4</v>
      </c>
      <c r="E482" s="492">
        <v>44621</v>
      </c>
      <c r="F482" s="493">
        <v>6753.78</v>
      </c>
      <c r="G482" s="484">
        <f t="shared" si="31"/>
        <v>2.1277732274491701E-3</v>
      </c>
      <c r="J482" s="483">
        <f t="shared" si="28"/>
        <v>-2.6400704018773036E-3</v>
      </c>
      <c r="K482" s="484">
        <f t="shared" si="29"/>
        <v>9.4815267504875234E-3</v>
      </c>
    </row>
    <row r="483" spans="1:11" x14ac:dyDescent="0.35">
      <c r="A483" s="490">
        <v>44620</v>
      </c>
      <c r="B483" s="491">
        <v>340</v>
      </c>
      <c r="C483" s="483">
        <f t="shared" si="30"/>
        <v>-2.6400704018773036E-3</v>
      </c>
      <c r="E483" s="492">
        <v>44620</v>
      </c>
      <c r="F483" s="493">
        <v>6739.44</v>
      </c>
      <c r="G483" s="484">
        <f t="shared" si="31"/>
        <v>9.4815267504875234E-3</v>
      </c>
      <c r="J483" s="483">
        <f t="shared" si="28"/>
        <v>-2.9248318221701819E-3</v>
      </c>
      <c r="K483" s="484">
        <f t="shared" si="29"/>
        <v>-2.387622378440335E-2</v>
      </c>
    </row>
    <row r="484" spans="1:11" x14ac:dyDescent="0.35">
      <c r="A484" s="490">
        <v>44619</v>
      </c>
      <c r="B484" s="491">
        <v>340.9</v>
      </c>
      <c r="C484" s="483">
        <f t="shared" si="30"/>
        <v>-2.9248318221701819E-3</v>
      </c>
      <c r="E484" s="492">
        <v>44619</v>
      </c>
      <c r="F484" s="493">
        <v>6676.14</v>
      </c>
      <c r="G484" s="484">
        <f t="shared" si="31"/>
        <v>-2.387622378440335E-2</v>
      </c>
      <c r="J484" s="483">
        <f t="shared" si="28"/>
        <v>-3.7985368598762004E-2</v>
      </c>
      <c r="K484" s="484">
        <f t="shared" si="29"/>
        <v>-1.1341592101649312E-2</v>
      </c>
    </row>
    <row r="485" spans="1:11" x14ac:dyDescent="0.35">
      <c r="A485" s="490">
        <v>44616</v>
      </c>
      <c r="B485" s="491">
        <v>341.9</v>
      </c>
      <c r="C485" s="483">
        <f t="shared" si="30"/>
        <v>-3.7985368598762004E-2</v>
      </c>
      <c r="E485" s="492">
        <v>44616</v>
      </c>
      <c r="F485" s="493">
        <v>6839.44</v>
      </c>
      <c r="G485" s="484">
        <f t="shared" si="31"/>
        <v>-1.1341592101649312E-2</v>
      </c>
      <c r="J485" s="483">
        <f t="shared" si="28"/>
        <v>-3.9237668161435924E-3</v>
      </c>
      <c r="K485" s="484">
        <f t="shared" si="29"/>
        <v>-1.0505839358636138E-2</v>
      </c>
    </row>
    <row r="486" spans="1:11" x14ac:dyDescent="0.35">
      <c r="A486" s="490">
        <v>44614</v>
      </c>
      <c r="B486" s="491">
        <v>355.4</v>
      </c>
      <c r="C486" s="483">
        <f t="shared" si="30"/>
        <v>-3.9237668161435924E-3</v>
      </c>
      <c r="E486" s="492">
        <v>44614</v>
      </c>
      <c r="F486" s="493">
        <v>6917.9</v>
      </c>
      <c r="G486" s="484">
        <f t="shared" si="31"/>
        <v>-1.0505839358636138E-2</v>
      </c>
      <c r="J486" s="483">
        <f t="shared" si="28"/>
        <v>-2.5160749231198931E-3</v>
      </c>
      <c r="K486" s="484">
        <f t="shared" si="29"/>
        <v>-7.430764272703505E-3</v>
      </c>
    </row>
    <row r="487" spans="1:11" x14ac:dyDescent="0.35">
      <c r="A487" s="490">
        <v>44609</v>
      </c>
      <c r="B487" s="491">
        <v>356.8</v>
      </c>
      <c r="C487" s="483">
        <f t="shared" si="30"/>
        <v>-2.5160749231198931E-3</v>
      </c>
      <c r="E487" s="492">
        <v>44609</v>
      </c>
      <c r="F487" s="493">
        <v>6991.35</v>
      </c>
      <c r="G487" s="484">
        <f t="shared" si="31"/>
        <v>-7.430764272703505E-3</v>
      </c>
      <c r="J487" s="483">
        <f t="shared" si="28"/>
        <v>-5.5881531153945119E-4</v>
      </c>
      <c r="K487" s="484">
        <f t="shared" si="29"/>
        <v>9.8340573871236181E-4</v>
      </c>
    </row>
    <row r="488" spans="1:11" x14ac:dyDescent="0.35">
      <c r="A488" s="490">
        <v>44608</v>
      </c>
      <c r="B488" s="491">
        <v>357.7</v>
      </c>
      <c r="C488" s="483">
        <f t="shared" si="30"/>
        <v>-5.5881531153945119E-4</v>
      </c>
      <c r="E488" s="492">
        <v>44608</v>
      </c>
      <c r="F488" s="493">
        <v>7043.69</v>
      </c>
      <c r="G488" s="484">
        <f t="shared" si="31"/>
        <v>9.8340573871236181E-4</v>
      </c>
      <c r="J488" s="483">
        <f t="shared" si="28"/>
        <v>8.3892617449654594E-4</v>
      </c>
      <c r="K488" s="484">
        <f t="shared" si="29"/>
        <v>-3.3934168280048693E-3</v>
      </c>
    </row>
    <row r="489" spans="1:11" x14ac:dyDescent="0.35">
      <c r="A489" s="490">
        <v>44607</v>
      </c>
      <c r="B489" s="491">
        <v>357.9</v>
      </c>
      <c r="C489" s="483">
        <f t="shared" si="30"/>
        <v>8.3892617449654594E-4</v>
      </c>
      <c r="E489" s="492">
        <v>44607</v>
      </c>
      <c r="F489" s="493">
        <v>7036.77</v>
      </c>
      <c r="G489" s="484">
        <f t="shared" si="31"/>
        <v>-3.3934168280048693E-3</v>
      </c>
      <c r="J489" s="483">
        <f t="shared" si="28"/>
        <v>-8.3822296730917678E-4</v>
      </c>
      <c r="K489" s="484">
        <f t="shared" si="29"/>
        <v>-4.0609237296743705E-3</v>
      </c>
    </row>
    <row r="490" spans="1:11" x14ac:dyDescent="0.35">
      <c r="A490" s="490">
        <v>44606</v>
      </c>
      <c r="B490" s="491">
        <v>357.6</v>
      </c>
      <c r="C490" s="483">
        <f t="shared" si="30"/>
        <v>-8.3822296730917678E-4</v>
      </c>
      <c r="E490" s="492">
        <v>44606</v>
      </c>
      <c r="F490" s="493">
        <v>7060.73</v>
      </c>
      <c r="G490" s="484">
        <f t="shared" si="31"/>
        <v>-4.0609237296743705E-3</v>
      </c>
      <c r="J490" s="483">
        <f t="shared" si="28"/>
        <v>-2.7932960893861658E-4</v>
      </c>
      <c r="K490" s="484">
        <f t="shared" si="29"/>
        <v>5.0522584159629069E-4</v>
      </c>
    </row>
    <row r="491" spans="1:11" x14ac:dyDescent="0.35">
      <c r="A491" s="490">
        <v>44605</v>
      </c>
      <c r="B491" s="491">
        <v>357.9</v>
      </c>
      <c r="C491" s="483">
        <f t="shared" si="30"/>
        <v>-2.7932960893861658E-4</v>
      </c>
      <c r="E491" s="492">
        <v>44605</v>
      </c>
      <c r="F491" s="493">
        <v>7089.52</v>
      </c>
      <c r="G491" s="484">
        <f t="shared" si="31"/>
        <v>5.0522584159629069E-4</v>
      </c>
      <c r="J491" s="483">
        <f t="shared" si="28"/>
        <v>2.7940765576972559E-4</v>
      </c>
      <c r="K491" s="484">
        <f t="shared" si="29"/>
        <v>6.4394228243647156E-4</v>
      </c>
    </row>
    <row r="492" spans="1:11" x14ac:dyDescent="0.35">
      <c r="A492" s="490">
        <v>44602</v>
      </c>
      <c r="B492" s="491">
        <v>358</v>
      </c>
      <c r="C492" s="483">
        <f t="shared" si="30"/>
        <v>2.7940765576972559E-4</v>
      </c>
      <c r="E492" s="492">
        <v>44602</v>
      </c>
      <c r="F492" s="493">
        <v>7085.94</v>
      </c>
      <c r="G492" s="484">
        <f t="shared" si="31"/>
        <v>6.4394228243647156E-4</v>
      </c>
      <c r="J492" s="483">
        <f t="shared" si="28"/>
        <v>-8.3752093802347272E-4</v>
      </c>
      <c r="K492" s="484">
        <f t="shared" si="29"/>
        <v>1.2159292385738318E-3</v>
      </c>
    </row>
    <row r="493" spans="1:11" x14ac:dyDescent="0.35">
      <c r="A493" s="490">
        <v>44601</v>
      </c>
      <c r="B493" s="491">
        <v>357.9</v>
      </c>
      <c r="C493" s="483">
        <f t="shared" si="30"/>
        <v>-8.3752093802347272E-4</v>
      </c>
      <c r="E493" s="492">
        <v>44601</v>
      </c>
      <c r="F493" s="493">
        <v>7081.38</v>
      </c>
      <c r="G493" s="484">
        <f t="shared" si="31"/>
        <v>1.2159292385738318E-3</v>
      </c>
      <c r="J493" s="483">
        <f t="shared" si="28"/>
        <v>6.7453625632376557E-3</v>
      </c>
      <c r="K493" s="484">
        <f t="shared" si="29"/>
        <v>2.9751269179498774E-3</v>
      </c>
    </row>
    <row r="494" spans="1:11" x14ac:dyDescent="0.35">
      <c r="A494" s="490">
        <v>44600</v>
      </c>
      <c r="B494" s="491">
        <v>358.2</v>
      </c>
      <c r="C494" s="483">
        <f t="shared" si="30"/>
        <v>6.7453625632376557E-3</v>
      </c>
      <c r="E494" s="492">
        <v>44600</v>
      </c>
      <c r="F494" s="493">
        <v>7072.78</v>
      </c>
      <c r="G494" s="484">
        <f t="shared" si="31"/>
        <v>2.9751269179498774E-3</v>
      </c>
      <c r="J494" s="483">
        <f t="shared" si="28"/>
        <v>-5.8675607711650146E-3</v>
      </c>
      <c r="K494" s="484">
        <f t="shared" si="29"/>
        <v>-1.768047461245148E-3</v>
      </c>
    </row>
    <row r="495" spans="1:11" x14ac:dyDescent="0.35">
      <c r="A495" s="490">
        <v>44599</v>
      </c>
      <c r="B495" s="491">
        <v>355.8</v>
      </c>
      <c r="C495" s="483">
        <f t="shared" si="30"/>
        <v>-5.8675607711650146E-3</v>
      </c>
      <c r="E495" s="492">
        <v>44599</v>
      </c>
      <c r="F495" s="493">
        <v>7051.8</v>
      </c>
      <c r="G495" s="484">
        <f t="shared" si="31"/>
        <v>-1.768047461245148E-3</v>
      </c>
      <c r="J495" s="483">
        <f t="shared" si="28"/>
        <v>7.6013513513513153E-3</v>
      </c>
      <c r="K495" s="484">
        <f t="shared" si="29"/>
        <v>6.775216446360588E-3</v>
      </c>
    </row>
    <row r="496" spans="1:11" x14ac:dyDescent="0.35">
      <c r="A496" s="490">
        <v>44598</v>
      </c>
      <c r="B496" s="491">
        <v>357.9</v>
      </c>
      <c r="C496" s="483">
        <f t="shared" si="30"/>
        <v>7.6013513513513153E-3</v>
      </c>
      <c r="E496" s="492">
        <v>44598</v>
      </c>
      <c r="F496" s="493">
        <v>7064.29</v>
      </c>
      <c r="G496" s="484">
        <f t="shared" si="31"/>
        <v>6.775216446360588E-3</v>
      </c>
      <c r="J496" s="483">
        <f t="shared" si="28"/>
        <v>1.6920473773265332E-3</v>
      </c>
      <c r="K496" s="484">
        <f t="shared" si="29"/>
        <v>2.7366525665941666E-3</v>
      </c>
    </row>
    <row r="497" spans="1:11" x14ac:dyDescent="0.35">
      <c r="A497" s="490">
        <v>44594</v>
      </c>
      <c r="B497" s="491">
        <v>355.2</v>
      </c>
      <c r="C497" s="483">
        <f t="shared" si="30"/>
        <v>1.6920473773265332E-3</v>
      </c>
      <c r="E497" s="492">
        <v>44594</v>
      </c>
      <c r="F497" s="493">
        <v>7016.75</v>
      </c>
      <c r="G497" s="484">
        <f t="shared" si="31"/>
        <v>2.7366525665941666E-3</v>
      </c>
      <c r="J497" s="483">
        <f t="shared" si="28"/>
        <v>-3.6527114357964852E-3</v>
      </c>
      <c r="K497" s="484">
        <f t="shared" si="29"/>
        <v>1.0295555051838878E-2</v>
      </c>
    </row>
    <row r="498" spans="1:11" x14ac:dyDescent="0.35">
      <c r="A498" s="490">
        <v>44593</v>
      </c>
      <c r="B498" s="491">
        <v>354.6</v>
      </c>
      <c r="C498" s="483">
        <f t="shared" si="30"/>
        <v>-3.6527114357964852E-3</v>
      </c>
      <c r="E498" s="492">
        <v>44593</v>
      </c>
      <c r="F498" s="493">
        <v>6997.6</v>
      </c>
      <c r="G498" s="484">
        <f t="shared" si="31"/>
        <v>1.0295555051838878E-2</v>
      </c>
      <c r="J498" s="483">
        <f t="shared" si="28"/>
        <v>5.367231638418124E-3</v>
      </c>
      <c r="K498" s="484">
        <f t="shared" si="29"/>
        <v>-9.3341247648948134E-3</v>
      </c>
    </row>
    <row r="499" spans="1:11" x14ac:dyDescent="0.35">
      <c r="A499" s="490">
        <v>44592</v>
      </c>
      <c r="B499" s="491">
        <v>355.9</v>
      </c>
      <c r="C499" s="483">
        <f t="shared" si="30"/>
        <v>5.367231638418124E-3</v>
      </c>
      <c r="E499" s="492">
        <v>44592</v>
      </c>
      <c r="F499" s="493">
        <v>6926.29</v>
      </c>
      <c r="G499" s="484">
        <f t="shared" si="31"/>
        <v>-9.3341247648948134E-3</v>
      </c>
      <c r="J499" s="483">
        <f t="shared" si="28"/>
        <v>7.3989755264656232E-3</v>
      </c>
      <c r="K499" s="484">
        <f t="shared" si="29"/>
        <v>-5.1226956763025244E-3</v>
      </c>
    </row>
    <row r="500" spans="1:11" x14ac:dyDescent="0.35">
      <c r="A500" s="490">
        <v>44591</v>
      </c>
      <c r="B500" s="491">
        <v>354</v>
      </c>
      <c r="C500" s="483">
        <f t="shared" si="30"/>
        <v>7.3989755264656232E-3</v>
      </c>
      <c r="E500" s="492">
        <v>44591</v>
      </c>
      <c r="F500" s="493">
        <v>6991.55</v>
      </c>
      <c r="G500" s="484">
        <f t="shared" si="31"/>
        <v>-5.1226956763025244E-3</v>
      </c>
      <c r="J500" s="483">
        <f t="shared" si="28"/>
        <v>-1.1254924029262758E-2</v>
      </c>
      <c r="K500" s="484">
        <f t="shared" si="29"/>
        <v>-6.9534898271428336E-4</v>
      </c>
    </row>
    <row r="501" spans="1:11" x14ac:dyDescent="0.35">
      <c r="A501" s="490">
        <v>44588</v>
      </c>
      <c r="B501" s="491">
        <v>351.4</v>
      </c>
      <c r="C501" s="483">
        <f t="shared" si="30"/>
        <v>-1.1254924029262758E-2</v>
      </c>
      <c r="E501" s="492">
        <v>44588</v>
      </c>
      <c r="F501" s="493">
        <v>7027.55</v>
      </c>
      <c r="G501" s="484">
        <f t="shared" si="31"/>
        <v>-6.9534898271428336E-4</v>
      </c>
      <c r="J501" s="483">
        <f t="shared" si="28"/>
        <v>5.6306306306308507E-4</v>
      </c>
      <c r="K501" s="484">
        <f t="shared" si="29"/>
        <v>-1.8485418559643918E-5</v>
      </c>
    </row>
    <row r="502" spans="1:11" x14ac:dyDescent="0.35">
      <c r="A502" s="490">
        <v>44587</v>
      </c>
      <c r="B502" s="491">
        <v>355.4</v>
      </c>
      <c r="C502" s="483">
        <f t="shared" si="30"/>
        <v>5.6306306306308507E-4</v>
      </c>
      <c r="E502" s="492">
        <v>44587</v>
      </c>
      <c r="F502" s="493">
        <v>7032.44</v>
      </c>
      <c r="G502" s="484">
        <f t="shared" si="31"/>
        <v>-1.8485418559643918E-5</v>
      </c>
      <c r="J502" s="483">
        <f t="shared" si="28"/>
        <v>-1.0584958217270235E-2</v>
      </c>
      <c r="K502" s="484">
        <f t="shared" si="29"/>
        <v>1.8976386366065245E-3</v>
      </c>
    </row>
    <row r="503" spans="1:11" x14ac:dyDescent="0.35">
      <c r="A503" s="490">
        <v>44586</v>
      </c>
      <c r="B503" s="491">
        <v>355.2</v>
      </c>
      <c r="C503" s="483">
        <f t="shared" si="30"/>
        <v>-1.0584958217270235E-2</v>
      </c>
      <c r="E503" s="492">
        <v>44586</v>
      </c>
      <c r="F503" s="493">
        <v>7032.57</v>
      </c>
      <c r="G503" s="484">
        <f t="shared" si="31"/>
        <v>1.8976386366065245E-3</v>
      </c>
      <c r="J503" s="483">
        <f t="shared" si="28"/>
        <v>5.574136008918984E-4</v>
      </c>
      <c r="K503" s="484">
        <f t="shared" si="29"/>
        <v>-7.599321362929401E-3</v>
      </c>
    </row>
    <row r="504" spans="1:11" x14ac:dyDescent="0.35">
      <c r="A504" s="490">
        <v>44585</v>
      </c>
      <c r="B504" s="491">
        <v>359</v>
      </c>
      <c r="C504" s="483">
        <f t="shared" si="30"/>
        <v>5.574136008918984E-4</v>
      </c>
      <c r="E504" s="492">
        <v>44585</v>
      </c>
      <c r="F504" s="493">
        <v>7019.25</v>
      </c>
      <c r="G504" s="484">
        <f t="shared" si="31"/>
        <v>-7.599321362929401E-3</v>
      </c>
      <c r="J504" s="483">
        <f t="shared" si="28"/>
        <v>4.198152812762368E-3</v>
      </c>
      <c r="K504" s="484">
        <f t="shared" si="29"/>
        <v>-4.6005384417275863E-3</v>
      </c>
    </row>
    <row r="505" spans="1:11" x14ac:dyDescent="0.35">
      <c r="A505" s="490">
        <v>44584</v>
      </c>
      <c r="B505" s="491">
        <v>358.8</v>
      </c>
      <c r="C505" s="483">
        <f t="shared" si="30"/>
        <v>4.198152812762368E-3</v>
      </c>
      <c r="E505" s="492">
        <v>44584</v>
      </c>
      <c r="F505" s="493">
        <v>7073</v>
      </c>
      <c r="G505" s="484">
        <f t="shared" si="31"/>
        <v>-4.6005384417275863E-3</v>
      </c>
      <c r="J505" s="483">
        <f t="shared" si="28"/>
        <v>-4.7353760445681958E-3</v>
      </c>
      <c r="K505" s="484">
        <f t="shared" si="29"/>
        <v>2.2935553351961513E-3</v>
      </c>
    </row>
    <row r="506" spans="1:11" x14ac:dyDescent="0.35">
      <c r="A506" s="490">
        <v>44581</v>
      </c>
      <c r="B506" s="491">
        <v>357.3</v>
      </c>
      <c r="C506" s="483">
        <f t="shared" si="30"/>
        <v>-4.7353760445681958E-3</v>
      </c>
      <c r="E506" s="492">
        <v>44581</v>
      </c>
      <c r="F506" s="493">
        <v>7105.69</v>
      </c>
      <c r="G506" s="484">
        <f t="shared" si="31"/>
        <v>2.2935553351961513E-3</v>
      </c>
      <c r="J506" s="483">
        <f t="shared" si="28"/>
        <v>1.115448968209698E-3</v>
      </c>
      <c r="K506" s="484">
        <f t="shared" si="29"/>
        <v>4.7805320520997174E-3</v>
      </c>
    </row>
    <row r="507" spans="1:11" x14ac:dyDescent="0.35">
      <c r="A507" s="490">
        <v>44580</v>
      </c>
      <c r="B507" s="491">
        <v>359</v>
      </c>
      <c r="C507" s="483">
        <f t="shared" si="30"/>
        <v>1.115448968209698E-3</v>
      </c>
      <c r="E507" s="492">
        <v>44580</v>
      </c>
      <c r="F507" s="493">
        <v>7089.43</v>
      </c>
      <c r="G507" s="484">
        <f t="shared" si="31"/>
        <v>4.7805320520997174E-3</v>
      </c>
      <c r="J507" s="483">
        <f t="shared" si="28"/>
        <v>-2.5034770514602567E-3</v>
      </c>
      <c r="K507" s="484">
        <f t="shared" si="29"/>
        <v>6.0947348577533589E-5</v>
      </c>
    </row>
    <row r="508" spans="1:11" x14ac:dyDescent="0.35">
      <c r="A508" s="490">
        <v>44579</v>
      </c>
      <c r="B508" s="491">
        <v>358.6</v>
      </c>
      <c r="C508" s="483">
        <f t="shared" si="30"/>
        <v>-2.5034770514602567E-3</v>
      </c>
      <c r="E508" s="492">
        <v>44579</v>
      </c>
      <c r="F508" s="493">
        <v>7055.7</v>
      </c>
      <c r="G508" s="484">
        <f t="shared" si="31"/>
        <v>6.0947348577533589E-5</v>
      </c>
      <c r="J508" s="483">
        <f t="shared" si="28"/>
        <v>2.7824151363398109E-4</v>
      </c>
      <c r="K508" s="484">
        <f t="shared" si="29"/>
        <v>5.0829179481992615E-3</v>
      </c>
    </row>
    <row r="509" spans="1:11" x14ac:dyDescent="0.35">
      <c r="A509" s="490">
        <v>44578</v>
      </c>
      <c r="B509" s="491">
        <v>359.5</v>
      </c>
      <c r="C509" s="483">
        <f t="shared" si="30"/>
        <v>2.7824151363398109E-4</v>
      </c>
      <c r="E509" s="492">
        <v>44578</v>
      </c>
      <c r="F509" s="493">
        <v>7055.27</v>
      </c>
      <c r="G509" s="484">
        <f t="shared" si="31"/>
        <v>5.0829179481992615E-3</v>
      </c>
      <c r="J509" s="483">
        <f t="shared" si="28"/>
        <v>2.7831895352070646E-4</v>
      </c>
      <c r="K509" s="484">
        <f t="shared" si="29"/>
        <v>3.377405867279748E-4</v>
      </c>
    </row>
    <row r="510" spans="1:11" x14ac:dyDescent="0.35">
      <c r="A510" s="490">
        <v>44577</v>
      </c>
      <c r="B510" s="491">
        <v>359.4</v>
      </c>
      <c r="C510" s="483">
        <f t="shared" si="30"/>
        <v>2.7831895352070646E-4</v>
      </c>
      <c r="E510" s="492">
        <v>44577</v>
      </c>
      <c r="F510" s="493">
        <v>7019.59</v>
      </c>
      <c r="G510" s="484">
        <f t="shared" si="31"/>
        <v>3.377405867279748E-4</v>
      </c>
      <c r="J510" s="483">
        <f t="shared" si="28"/>
        <v>6.1607392887146339E-3</v>
      </c>
      <c r="K510" s="484">
        <f t="shared" si="29"/>
        <v>3.0245595377969003E-3</v>
      </c>
    </row>
    <row r="511" spans="1:11" x14ac:dyDescent="0.35">
      <c r="A511" s="490">
        <v>44574</v>
      </c>
      <c r="B511" s="491">
        <v>359.3</v>
      </c>
      <c r="C511" s="483">
        <f t="shared" si="30"/>
        <v>6.1607392887146339E-3</v>
      </c>
      <c r="E511" s="492">
        <v>44574</v>
      </c>
      <c r="F511" s="493">
        <v>7017.22</v>
      </c>
      <c r="G511" s="484">
        <f t="shared" si="31"/>
        <v>3.0245595377969003E-3</v>
      </c>
      <c r="J511" s="483">
        <f t="shared" si="28"/>
        <v>1.0469722693831507E-2</v>
      </c>
      <c r="K511" s="484">
        <f t="shared" si="29"/>
        <v>-7.5314044955773207E-3</v>
      </c>
    </row>
    <row r="512" spans="1:11" x14ac:dyDescent="0.35">
      <c r="A512" s="490">
        <v>44573</v>
      </c>
      <c r="B512" s="491">
        <v>357.1</v>
      </c>
      <c r="C512" s="483">
        <f t="shared" si="30"/>
        <v>1.0469722693831507E-2</v>
      </c>
      <c r="E512" s="492">
        <v>44573</v>
      </c>
      <c r="F512" s="493">
        <v>6996.06</v>
      </c>
      <c r="G512" s="484">
        <f t="shared" si="31"/>
        <v>-7.5314044955773207E-3</v>
      </c>
      <c r="J512" s="483">
        <f t="shared" si="28"/>
        <v>9.7142857142855643E-3</v>
      </c>
      <c r="K512" s="484">
        <f t="shared" si="29"/>
        <v>7.863714675836242E-3</v>
      </c>
    </row>
    <row r="513" spans="1:11" x14ac:dyDescent="0.35">
      <c r="A513" s="490">
        <v>44572</v>
      </c>
      <c r="B513" s="491">
        <v>353.4</v>
      </c>
      <c r="C513" s="483">
        <f t="shared" si="30"/>
        <v>9.7142857142855643E-3</v>
      </c>
      <c r="E513" s="492">
        <v>44572</v>
      </c>
      <c r="F513" s="493">
        <v>7049.15</v>
      </c>
      <c r="G513" s="484">
        <f t="shared" si="31"/>
        <v>7.863714675836242E-3</v>
      </c>
      <c r="J513" s="483">
        <f t="shared" si="28"/>
        <v>4.8808498420900293E-3</v>
      </c>
      <c r="K513" s="484">
        <f t="shared" si="29"/>
        <v>9.5886195965610987E-4</v>
      </c>
    </row>
    <row r="514" spans="1:11" x14ac:dyDescent="0.35">
      <c r="A514" s="490">
        <v>44571</v>
      </c>
      <c r="B514" s="491">
        <v>350</v>
      </c>
      <c r="C514" s="483">
        <f t="shared" si="30"/>
        <v>4.8808498420900293E-3</v>
      </c>
      <c r="E514" s="492">
        <v>44571</v>
      </c>
      <c r="F514" s="493">
        <v>6994.15</v>
      </c>
      <c r="G514" s="484">
        <f t="shared" si="31"/>
        <v>9.5886195965610987E-4</v>
      </c>
      <c r="J514" s="483">
        <f t="shared" si="28"/>
        <v>5.4849884526559922E-3</v>
      </c>
      <c r="K514" s="484">
        <f t="shared" si="29"/>
        <v>8.3002281408324219E-3</v>
      </c>
    </row>
    <row r="515" spans="1:11" x14ac:dyDescent="0.35">
      <c r="A515" s="490">
        <v>44567</v>
      </c>
      <c r="B515" s="491">
        <v>348.3</v>
      </c>
      <c r="C515" s="483">
        <f t="shared" si="30"/>
        <v>5.4849884526559922E-3</v>
      </c>
      <c r="E515" s="492">
        <v>44567</v>
      </c>
      <c r="F515" s="493">
        <v>6987.45</v>
      </c>
      <c r="G515" s="484">
        <f t="shared" si="31"/>
        <v>8.3002281408324219E-3</v>
      </c>
      <c r="J515" s="483">
        <f t="shared" ref="J515:J578" si="32">(B516/B517)-1</f>
        <v>-8.0183276059565545E-3</v>
      </c>
      <c r="K515" s="484">
        <f t="shared" ref="K515:K578" si="33">(F516/F517)-1</f>
        <v>5.3590676905088674E-3</v>
      </c>
    </row>
    <row r="516" spans="1:11" x14ac:dyDescent="0.35">
      <c r="A516" s="490">
        <v>44566</v>
      </c>
      <c r="B516" s="491">
        <v>346.4</v>
      </c>
      <c r="C516" s="483">
        <f t="shared" ref="C516:C579" si="34">(B516/B517)-1</f>
        <v>-8.0183276059565545E-3</v>
      </c>
      <c r="E516" s="492">
        <v>44566</v>
      </c>
      <c r="F516" s="493">
        <v>6929.93</v>
      </c>
      <c r="G516" s="484">
        <f t="shared" ref="G516:G579" si="35">(F516/F517)-1</f>
        <v>5.3590676905088674E-3</v>
      </c>
      <c r="J516" s="483">
        <f t="shared" si="32"/>
        <v>4.025301897642164E-3</v>
      </c>
      <c r="K516" s="484">
        <f t="shared" si="33"/>
        <v>1.5532598114003093E-3</v>
      </c>
    </row>
    <row r="517" spans="1:11" x14ac:dyDescent="0.35">
      <c r="A517" s="490">
        <v>44565</v>
      </c>
      <c r="B517" s="491">
        <v>349.2</v>
      </c>
      <c r="C517" s="483">
        <f t="shared" si="34"/>
        <v>4.025301897642164E-3</v>
      </c>
      <c r="E517" s="492">
        <v>44565</v>
      </c>
      <c r="F517" s="493">
        <v>6892.99</v>
      </c>
      <c r="G517" s="484">
        <f t="shared" si="35"/>
        <v>1.5532598114003093E-3</v>
      </c>
      <c r="J517" s="483">
        <f t="shared" si="32"/>
        <v>-5.1487414187643132E-3</v>
      </c>
      <c r="K517" s="484">
        <f t="shared" si="33"/>
        <v>4.256449242900695E-3</v>
      </c>
    </row>
    <row r="518" spans="1:11" x14ac:dyDescent="0.35">
      <c r="A518" s="490">
        <v>44564</v>
      </c>
      <c r="B518" s="491">
        <v>347.8</v>
      </c>
      <c r="C518" s="483">
        <f t="shared" si="34"/>
        <v>-5.1487414187643132E-3</v>
      </c>
      <c r="E518" s="492">
        <v>44564</v>
      </c>
      <c r="F518" s="493">
        <v>6882.3</v>
      </c>
      <c r="G518" s="484">
        <f t="shared" si="35"/>
        <v>4.256449242900695E-3</v>
      </c>
      <c r="J518" s="483">
        <f t="shared" si="32"/>
        <v>2.861230329043174E-4</v>
      </c>
      <c r="K518" s="484">
        <f t="shared" si="33"/>
        <v>1.4279265612396674E-2</v>
      </c>
    </row>
    <row r="519" spans="1:11" x14ac:dyDescent="0.35">
      <c r="A519" s="490">
        <v>44563</v>
      </c>
      <c r="B519" s="491">
        <v>349.6</v>
      </c>
      <c r="C519" s="483">
        <f t="shared" si="34"/>
        <v>2.861230329043174E-4</v>
      </c>
      <c r="E519" s="492">
        <v>44563</v>
      </c>
      <c r="F519" s="493">
        <v>6853.13</v>
      </c>
      <c r="G519" s="484">
        <f t="shared" si="35"/>
        <v>1.4279265612396674E-2</v>
      </c>
      <c r="J519" s="483">
        <f t="shared" si="32"/>
        <v>3.1572904707233285E-3</v>
      </c>
      <c r="K519" s="484">
        <f t="shared" si="33"/>
        <v>3.7898483763521007E-3</v>
      </c>
    </row>
    <row r="520" spans="1:11" x14ac:dyDescent="0.35">
      <c r="A520" s="490">
        <v>44560</v>
      </c>
      <c r="B520" s="491">
        <v>349.5</v>
      </c>
      <c r="C520" s="483">
        <f t="shared" si="34"/>
        <v>3.1572904707233285E-3</v>
      </c>
      <c r="E520" s="492">
        <v>44560</v>
      </c>
      <c r="F520" s="493">
        <v>6756.65</v>
      </c>
      <c r="G520" s="484">
        <f t="shared" si="35"/>
        <v>3.7898483763521007E-3</v>
      </c>
      <c r="J520" s="483">
        <f t="shared" si="32"/>
        <v>-4.5714285714286707E-3</v>
      </c>
      <c r="K520" s="484">
        <f t="shared" si="33"/>
        <v>-1.704082828213882E-3</v>
      </c>
    </row>
    <row r="521" spans="1:11" x14ac:dyDescent="0.35">
      <c r="A521" s="490">
        <v>44559</v>
      </c>
      <c r="B521" s="491">
        <v>348.4</v>
      </c>
      <c r="C521" s="483">
        <f t="shared" si="34"/>
        <v>-4.5714285714286707E-3</v>
      </c>
      <c r="E521" s="492">
        <v>44559</v>
      </c>
      <c r="F521" s="493">
        <v>6731.14</v>
      </c>
      <c r="G521" s="484">
        <f t="shared" si="35"/>
        <v>-1.704082828213882E-3</v>
      </c>
      <c r="J521" s="483">
        <f t="shared" si="32"/>
        <v>2.5780578630765216E-3</v>
      </c>
      <c r="K521" s="484">
        <f t="shared" si="33"/>
        <v>1.1008800142745523E-2</v>
      </c>
    </row>
    <row r="522" spans="1:11" x14ac:dyDescent="0.35">
      <c r="A522" s="490">
        <v>44558</v>
      </c>
      <c r="B522" s="491">
        <v>350</v>
      </c>
      <c r="C522" s="483">
        <f t="shared" si="34"/>
        <v>2.5780578630765216E-3</v>
      </c>
      <c r="E522" s="492">
        <v>44558</v>
      </c>
      <c r="F522" s="493">
        <v>6742.63</v>
      </c>
      <c r="G522" s="484">
        <f t="shared" si="35"/>
        <v>1.1008800142745523E-2</v>
      </c>
      <c r="J522" s="483">
        <f t="shared" si="32"/>
        <v>-2.5714285714285579E-3</v>
      </c>
      <c r="K522" s="484">
        <f t="shared" si="33"/>
        <v>5.933751340523985E-3</v>
      </c>
    </row>
    <row r="523" spans="1:11" x14ac:dyDescent="0.35">
      <c r="A523" s="490">
        <v>44557</v>
      </c>
      <c r="B523" s="491">
        <v>349.1</v>
      </c>
      <c r="C523" s="483">
        <f t="shared" si="34"/>
        <v>-2.5714285714285579E-3</v>
      </c>
      <c r="E523" s="492">
        <v>44557</v>
      </c>
      <c r="F523" s="493">
        <v>6669.21</v>
      </c>
      <c r="G523" s="484">
        <f t="shared" si="35"/>
        <v>5.933751340523985E-3</v>
      </c>
      <c r="J523" s="483">
        <f t="shared" si="32"/>
        <v>-8.5640879246362545E-4</v>
      </c>
      <c r="K523" s="484">
        <f t="shared" si="33"/>
        <v>-1.085248880659917E-2</v>
      </c>
    </row>
    <row r="524" spans="1:11" x14ac:dyDescent="0.35">
      <c r="A524" s="490">
        <v>44556</v>
      </c>
      <c r="B524" s="491">
        <v>350</v>
      </c>
      <c r="C524" s="483">
        <f t="shared" si="34"/>
        <v>-8.5640879246362545E-4</v>
      </c>
      <c r="E524" s="492">
        <v>44556</v>
      </c>
      <c r="F524" s="493">
        <v>6629.87</v>
      </c>
      <c r="G524" s="484">
        <f t="shared" si="35"/>
        <v>-1.085248880659917E-2</v>
      </c>
      <c r="J524" s="483">
        <f t="shared" si="32"/>
        <v>1.1431837667905675E-3</v>
      </c>
      <c r="K524" s="484">
        <f t="shared" si="33"/>
        <v>-7.6734710797637939E-3</v>
      </c>
    </row>
    <row r="525" spans="1:11" x14ac:dyDescent="0.35">
      <c r="A525" s="490">
        <v>44553</v>
      </c>
      <c r="B525" s="491">
        <v>350.3</v>
      </c>
      <c r="C525" s="483">
        <f t="shared" si="34"/>
        <v>1.1431837667905675E-3</v>
      </c>
      <c r="E525" s="492">
        <v>44553</v>
      </c>
      <c r="F525" s="493">
        <v>6702.61</v>
      </c>
      <c r="G525" s="484">
        <f t="shared" si="35"/>
        <v>-7.6734710797637939E-3</v>
      </c>
      <c r="J525" s="483">
        <f t="shared" si="32"/>
        <v>1.4310246136233218E-3</v>
      </c>
      <c r="K525" s="484">
        <f t="shared" si="33"/>
        <v>-4.1584964297614047E-4</v>
      </c>
    </row>
    <row r="526" spans="1:11" x14ac:dyDescent="0.35">
      <c r="A526" s="490">
        <v>44552</v>
      </c>
      <c r="B526" s="491">
        <v>349.9</v>
      </c>
      <c r="C526" s="483">
        <f t="shared" si="34"/>
        <v>1.4310246136233218E-3</v>
      </c>
      <c r="E526" s="492">
        <v>44552</v>
      </c>
      <c r="F526" s="493">
        <v>6754.44</v>
      </c>
      <c r="G526" s="484">
        <f t="shared" si="35"/>
        <v>-4.1584964297614047E-4</v>
      </c>
      <c r="J526" s="483">
        <f t="shared" si="32"/>
        <v>2.8628685943310472E-4</v>
      </c>
      <c r="K526" s="484">
        <f t="shared" si="33"/>
        <v>3.0727894842315084E-3</v>
      </c>
    </row>
    <row r="527" spans="1:11" x14ac:dyDescent="0.35">
      <c r="A527" s="490">
        <v>44551</v>
      </c>
      <c r="B527" s="491">
        <v>349.4</v>
      </c>
      <c r="C527" s="483">
        <f t="shared" si="34"/>
        <v>2.8628685943310472E-4</v>
      </c>
      <c r="E527" s="492">
        <v>44551</v>
      </c>
      <c r="F527" s="493">
        <v>6757.25</v>
      </c>
      <c r="G527" s="484">
        <f t="shared" si="35"/>
        <v>3.0727894842315084E-3</v>
      </c>
      <c r="J527" s="483">
        <f t="shared" si="32"/>
        <v>-1.1041902604756459E-2</v>
      </c>
      <c r="K527" s="484">
        <f t="shared" si="33"/>
        <v>-6.8758209632929779E-3</v>
      </c>
    </row>
    <row r="528" spans="1:11" x14ac:dyDescent="0.35">
      <c r="A528" s="490">
        <v>44550</v>
      </c>
      <c r="B528" s="491">
        <v>349.3</v>
      </c>
      <c r="C528" s="483">
        <f t="shared" si="34"/>
        <v>-1.1041902604756459E-2</v>
      </c>
      <c r="E528" s="492">
        <v>44550</v>
      </c>
      <c r="F528" s="493">
        <v>6736.55</v>
      </c>
      <c r="G528" s="484">
        <f t="shared" si="35"/>
        <v>-6.8758209632929779E-3</v>
      </c>
      <c r="J528" s="483">
        <f t="shared" si="32"/>
        <v>-5.6306306306306286E-3</v>
      </c>
      <c r="K528" s="484">
        <f t="shared" si="33"/>
        <v>-1.2373019304996902E-2</v>
      </c>
    </row>
    <row r="529" spans="1:11" x14ac:dyDescent="0.35">
      <c r="A529" s="490">
        <v>44549</v>
      </c>
      <c r="B529" s="491">
        <v>353.2</v>
      </c>
      <c r="C529" s="483">
        <f t="shared" si="34"/>
        <v>-5.6306306306306286E-3</v>
      </c>
      <c r="E529" s="492">
        <v>44549</v>
      </c>
      <c r="F529" s="493">
        <v>6783.19</v>
      </c>
      <c r="G529" s="484">
        <f t="shared" si="35"/>
        <v>-1.2373019304996902E-2</v>
      </c>
      <c r="J529" s="483">
        <f t="shared" si="32"/>
        <v>1.6920473773265332E-3</v>
      </c>
      <c r="K529" s="484">
        <f t="shared" si="33"/>
        <v>4.4414870279914087E-3</v>
      </c>
    </row>
    <row r="530" spans="1:11" x14ac:dyDescent="0.35">
      <c r="A530" s="490">
        <v>44545</v>
      </c>
      <c r="B530" s="491">
        <v>355.2</v>
      </c>
      <c r="C530" s="483">
        <f t="shared" si="34"/>
        <v>1.6920473773265332E-3</v>
      </c>
      <c r="E530" s="492">
        <v>44545</v>
      </c>
      <c r="F530" s="493">
        <v>6868.17</v>
      </c>
      <c r="G530" s="484">
        <f t="shared" si="35"/>
        <v>4.4414870279914087E-3</v>
      </c>
      <c r="J530" s="483">
        <f t="shared" si="32"/>
        <v>-1.143016448285461E-2</v>
      </c>
      <c r="K530" s="484">
        <f t="shared" si="33"/>
        <v>-6.4254390426067287E-3</v>
      </c>
    </row>
    <row r="531" spans="1:11" x14ac:dyDescent="0.35">
      <c r="A531" s="490">
        <v>44544</v>
      </c>
      <c r="B531" s="491">
        <v>354.6</v>
      </c>
      <c r="C531" s="483">
        <f t="shared" si="34"/>
        <v>-1.143016448285461E-2</v>
      </c>
      <c r="E531" s="492">
        <v>44544</v>
      </c>
      <c r="F531" s="493">
        <v>6837.8</v>
      </c>
      <c r="G531" s="484">
        <f t="shared" si="35"/>
        <v>-6.4254390426067287E-3</v>
      </c>
      <c r="J531" s="483">
        <f t="shared" si="32"/>
        <v>-2.787068004459492E-4</v>
      </c>
      <c r="K531" s="484">
        <f t="shared" si="33"/>
        <v>-5.5387372025981207E-3</v>
      </c>
    </row>
    <row r="532" spans="1:11" x14ac:dyDescent="0.35">
      <c r="A532" s="490">
        <v>44543</v>
      </c>
      <c r="B532" s="491">
        <v>358.7</v>
      </c>
      <c r="C532" s="483">
        <f t="shared" si="34"/>
        <v>-2.787068004459492E-4</v>
      </c>
      <c r="E532" s="492">
        <v>44543</v>
      </c>
      <c r="F532" s="493">
        <v>6882.02</v>
      </c>
      <c r="G532" s="484">
        <f t="shared" si="35"/>
        <v>-5.5387372025981207E-3</v>
      </c>
      <c r="J532" s="483">
        <f t="shared" si="32"/>
        <v>-1.3915947676036433E-3</v>
      </c>
      <c r="K532" s="484">
        <f t="shared" si="33"/>
        <v>-9.2186681250839841E-3</v>
      </c>
    </row>
    <row r="533" spans="1:11" x14ac:dyDescent="0.35">
      <c r="A533" s="490">
        <v>44542</v>
      </c>
      <c r="B533" s="491">
        <v>358.8</v>
      </c>
      <c r="C533" s="483">
        <f t="shared" si="34"/>
        <v>-1.3915947676036433E-3</v>
      </c>
      <c r="E533" s="492">
        <v>44542</v>
      </c>
      <c r="F533" s="493">
        <v>6920.35</v>
      </c>
      <c r="G533" s="484">
        <f t="shared" si="35"/>
        <v>-9.2186681250839841E-3</v>
      </c>
      <c r="J533" s="483">
        <f t="shared" si="32"/>
        <v>-1.3896609227348478E-3</v>
      </c>
      <c r="K533" s="484">
        <f t="shared" si="33"/>
        <v>4.6906487651985351E-3</v>
      </c>
    </row>
    <row r="534" spans="1:11" x14ac:dyDescent="0.35">
      <c r="A534" s="490">
        <v>44539</v>
      </c>
      <c r="B534" s="491">
        <v>359.3</v>
      </c>
      <c r="C534" s="483">
        <f t="shared" si="34"/>
        <v>-1.3896609227348478E-3</v>
      </c>
      <c r="E534" s="492">
        <v>44539</v>
      </c>
      <c r="F534" s="493">
        <v>6984.74</v>
      </c>
      <c r="G534" s="484">
        <f t="shared" si="35"/>
        <v>4.6906487651985351E-3</v>
      </c>
      <c r="J534" s="483">
        <f t="shared" si="32"/>
        <v>-3.0479357162648268E-3</v>
      </c>
      <c r="K534" s="484">
        <f t="shared" si="33"/>
        <v>-1.3740975657505539E-2</v>
      </c>
    </row>
    <row r="535" spans="1:11" x14ac:dyDescent="0.35">
      <c r="A535" s="490">
        <v>44538</v>
      </c>
      <c r="B535" s="491">
        <v>359.8</v>
      </c>
      <c r="C535" s="483">
        <f t="shared" si="34"/>
        <v>-3.0479357162648268E-3</v>
      </c>
      <c r="E535" s="492">
        <v>44538</v>
      </c>
      <c r="F535" s="493">
        <v>6952.13</v>
      </c>
      <c r="G535" s="484">
        <f t="shared" si="35"/>
        <v>-1.3740975657505539E-2</v>
      </c>
      <c r="J535" s="483">
        <f t="shared" si="32"/>
        <v>5.5447740504566134E-4</v>
      </c>
      <c r="K535" s="484">
        <f t="shared" si="33"/>
        <v>1.0096682252566103E-2</v>
      </c>
    </row>
    <row r="536" spans="1:11" x14ac:dyDescent="0.35">
      <c r="A536" s="490">
        <v>44537</v>
      </c>
      <c r="B536" s="491">
        <v>360.9</v>
      </c>
      <c r="C536" s="483">
        <f t="shared" si="34"/>
        <v>5.5447740504566134E-4</v>
      </c>
      <c r="E536" s="492">
        <v>44537</v>
      </c>
      <c r="F536" s="493">
        <v>7048.99</v>
      </c>
      <c r="G536" s="484">
        <f t="shared" si="35"/>
        <v>1.0096682252566103E-2</v>
      </c>
      <c r="J536" s="483">
        <f t="shared" si="32"/>
        <v>-3.5911602209944826E-3</v>
      </c>
      <c r="K536" s="484">
        <f t="shared" si="33"/>
        <v>1.8519502184295433E-3</v>
      </c>
    </row>
    <row r="537" spans="1:11" x14ac:dyDescent="0.35">
      <c r="A537" s="490">
        <v>44536</v>
      </c>
      <c r="B537" s="491">
        <v>360.7</v>
      </c>
      <c r="C537" s="483">
        <f t="shared" si="34"/>
        <v>-3.5911602209944826E-3</v>
      </c>
      <c r="E537" s="492">
        <v>44536</v>
      </c>
      <c r="F537" s="493">
        <v>6978.53</v>
      </c>
      <c r="G537" s="484">
        <f t="shared" si="35"/>
        <v>1.8519502184295433E-3</v>
      </c>
      <c r="J537" s="483">
        <f t="shared" si="32"/>
        <v>9.1998884862001251E-3</v>
      </c>
      <c r="K537" s="484">
        <f t="shared" si="33"/>
        <v>4.2429572388340553E-3</v>
      </c>
    </row>
    <row r="538" spans="1:11" x14ac:dyDescent="0.35">
      <c r="A538" s="490">
        <v>44535</v>
      </c>
      <c r="B538" s="491">
        <v>362</v>
      </c>
      <c r="C538" s="483">
        <f t="shared" si="34"/>
        <v>9.1998884862001251E-3</v>
      </c>
      <c r="E538" s="492">
        <v>44535</v>
      </c>
      <c r="F538" s="493">
        <v>6965.63</v>
      </c>
      <c r="G538" s="484">
        <f t="shared" si="35"/>
        <v>4.2429572388340553E-3</v>
      </c>
      <c r="J538" s="483">
        <f t="shared" si="32"/>
        <v>8.150646430578945E-3</v>
      </c>
      <c r="K538" s="484">
        <f t="shared" si="33"/>
        <v>1.3027603329925475E-2</v>
      </c>
    </row>
    <row r="539" spans="1:11" x14ac:dyDescent="0.35">
      <c r="A539" s="490">
        <v>44532</v>
      </c>
      <c r="B539" s="491">
        <v>358.7</v>
      </c>
      <c r="C539" s="483">
        <f t="shared" si="34"/>
        <v>8.150646430578945E-3</v>
      </c>
      <c r="E539" s="492">
        <v>44532</v>
      </c>
      <c r="F539" s="493">
        <v>6936.2</v>
      </c>
      <c r="G539" s="484">
        <f t="shared" si="35"/>
        <v>1.3027603329925475E-2</v>
      </c>
      <c r="J539" s="483">
        <f t="shared" si="32"/>
        <v>2.1533161068044704E-2</v>
      </c>
      <c r="K539" s="484">
        <f t="shared" si="33"/>
        <v>2.1444821541789505E-2</v>
      </c>
    </row>
    <row r="540" spans="1:11" x14ac:dyDescent="0.35">
      <c r="A540" s="490">
        <v>44531</v>
      </c>
      <c r="B540" s="491">
        <v>355.8</v>
      </c>
      <c r="C540" s="483">
        <f t="shared" si="34"/>
        <v>2.1533161068044704E-2</v>
      </c>
      <c r="E540" s="492">
        <v>44531</v>
      </c>
      <c r="F540" s="493">
        <v>6847</v>
      </c>
      <c r="G540" s="484">
        <f t="shared" si="35"/>
        <v>2.1444821541789505E-2</v>
      </c>
      <c r="J540" s="483">
        <f t="shared" si="32"/>
        <v>-3.2231175326479455E-2</v>
      </c>
      <c r="K540" s="484">
        <f t="shared" si="33"/>
        <v>-1.3576611615610967E-2</v>
      </c>
    </row>
    <row r="541" spans="1:11" x14ac:dyDescent="0.35">
      <c r="A541" s="490">
        <v>44530</v>
      </c>
      <c r="B541" s="491">
        <v>348.3</v>
      </c>
      <c r="C541" s="483">
        <f t="shared" si="34"/>
        <v>-3.2231175326479455E-2</v>
      </c>
      <c r="E541" s="492">
        <v>44530</v>
      </c>
      <c r="F541" s="493">
        <v>6703.25</v>
      </c>
      <c r="G541" s="484">
        <f t="shared" si="35"/>
        <v>-1.3576611615610967E-2</v>
      </c>
      <c r="J541" s="483">
        <f t="shared" si="32"/>
        <v>-1.1101859561477578E-3</v>
      </c>
      <c r="K541" s="484">
        <f t="shared" si="33"/>
        <v>3.1916668265945525E-3</v>
      </c>
    </row>
    <row r="542" spans="1:11" x14ac:dyDescent="0.35">
      <c r="A542" s="490">
        <v>44529</v>
      </c>
      <c r="B542" s="491">
        <v>359.9</v>
      </c>
      <c r="C542" s="483">
        <f t="shared" si="34"/>
        <v>-1.1101859561477578E-3</v>
      </c>
      <c r="E542" s="492">
        <v>44529</v>
      </c>
      <c r="F542" s="493">
        <v>6795.51</v>
      </c>
      <c r="G542" s="484">
        <f t="shared" si="35"/>
        <v>3.1916668265945525E-3</v>
      </c>
      <c r="J542" s="483">
        <f t="shared" si="32"/>
        <v>-8.3194675540765317E-4</v>
      </c>
      <c r="K542" s="484">
        <f t="shared" si="33"/>
        <v>-1.1411133553607011E-2</v>
      </c>
    </row>
    <row r="543" spans="1:11" x14ac:dyDescent="0.35">
      <c r="A543" s="490">
        <v>44528</v>
      </c>
      <c r="B543" s="491">
        <v>360.3</v>
      </c>
      <c r="C543" s="483">
        <f t="shared" si="34"/>
        <v>-8.3194675540765317E-4</v>
      </c>
      <c r="E543" s="492">
        <v>44528</v>
      </c>
      <c r="F543" s="493">
        <v>6773.89</v>
      </c>
      <c r="G543" s="484">
        <f t="shared" si="35"/>
        <v>-1.1411133553607011E-2</v>
      </c>
      <c r="J543" s="483">
        <f t="shared" si="32"/>
        <v>8.3263946711076287E-4</v>
      </c>
      <c r="K543" s="484">
        <f t="shared" si="33"/>
        <v>-9.5158797960656072E-3</v>
      </c>
    </row>
    <row r="544" spans="1:11" x14ac:dyDescent="0.35">
      <c r="A544" s="490">
        <v>44525</v>
      </c>
      <c r="B544" s="491">
        <v>360.6</v>
      </c>
      <c r="C544" s="483">
        <f t="shared" si="34"/>
        <v>8.3263946711076287E-4</v>
      </c>
      <c r="E544" s="492">
        <v>44525</v>
      </c>
      <c r="F544" s="493">
        <v>6852.08</v>
      </c>
      <c r="G544" s="484">
        <f t="shared" si="35"/>
        <v>-9.5158797960656072E-3</v>
      </c>
      <c r="J544" s="483">
        <f t="shared" si="32"/>
        <v>-2.215452783162597E-3</v>
      </c>
      <c r="K544" s="484">
        <f t="shared" si="33"/>
        <v>-1.3559104520176835E-2</v>
      </c>
    </row>
    <row r="545" spans="1:11" x14ac:dyDescent="0.35">
      <c r="A545" s="490">
        <v>44524</v>
      </c>
      <c r="B545" s="491">
        <v>360.3</v>
      </c>
      <c r="C545" s="483">
        <f t="shared" si="34"/>
        <v>-2.215452783162597E-3</v>
      </c>
      <c r="E545" s="492">
        <v>44524</v>
      </c>
      <c r="F545" s="493">
        <v>6917.91</v>
      </c>
      <c r="G545" s="484">
        <f t="shared" si="35"/>
        <v>-1.3559104520176835E-2</v>
      </c>
      <c r="J545" s="483">
        <f t="shared" si="32"/>
        <v>3.334259516532434E-3</v>
      </c>
      <c r="K545" s="484">
        <f t="shared" si="33"/>
        <v>-1.3229302691857292E-3</v>
      </c>
    </row>
    <row r="546" spans="1:11" x14ac:dyDescent="0.35">
      <c r="A546" s="490">
        <v>44523</v>
      </c>
      <c r="B546" s="491">
        <v>361.1</v>
      </c>
      <c r="C546" s="483">
        <f t="shared" si="34"/>
        <v>3.334259516532434E-3</v>
      </c>
      <c r="E546" s="492">
        <v>44523</v>
      </c>
      <c r="F546" s="493">
        <v>7013</v>
      </c>
      <c r="G546" s="484">
        <f t="shared" si="35"/>
        <v>-1.3229302691857292E-3</v>
      </c>
      <c r="J546" s="483">
        <f t="shared" si="32"/>
        <v>2.7793218454696955E-4</v>
      </c>
      <c r="K546" s="484">
        <f t="shared" si="33"/>
        <v>-8.944813969603449E-3</v>
      </c>
    </row>
    <row r="547" spans="1:11" x14ac:dyDescent="0.35">
      <c r="A547" s="490">
        <v>44522</v>
      </c>
      <c r="B547" s="491">
        <v>359.9</v>
      </c>
      <c r="C547" s="483">
        <f t="shared" si="34"/>
        <v>2.7793218454696955E-4</v>
      </c>
      <c r="E547" s="492">
        <v>44522</v>
      </c>
      <c r="F547" s="493">
        <v>7022.29</v>
      </c>
      <c r="G547" s="484">
        <f t="shared" si="35"/>
        <v>-8.944813969603449E-3</v>
      </c>
      <c r="J547" s="483">
        <f t="shared" si="32"/>
        <v>-2.2185246810870751E-3</v>
      </c>
      <c r="K547" s="484">
        <f t="shared" si="33"/>
        <v>-8.6578743649368128E-4</v>
      </c>
    </row>
    <row r="548" spans="1:11" x14ac:dyDescent="0.35">
      <c r="A548" s="490">
        <v>44521</v>
      </c>
      <c r="B548" s="491">
        <v>359.8</v>
      </c>
      <c r="C548" s="483">
        <f t="shared" si="34"/>
        <v>-2.2185246810870751E-3</v>
      </c>
      <c r="E548" s="492">
        <v>44521</v>
      </c>
      <c r="F548" s="493">
        <v>7085.67</v>
      </c>
      <c r="G548" s="484">
        <f t="shared" si="35"/>
        <v>-8.6578743649368128E-4</v>
      </c>
      <c r="J548" s="483">
        <f t="shared" si="32"/>
        <v>2.7739251040226343E-4</v>
      </c>
      <c r="K548" s="484">
        <f t="shared" si="33"/>
        <v>4.3961211029392988E-3</v>
      </c>
    </row>
    <row r="549" spans="1:11" x14ac:dyDescent="0.35">
      <c r="A549" s="490">
        <v>44518</v>
      </c>
      <c r="B549" s="491">
        <v>360.6</v>
      </c>
      <c r="C549" s="483">
        <f t="shared" si="34"/>
        <v>2.7739251040226343E-4</v>
      </c>
      <c r="E549" s="492">
        <v>44518</v>
      </c>
      <c r="F549" s="493">
        <v>7091.81</v>
      </c>
      <c r="G549" s="484">
        <f t="shared" si="35"/>
        <v>4.3961211029392988E-3</v>
      </c>
      <c r="J549" s="483">
        <f t="shared" si="32"/>
        <v>-3.3176665745092704E-3</v>
      </c>
      <c r="K549" s="484">
        <f t="shared" si="33"/>
        <v>5.9519001441210584E-4</v>
      </c>
    </row>
    <row r="550" spans="1:11" x14ac:dyDescent="0.35">
      <c r="A550" s="490">
        <v>44517</v>
      </c>
      <c r="B550" s="491">
        <v>360.5</v>
      </c>
      <c r="C550" s="483">
        <f t="shared" si="34"/>
        <v>-3.3176665745092704E-3</v>
      </c>
      <c r="E550" s="492">
        <v>44517</v>
      </c>
      <c r="F550" s="493">
        <v>7060.77</v>
      </c>
      <c r="G550" s="484">
        <f t="shared" si="35"/>
        <v>5.9519001441210584E-4</v>
      </c>
      <c r="J550" s="483">
        <f t="shared" si="32"/>
        <v>6.6796548844976211E-3</v>
      </c>
      <c r="K550" s="484">
        <f t="shared" si="33"/>
        <v>1.6597611995343931E-2</v>
      </c>
    </row>
    <row r="551" spans="1:11" x14ac:dyDescent="0.35">
      <c r="A551" s="490">
        <v>44516</v>
      </c>
      <c r="B551" s="491">
        <v>361.7</v>
      </c>
      <c r="C551" s="483">
        <f t="shared" si="34"/>
        <v>6.6796548844976211E-3</v>
      </c>
      <c r="E551" s="492">
        <v>44516</v>
      </c>
      <c r="F551" s="493">
        <v>7056.57</v>
      </c>
      <c r="G551" s="484">
        <f t="shared" si="35"/>
        <v>1.6597611995343931E-2</v>
      </c>
      <c r="J551" s="483">
        <f t="shared" si="32"/>
        <v>-2.4986118822875047E-3</v>
      </c>
      <c r="K551" s="484">
        <f t="shared" si="33"/>
        <v>1.6291321732679886E-3</v>
      </c>
    </row>
    <row r="552" spans="1:11" x14ac:dyDescent="0.35">
      <c r="A552" s="490">
        <v>44515</v>
      </c>
      <c r="B552" s="491">
        <v>359.3</v>
      </c>
      <c r="C552" s="483">
        <f t="shared" si="34"/>
        <v>-2.4986118822875047E-3</v>
      </c>
      <c r="E552" s="492">
        <v>44515</v>
      </c>
      <c r="F552" s="493">
        <v>6941.36</v>
      </c>
      <c r="G552" s="484">
        <f t="shared" si="35"/>
        <v>1.6291321732679886E-3</v>
      </c>
      <c r="J552" s="483">
        <f t="shared" si="32"/>
        <v>3.0632135895292123E-3</v>
      </c>
      <c r="K552" s="484">
        <f t="shared" si="33"/>
        <v>-9.4126290752324371E-3</v>
      </c>
    </row>
    <row r="553" spans="1:11" x14ac:dyDescent="0.35">
      <c r="A553" s="490">
        <v>44514</v>
      </c>
      <c r="B553" s="491">
        <v>360.2</v>
      </c>
      <c r="C553" s="483">
        <f t="shared" si="34"/>
        <v>3.0632135895292123E-3</v>
      </c>
      <c r="E553" s="492">
        <v>44514</v>
      </c>
      <c r="F553" s="493">
        <v>6930.07</v>
      </c>
      <c r="G553" s="484">
        <f t="shared" si="35"/>
        <v>-9.4126290752324371E-3</v>
      </c>
      <c r="J553" s="483">
        <f t="shared" si="32"/>
        <v>1.1264432554210169E-2</v>
      </c>
      <c r="K553" s="484">
        <f t="shared" si="33"/>
        <v>1.9678667694043028E-3</v>
      </c>
    </row>
    <row r="554" spans="1:11" x14ac:dyDescent="0.35">
      <c r="A554" s="490">
        <v>44511</v>
      </c>
      <c r="B554" s="491">
        <v>359.1</v>
      </c>
      <c r="C554" s="483">
        <f t="shared" si="34"/>
        <v>1.1264432554210169E-2</v>
      </c>
      <c r="E554" s="492">
        <v>44511</v>
      </c>
      <c r="F554" s="493">
        <v>6995.92</v>
      </c>
      <c r="G554" s="484">
        <f t="shared" si="35"/>
        <v>1.9678667694043028E-3</v>
      </c>
      <c r="J554" s="483">
        <f t="shared" si="32"/>
        <v>8.4554678692216889E-4</v>
      </c>
      <c r="K554" s="484">
        <f t="shared" si="33"/>
        <v>1.6613085462021449E-2</v>
      </c>
    </row>
    <row r="555" spans="1:11" x14ac:dyDescent="0.35">
      <c r="A555" s="490">
        <v>44510</v>
      </c>
      <c r="B555" s="491">
        <v>355.1</v>
      </c>
      <c r="C555" s="483">
        <f t="shared" si="34"/>
        <v>8.4554678692216889E-4</v>
      </c>
      <c r="E555" s="492">
        <v>44510</v>
      </c>
      <c r="F555" s="493">
        <v>6982.18</v>
      </c>
      <c r="G555" s="484">
        <f t="shared" si="35"/>
        <v>1.6613085462021449E-2</v>
      </c>
      <c r="J555" s="483">
        <f t="shared" si="32"/>
        <v>-3.0907558302892824E-3</v>
      </c>
      <c r="K555" s="484">
        <f t="shared" si="33"/>
        <v>1.0065238747933636E-2</v>
      </c>
    </row>
    <row r="556" spans="1:11" x14ac:dyDescent="0.35">
      <c r="A556" s="490">
        <v>44509</v>
      </c>
      <c r="B556" s="491">
        <v>354.8</v>
      </c>
      <c r="C556" s="483">
        <f t="shared" si="34"/>
        <v>-3.0907558302892824E-3</v>
      </c>
      <c r="E556" s="492">
        <v>44509</v>
      </c>
      <c r="F556" s="493">
        <v>6868.08</v>
      </c>
      <c r="G556" s="484">
        <f t="shared" si="35"/>
        <v>1.0065238747933636E-2</v>
      </c>
      <c r="J556" s="483">
        <f t="shared" si="32"/>
        <v>2.2528865108419893E-3</v>
      </c>
      <c r="K556" s="484">
        <f t="shared" si="33"/>
        <v>-8.2017307796092842E-3</v>
      </c>
    </row>
    <row r="557" spans="1:11" x14ac:dyDescent="0.35">
      <c r="A557" s="490">
        <v>44508</v>
      </c>
      <c r="B557" s="491">
        <v>355.9</v>
      </c>
      <c r="C557" s="483">
        <f t="shared" si="34"/>
        <v>2.2528865108419893E-3</v>
      </c>
      <c r="E557" s="492">
        <v>44508</v>
      </c>
      <c r="F557" s="493">
        <v>6799.64</v>
      </c>
      <c r="G557" s="484">
        <f t="shared" si="35"/>
        <v>-8.2017307796092842E-3</v>
      </c>
      <c r="J557" s="483">
        <f t="shared" si="32"/>
        <v>1.1277135607556943E-3</v>
      </c>
      <c r="K557" s="484">
        <f t="shared" si="33"/>
        <v>-7.3609576773890906E-3</v>
      </c>
    </row>
    <row r="558" spans="1:11" x14ac:dyDescent="0.35">
      <c r="A558" s="490">
        <v>44507</v>
      </c>
      <c r="B558" s="491">
        <v>355.1</v>
      </c>
      <c r="C558" s="483">
        <f t="shared" si="34"/>
        <v>1.1277135607556943E-3</v>
      </c>
      <c r="E558" s="492">
        <v>44507</v>
      </c>
      <c r="F558" s="493">
        <v>6855.87</v>
      </c>
      <c r="G558" s="484">
        <f t="shared" si="35"/>
        <v>-7.3609576773890906E-3</v>
      </c>
      <c r="J558" s="483">
        <f t="shared" si="32"/>
        <v>3.6785512167516465E-3</v>
      </c>
      <c r="K558" s="484">
        <f t="shared" si="33"/>
        <v>1.2234951661793669E-3</v>
      </c>
    </row>
    <row r="559" spans="1:11" x14ac:dyDescent="0.35">
      <c r="A559" s="490">
        <v>44504</v>
      </c>
      <c r="B559" s="491">
        <v>354.7</v>
      </c>
      <c r="C559" s="483">
        <f t="shared" si="34"/>
        <v>3.6785512167516465E-3</v>
      </c>
      <c r="E559" s="492">
        <v>44504</v>
      </c>
      <c r="F559" s="493">
        <v>6906.71</v>
      </c>
      <c r="G559" s="484">
        <f t="shared" si="35"/>
        <v>1.2234951661793669E-3</v>
      </c>
      <c r="J559" s="483">
        <f t="shared" si="32"/>
        <v>-8.9736399326978411E-3</v>
      </c>
      <c r="K559" s="484">
        <f t="shared" si="33"/>
        <v>-8.0640174854587077E-3</v>
      </c>
    </row>
    <row r="560" spans="1:11" x14ac:dyDescent="0.35">
      <c r="A560" s="490">
        <v>44503</v>
      </c>
      <c r="B560" s="491">
        <v>353.4</v>
      </c>
      <c r="C560" s="483">
        <f t="shared" si="34"/>
        <v>-8.9736399326978411E-3</v>
      </c>
      <c r="E560" s="492">
        <v>44503</v>
      </c>
      <c r="F560" s="493">
        <v>6898.27</v>
      </c>
      <c r="G560" s="484">
        <f t="shared" si="35"/>
        <v>-8.0640174854587077E-3</v>
      </c>
      <c r="J560" s="483">
        <f t="shared" si="32"/>
        <v>7.6292738061600751E-3</v>
      </c>
      <c r="K560" s="484">
        <f t="shared" si="33"/>
        <v>-6.2417566086454546E-3</v>
      </c>
    </row>
    <row r="561" spans="1:11" x14ac:dyDescent="0.35">
      <c r="A561" s="490">
        <v>44502</v>
      </c>
      <c r="B561" s="491">
        <v>356.6</v>
      </c>
      <c r="C561" s="483">
        <f t="shared" si="34"/>
        <v>7.6292738061600751E-3</v>
      </c>
      <c r="E561" s="492">
        <v>44502</v>
      </c>
      <c r="F561" s="493">
        <v>6954.35</v>
      </c>
      <c r="G561" s="484">
        <f t="shared" si="35"/>
        <v>-6.2417566086454546E-3</v>
      </c>
      <c r="J561" s="483">
        <f t="shared" si="32"/>
        <v>-1.2831241283124184E-2</v>
      </c>
      <c r="K561" s="484">
        <f t="shared" si="33"/>
        <v>-4.1565846871993717E-4</v>
      </c>
    </row>
    <row r="562" spans="1:11" x14ac:dyDescent="0.35">
      <c r="A562" s="490">
        <v>44501</v>
      </c>
      <c r="B562" s="491">
        <v>353.9</v>
      </c>
      <c r="C562" s="483">
        <f t="shared" si="34"/>
        <v>-1.2831241283124184E-2</v>
      </c>
      <c r="E562" s="492">
        <v>44501</v>
      </c>
      <c r="F562" s="493">
        <v>6998.03</v>
      </c>
      <c r="G562" s="484">
        <f t="shared" si="35"/>
        <v>-4.1565846871993717E-4</v>
      </c>
      <c r="J562" s="483">
        <f t="shared" si="32"/>
        <v>9.2905405405405705E-3</v>
      </c>
      <c r="K562" s="484">
        <f t="shared" si="33"/>
        <v>-8.6954059201258538E-3</v>
      </c>
    </row>
    <row r="563" spans="1:11" x14ac:dyDescent="0.35">
      <c r="A563" s="490">
        <v>44500</v>
      </c>
      <c r="B563" s="491">
        <v>358.5</v>
      </c>
      <c r="C563" s="483">
        <f t="shared" si="34"/>
        <v>9.2905405405405705E-3</v>
      </c>
      <c r="E563" s="492">
        <v>44500</v>
      </c>
      <c r="F563" s="493">
        <v>7000.94</v>
      </c>
      <c r="G563" s="484">
        <f t="shared" si="35"/>
        <v>-8.6954059201258538E-3</v>
      </c>
      <c r="J563" s="483">
        <f t="shared" si="32"/>
        <v>4.2408821034776167E-3</v>
      </c>
      <c r="K563" s="484">
        <f t="shared" si="33"/>
        <v>7.197784331734125E-3</v>
      </c>
    </row>
    <row r="564" spans="1:11" x14ac:dyDescent="0.35">
      <c r="A564" s="490">
        <v>44497</v>
      </c>
      <c r="B564" s="491">
        <v>355.2</v>
      </c>
      <c r="C564" s="483">
        <f t="shared" si="34"/>
        <v>4.2408821034776167E-3</v>
      </c>
      <c r="E564" s="492">
        <v>44497</v>
      </c>
      <c r="F564" s="493">
        <v>7062.35</v>
      </c>
      <c r="G564" s="484">
        <f t="shared" si="35"/>
        <v>7.197784331734125E-3</v>
      </c>
      <c r="J564" s="483">
        <f t="shared" si="32"/>
        <v>6.2588904694167447E-3</v>
      </c>
      <c r="K564" s="484">
        <f t="shared" si="33"/>
        <v>8.7070961406165992E-4</v>
      </c>
    </row>
    <row r="565" spans="1:11" x14ac:dyDescent="0.35">
      <c r="A565" s="490">
        <v>44496</v>
      </c>
      <c r="B565" s="491">
        <v>353.7</v>
      </c>
      <c r="C565" s="483">
        <f t="shared" si="34"/>
        <v>6.2588904694167447E-3</v>
      </c>
      <c r="E565" s="492">
        <v>44496</v>
      </c>
      <c r="F565" s="493">
        <v>7011.88</v>
      </c>
      <c r="G565" s="484">
        <f t="shared" si="35"/>
        <v>8.7070961406165992E-4</v>
      </c>
      <c r="J565" s="483">
        <f t="shared" si="32"/>
        <v>-1.6508114157806286E-2</v>
      </c>
      <c r="K565" s="484">
        <f t="shared" si="33"/>
        <v>1.7499626014300107E-2</v>
      </c>
    </row>
    <row r="566" spans="1:11" x14ac:dyDescent="0.35">
      <c r="A566" s="490">
        <v>44495</v>
      </c>
      <c r="B566" s="491">
        <v>351.5</v>
      </c>
      <c r="C566" s="483">
        <f t="shared" si="34"/>
        <v>-1.6508114157806286E-2</v>
      </c>
      <c r="E566" s="492">
        <v>44495</v>
      </c>
      <c r="F566" s="493">
        <v>7005.78</v>
      </c>
      <c r="G566" s="484">
        <f t="shared" si="35"/>
        <v>1.7499626014300107E-2</v>
      </c>
      <c r="J566" s="483">
        <f t="shared" si="32"/>
        <v>-7.222222222222241E-3</v>
      </c>
      <c r="K566" s="484">
        <f t="shared" si="33"/>
        <v>-1.718743309019799E-2</v>
      </c>
    </row>
    <row r="567" spans="1:11" x14ac:dyDescent="0.35">
      <c r="A567" s="490">
        <v>44494</v>
      </c>
      <c r="B567" s="491">
        <v>357.4</v>
      </c>
      <c r="C567" s="483">
        <f t="shared" si="34"/>
        <v>-7.222222222222241E-3</v>
      </c>
      <c r="E567" s="492">
        <v>44494</v>
      </c>
      <c r="F567" s="493">
        <v>6885.29</v>
      </c>
      <c r="G567" s="484">
        <f t="shared" si="35"/>
        <v>-1.718743309019799E-2</v>
      </c>
      <c r="J567" s="483">
        <f t="shared" si="32"/>
        <v>-1.5047879616963078E-2</v>
      </c>
      <c r="K567" s="484">
        <f t="shared" si="33"/>
        <v>-9.967171784975859E-3</v>
      </c>
    </row>
    <row r="568" spans="1:11" x14ac:dyDescent="0.35">
      <c r="A568" s="490">
        <v>44493</v>
      </c>
      <c r="B568" s="491">
        <v>360</v>
      </c>
      <c r="C568" s="483">
        <f t="shared" si="34"/>
        <v>-1.5047879616963078E-2</v>
      </c>
      <c r="E568" s="492">
        <v>44493</v>
      </c>
      <c r="F568" s="493">
        <v>7005.7</v>
      </c>
      <c r="G568" s="484">
        <f t="shared" si="35"/>
        <v>-9.967171784975859E-3</v>
      </c>
      <c r="J568" s="483">
        <f t="shared" si="32"/>
        <v>1.0505944152612745E-2</v>
      </c>
      <c r="K568" s="484">
        <f t="shared" si="33"/>
        <v>7.922388510400058E-3</v>
      </c>
    </row>
    <row r="569" spans="1:11" x14ac:dyDescent="0.35">
      <c r="A569" s="490">
        <v>44490</v>
      </c>
      <c r="B569" s="491">
        <v>365.5</v>
      </c>
      <c r="C569" s="483">
        <f t="shared" si="34"/>
        <v>1.0505944152612745E-2</v>
      </c>
      <c r="E569" s="492">
        <v>44490</v>
      </c>
      <c r="F569" s="493">
        <v>7076.23</v>
      </c>
      <c r="G569" s="484">
        <f t="shared" si="35"/>
        <v>7.922388510400058E-3</v>
      </c>
      <c r="J569" s="483">
        <f t="shared" si="32"/>
        <v>-4.9518569463549156E-3</v>
      </c>
      <c r="K569" s="484">
        <f t="shared" si="33"/>
        <v>-1.0801336288460361E-2</v>
      </c>
    </row>
    <row r="570" spans="1:11" x14ac:dyDescent="0.35">
      <c r="A570" s="490">
        <v>44488</v>
      </c>
      <c r="B570" s="491">
        <v>361.7</v>
      </c>
      <c r="C570" s="483">
        <f t="shared" si="34"/>
        <v>-4.9518569463549156E-3</v>
      </c>
      <c r="E570" s="492">
        <v>44488</v>
      </c>
      <c r="F570" s="493">
        <v>7020.61</v>
      </c>
      <c r="G570" s="484">
        <f t="shared" si="35"/>
        <v>-1.0801336288460361E-2</v>
      </c>
      <c r="J570" s="483">
        <f t="shared" si="32"/>
        <v>-1.3836136733586635E-2</v>
      </c>
      <c r="K570" s="484">
        <f t="shared" si="33"/>
        <v>-1.2410839272743446E-2</v>
      </c>
    </row>
    <row r="571" spans="1:11" x14ac:dyDescent="0.35">
      <c r="A571" s="490">
        <v>44487</v>
      </c>
      <c r="B571" s="491">
        <v>363.5</v>
      </c>
      <c r="C571" s="483">
        <f t="shared" si="34"/>
        <v>-1.3836136733586635E-2</v>
      </c>
      <c r="E571" s="492">
        <v>44487</v>
      </c>
      <c r="F571" s="493">
        <v>7097.27</v>
      </c>
      <c r="G571" s="484">
        <f t="shared" si="35"/>
        <v>-1.2410839272743446E-2</v>
      </c>
      <c r="J571" s="483">
        <f t="shared" si="32"/>
        <v>4.6334150994822298E-3</v>
      </c>
      <c r="K571" s="484">
        <f t="shared" si="33"/>
        <v>-7.8417729033611883E-3</v>
      </c>
    </row>
    <row r="572" spans="1:11" x14ac:dyDescent="0.35">
      <c r="A572" s="490">
        <v>44486</v>
      </c>
      <c r="B572" s="491">
        <v>368.6</v>
      </c>
      <c r="C572" s="483">
        <f t="shared" si="34"/>
        <v>4.6334150994822298E-3</v>
      </c>
      <c r="E572" s="492">
        <v>44486</v>
      </c>
      <c r="F572" s="493">
        <v>7186.46</v>
      </c>
      <c r="G572" s="484">
        <f t="shared" si="35"/>
        <v>-7.8417729033611883E-3</v>
      </c>
      <c r="J572" s="483">
        <f t="shared" si="32"/>
        <v>1.9115237575095811E-3</v>
      </c>
      <c r="K572" s="484">
        <f t="shared" si="33"/>
        <v>-7.1463652868741789E-4</v>
      </c>
    </row>
    <row r="573" spans="1:11" x14ac:dyDescent="0.35">
      <c r="A573" s="490">
        <v>44483</v>
      </c>
      <c r="B573" s="491">
        <v>366.9</v>
      </c>
      <c r="C573" s="483">
        <f t="shared" si="34"/>
        <v>1.9115237575095811E-3</v>
      </c>
      <c r="E573" s="492">
        <v>44483</v>
      </c>
      <c r="F573" s="493">
        <v>7243.26</v>
      </c>
      <c r="G573" s="484">
        <f t="shared" si="35"/>
        <v>-7.1463652868741789E-4</v>
      </c>
      <c r="J573" s="483">
        <f t="shared" si="32"/>
        <v>-5.7018734727125597E-3</v>
      </c>
      <c r="K573" s="484">
        <f t="shared" si="33"/>
        <v>-8.960921413512235E-3</v>
      </c>
    </row>
    <row r="574" spans="1:11" x14ac:dyDescent="0.35">
      <c r="A574" s="490">
        <v>44482</v>
      </c>
      <c r="B574" s="491">
        <v>366.2</v>
      </c>
      <c r="C574" s="483">
        <f t="shared" si="34"/>
        <v>-5.7018734727125597E-3</v>
      </c>
      <c r="E574" s="492">
        <v>44482</v>
      </c>
      <c r="F574" s="493">
        <v>7248.44</v>
      </c>
      <c r="G574" s="484">
        <f t="shared" si="35"/>
        <v>-8.960921413512235E-3</v>
      </c>
      <c r="J574" s="483">
        <f t="shared" si="32"/>
        <v>-5.9379217273953788E-3</v>
      </c>
      <c r="K574" s="484">
        <f t="shared" si="33"/>
        <v>-4.3005512165835702E-3</v>
      </c>
    </row>
    <row r="575" spans="1:11" x14ac:dyDescent="0.35">
      <c r="A575" s="490">
        <v>44481</v>
      </c>
      <c r="B575" s="491">
        <v>368.3</v>
      </c>
      <c r="C575" s="483">
        <f t="shared" si="34"/>
        <v>-5.9379217273953788E-3</v>
      </c>
      <c r="E575" s="492">
        <v>44481</v>
      </c>
      <c r="F575" s="493">
        <v>7313.98</v>
      </c>
      <c r="G575" s="484">
        <f t="shared" si="35"/>
        <v>-4.3005512165835702E-3</v>
      </c>
      <c r="J575" s="483">
        <f t="shared" si="32"/>
        <v>-4.8348106365834198E-3</v>
      </c>
      <c r="K575" s="484">
        <f t="shared" si="33"/>
        <v>-3.0428922949135018E-3</v>
      </c>
    </row>
    <row r="576" spans="1:11" x14ac:dyDescent="0.35">
      <c r="A576" s="490">
        <v>44480</v>
      </c>
      <c r="B576" s="491">
        <v>370.5</v>
      </c>
      <c r="C576" s="483">
        <f t="shared" si="34"/>
        <v>-4.8348106365834198E-3</v>
      </c>
      <c r="E576" s="492">
        <v>44480</v>
      </c>
      <c r="F576" s="493">
        <v>7345.57</v>
      </c>
      <c r="G576" s="484">
        <f t="shared" si="35"/>
        <v>-3.0428922949135018E-3</v>
      </c>
      <c r="J576" s="483">
        <f t="shared" si="32"/>
        <v>-3.2128514056224411E-3</v>
      </c>
      <c r="K576" s="484">
        <f t="shared" si="33"/>
        <v>3.4087071153867665E-3</v>
      </c>
    </row>
    <row r="577" spans="1:11" x14ac:dyDescent="0.35">
      <c r="A577" s="490">
        <v>44479</v>
      </c>
      <c r="B577" s="491">
        <v>372.3</v>
      </c>
      <c r="C577" s="483">
        <f t="shared" si="34"/>
        <v>-3.2128514056224411E-3</v>
      </c>
      <c r="E577" s="492">
        <v>44479</v>
      </c>
      <c r="F577" s="493">
        <v>7367.99</v>
      </c>
      <c r="G577" s="484">
        <f t="shared" si="35"/>
        <v>3.4087071153867665E-3</v>
      </c>
      <c r="J577" s="483">
        <f t="shared" si="32"/>
        <v>-3.7343291544411628E-3</v>
      </c>
      <c r="K577" s="484">
        <f t="shared" si="33"/>
        <v>-1.0991641998955304E-3</v>
      </c>
    </row>
    <row r="578" spans="1:11" x14ac:dyDescent="0.35">
      <c r="A578" s="490">
        <v>44476</v>
      </c>
      <c r="B578" s="491">
        <v>373.5</v>
      </c>
      <c r="C578" s="483">
        <f t="shared" si="34"/>
        <v>-3.7343291544411628E-3</v>
      </c>
      <c r="E578" s="492">
        <v>44476</v>
      </c>
      <c r="F578" s="493">
        <v>7342.96</v>
      </c>
      <c r="G578" s="484">
        <f t="shared" si="35"/>
        <v>-1.0991641998955304E-3</v>
      </c>
      <c r="J578" s="483">
        <f t="shared" si="32"/>
        <v>-1.0817941952506627E-2</v>
      </c>
      <c r="K578" s="484">
        <f t="shared" si="33"/>
        <v>2.6802557223117862E-3</v>
      </c>
    </row>
    <row r="579" spans="1:11" x14ac:dyDescent="0.35">
      <c r="A579" s="490">
        <v>44475</v>
      </c>
      <c r="B579" s="491">
        <v>374.9</v>
      </c>
      <c r="C579" s="483">
        <f t="shared" si="34"/>
        <v>-1.0817941952506627E-2</v>
      </c>
      <c r="E579" s="492">
        <v>44475</v>
      </c>
      <c r="F579" s="493">
        <v>7351.04</v>
      </c>
      <c r="G579" s="484">
        <f t="shared" si="35"/>
        <v>2.6802557223117862E-3</v>
      </c>
      <c r="J579" s="483">
        <f t="shared" ref="J579:J642" si="36">(B580/B581)-1</f>
        <v>2.3803226659613319E-3</v>
      </c>
      <c r="K579" s="484">
        <f t="shared" ref="K579:K642" si="37">(F580/F581)-1</f>
        <v>5.2541507791170616E-4</v>
      </c>
    </row>
    <row r="580" spans="1:11" x14ac:dyDescent="0.35">
      <c r="A580" s="490">
        <v>44474</v>
      </c>
      <c r="B580" s="491">
        <v>379</v>
      </c>
      <c r="C580" s="483">
        <f t="shared" ref="C580:C643" si="38">(B580/B581)-1</f>
        <v>2.3803226659613319E-3</v>
      </c>
      <c r="E580" s="492">
        <v>44474</v>
      </c>
      <c r="F580" s="493">
        <v>7331.39</v>
      </c>
      <c r="G580" s="484">
        <f t="shared" ref="G580:G643" si="39">(F580/F581)-1</f>
        <v>5.2541507791170616E-4</v>
      </c>
      <c r="J580" s="483">
        <f t="shared" si="36"/>
        <v>5.2924053982539299E-4</v>
      </c>
      <c r="K580" s="484">
        <f t="shared" si="37"/>
        <v>-3.8743671866928731E-3</v>
      </c>
    </row>
    <row r="581" spans="1:11" x14ac:dyDescent="0.35">
      <c r="A581" s="490">
        <v>44473</v>
      </c>
      <c r="B581" s="491">
        <v>378.1</v>
      </c>
      <c r="C581" s="483">
        <f t="shared" si="38"/>
        <v>5.2924053982539299E-4</v>
      </c>
      <c r="E581" s="492">
        <v>44473</v>
      </c>
      <c r="F581" s="493">
        <v>7327.54</v>
      </c>
      <c r="G581" s="484">
        <f t="shared" si="39"/>
        <v>-3.8743671866928731E-3</v>
      </c>
      <c r="J581" s="483">
        <f t="shared" si="36"/>
        <v>-6.0494476591268498E-3</v>
      </c>
      <c r="K581" s="484">
        <f t="shared" si="37"/>
        <v>3.6853444453086581E-3</v>
      </c>
    </row>
    <row r="582" spans="1:11" x14ac:dyDescent="0.35">
      <c r="A582" s="490">
        <v>44472</v>
      </c>
      <c r="B582" s="491">
        <v>377.9</v>
      </c>
      <c r="C582" s="483">
        <f t="shared" si="38"/>
        <v>-6.0494476591268498E-3</v>
      </c>
      <c r="E582" s="492">
        <v>44472</v>
      </c>
      <c r="F582" s="493">
        <v>7356.04</v>
      </c>
      <c r="G582" s="484">
        <f t="shared" si="39"/>
        <v>3.6853444453086581E-3</v>
      </c>
      <c r="J582" s="483">
        <f t="shared" si="36"/>
        <v>-1.0509721492381052E-3</v>
      </c>
      <c r="K582" s="484">
        <f t="shared" si="37"/>
        <v>3.5849017849194365E-3</v>
      </c>
    </row>
    <row r="583" spans="1:11" x14ac:dyDescent="0.35">
      <c r="A583" s="490">
        <v>44469</v>
      </c>
      <c r="B583" s="491">
        <v>380.2</v>
      </c>
      <c r="C583" s="483">
        <f t="shared" si="38"/>
        <v>-1.0509721492381052E-3</v>
      </c>
      <c r="E583" s="492">
        <v>44469</v>
      </c>
      <c r="F583" s="493">
        <v>7329.03</v>
      </c>
      <c r="G583" s="484">
        <f t="shared" si="39"/>
        <v>3.5849017849194365E-3</v>
      </c>
      <c r="J583" s="483">
        <f t="shared" si="36"/>
        <v>-3.1430068098480257E-3</v>
      </c>
      <c r="K583" s="484">
        <f t="shared" si="37"/>
        <v>7.687838141545722E-4</v>
      </c>
    </row>
    <row r="584" spans="1:11" x14ac:dyDescent="0.35">
      <c r="A584" s="490">
        <v>44468</v>
      </c>
      <c r="B584" s="491">
        <v>380.6</v>
      </c>
      <c r="C584" s="483">
        <f t="shared" si="38"/>
        <v>-3.1430068098480257E-3</v>
      </c>
      <c r="E584" s="492">
        <v>44468</v>
      </c>
      <c r="F584" s="493">
        <v>7302.85</v>
      </c>
      <c r="G584" s="484">
        <f t="shared" si="39"/>
        <v>7.687838141545722E-4</v>
      </c>
      <c r="J584" s="483">
        <f t="shared" si="36"/>
        <v>-3.1331592689294308E-3</v>
      </c>
      <c r="K584" s="484">
        <f t="shared" si="37"/>
        <v>6.2785191354866043E-3</v>
      </c>
    </row>
    <row r="585" spans="1:11" x14ac:dyDescent="0.35">
      <c r="A585" s="490">
        <v>44467</v>
      </c>
      <c r="B585" s="491">
        <v>381.8</v>
      </c>
      <c r="C585" s="483">
        <f t="shared" si="38"/>
        <v>-3.1331592689294308E-3</v>
      </c>
      <c r="E585" s="492">
        <v>44467</v>
      </c>
      <c r="F585" s="493">
        <v>7297.24</v>
      </c>
      <c r="G585" s="484">
        <f t="shared" si="39"/>
        <v>6.2785191354866043E-3</v>
      </c>
      <c r="J585" s="483">
        <f t="shared" si="36"/>
        <v>5.5132580729850833E-3</v>
      </c>
      <c r="K585" s="484">
        <f t="shared" si="37"/>
        <v>2.013226219196973E-3</v>
      </c>
    </row>
    <row r="586" spans="1:11" x14ac:dyDescent="0.35">
      <c r="A586" s="490">
        <v>44466</v>
      </c>
      <c r="B586" s="491">
        <v>383</v>
      </c>
      <c r="C586" s="483">
        <f t="shared" si="38"/>
        <v>5.5132580729850833E-3</v>
      </c>
      <c r="E586" s="492">
        <v>44466</v>
      </c>
      <c r="F586" s="493">
        <v>7251.71</v>
      </c>
      <c r="G586" s="484">
        <f t="shared" si="39"/>
        <v>2.013226219196973E-3</v>
      </c>
      <c r="J586" s="483">
        <f t="shared" si="36"/>
        <v>-1.3109596224436526E-3</v>
      </c>
      <c r="K586" s="484">
        <f t="shared" si="37"/>
        <v>-1.8563980911924238E-3</v>
      </c>
    </row>
    <row r="587" spans="1:11" x14ac:dyDescent="0.35">
      <c r="A587" s="490">
        <v>44465</v>
      </c>
      <c r="B587" s="491">
        <v>380.9</v>
      </c>
      <c r="C587" s="483">
        <f t="shared" si="38"/>
        <v>-1.3109596224436526E-3</v>
      </c>
      <c r="E587" s="492">
        <v>44465</v>
      </c>
      <c r="F587" s="493">
        <v>7237.14</v>
      </c>
      <c r="G587" s="484">
        <f t="shared" si="39"/>
        <v>-1.8563980911924238E-3</v>
      </c>
      <c r="J587" s="483">
        <f t="shared" si="36"/>
        <v>-4.9569527785026102E-3</v>
      </c>
      <c r="K587" s="484">
        <f t="shared" si="37"/>
        <v>1.2096373297394436E-3</v>
      </c>
    </row>
    <row r="588" spans="1:11" x14ac:dyDescent="0.35">
      <c r="A588" s="490">
        <v>44462</v>
      </c>
      <c r="B588" s="491">
        <v>381.4</v>
      </c>
      <c r="C588" s="483">
        <f t="shared" si="38"/>
        <v>-4.9569527785026102E-3</v>
      </c>
      <c r="E588" s="492">
        <v>44462</v>
      </c>
      <c r="F588" s="493">
        <v>7250.6</v>
      </c>
      <c r="G588" s="484">
        <f t="shared" si="39"/>
        <v>1.2096373297394436E-3</v>
      </c>
      <c r="J588" s="483">
        <f t="shared" si="36"/>
        <v>-1.0424811050299132E-3</v>
      </c>
      <c r="K588" s="484">
        <f t="shared" si="37"/>
        <v>-2.3048617014094219E-3</v>
      </c>
    </row>
    <row r="589" spans="1:11" x14ac:dyDescent="0.35">
      <c r="A589" s="490">
        <v>44461</v>
      </c>
      <c r="B589" s="491">
        <v>383.3</v>
      </c>
      <c r="C589" s="483">
        <f t="shared" si="38"/>
        <v>-1.0424811050299132E-3</v>
      </c>
      <c r="E589" s="492">
        <v>44461</v>
      </c>
      <c r="F589" s="493">
        <v>7241.84</v>
      </c>
      <c r="G589" s="484">
        <f t="shared" si="39"/>
        <v>-2.3048617014094219E-3</v>
      </c>
      <c r="J589" s="483">
        <f t="shared" si="36"/>
        <v>8.6750788643532584E-3</v>
      </c>
      <c r="K589" s="484">
        <f t="shared" si="37"/>
        <v>7.320471507753501E-3</v>
      </c>
    </row>
    <row r="590" spans="1:11" x14ac:dyDescent="0.35">
      <c r="A590" s="490">
        <v>44460</v>
      </c>
      <c r="B590" s="491">
        <v>383.7</v>
      </c>
      <c r="C590" s="483">
        <f t="shared" si="38"/>
        <v>8.6750788643532584E-3</v>
      </c>
      <c r="E590" s="492">
        <v>44460</v>
      </c>
      <c r="F590" s="493">
        <v>7258.57</v>
      </c>
      <c r="G590" s="484">
        <f t="shared" si="39"/>
        <v>7.320471507753501E-3</v>
      </c>
      <c r="J590" s="483">
        <f t="shared" si="36"/>
        <v>-4.1884816753927634E-3</v>
      </c>
      <c r="K590" s="484">
        <f t="shared" si="37"/>
        <v>1.9494424205344085E-3</v>
      </c>
    </row>
    <row r="591" spans="1:11" x14ac:dyDescent="0.35">
      <c r="A591" s="490">
        <v>44459</v>
      </c>
      <c r="B591" s="491">
        <v>380.4</v>
      </c>
      <c r="C591" s="483">
        <f t="shared" si="38"/>
        <v>-4.1884816753927634E-3</v>
      </c>
      <c r="E591" s="492">
        <v>44459</v>
      </c>
      <c r="F591" s="493">
        <v>7205.82</v>
      </c>
      <c r="G591" s="484">
        <f t="shared" si="39"/>
        <v>1.9494424205344085E-3</v>
      </c>
      <c r="J591" s="483">
        <f t="shared" si="36"/>
        <v>-6.5019505851755532E-3</v>
      </c>
      <c r="K591" s="484">
        <f t="shared" si="37"/>
        <v>-5.0509731873702446E-3</v>
      </c>
    </row>
    <row r="592" spans="1:11" x14ac:dyDescent="0.35">
      <c r="A592" s="490">
        <v>44458</v>
      </c>
      <c r="B592" s="491">
        <v>382</v>
      </c>
      <c r="C592" s="483">
        <f t="shared" si="38"/>
        <v>-6.5019505851755532E-3</v>
      </c>
      <c r="E592" s="492">
        <v>44458</v>
      </c>
      <c r="F592" s="493">
        <v>7191.8</v>
      </c>
      <c r="G592" s="484">
        <f t="shared" si="39"/>
        <v>-5.0509731873702446E-3</v>
      </c>
      <c r="J592" s="483">
        <f t="shared" si="36"/>
        <v>1.3976793248945185E-2</v>
      </c>
      <c r="K592" s="484">
        <f t="shared" si="37"/>
        <v>4.4132257817981468E-3</v>
      </c>
    </row>
    <row r="593" spans="1:11" x14ac:dyDescent="0.35">
      <c r="A593" s="490">
        <v>44455</v>
      </c>
      <c r="B593" s="491">
        <v>384.5</v>
      </c>
      <c r="C593" s="483">
        <f t="shared" si="38"/>
        <v>1.3976793248945185E-2</v>
      </c>
      <c r="E593" s="492">
        <v>44455</v>
      </c>
      <c r="F593" s="493">
        <v>7228.31</v>
      </c>
      <c r="G593" s="484">
        <f t="shared" si="39"/>
        <v>4.4132257817981468E-3</v>
      </c>
      <c r="J593" s="483">
        <f t="shared" si="36"/>
        <v>-1.3168290755859458E-3</v>
      </c>
      <c r="K593" s="484">
        <f t="shared" si="37"/>
        <v>7.849590364820358E-3</v>
      </c>
    </row>
    <row r="594" spans="1:11" x14ac:dyDescent="0.35">
      <c r="A594" s="490">
        <v>44454</v>
      </c>
      <c r="B594" s="491">
        <v>379.2</v>
      </c>
      <c r="C594" s="483">
        <f t="shared" si="38"/>
        <v>-1.3168290755859458E-3</v>
      </c>
      <c r="E594" s="492">
        <v>44454</v>
      </c>
      <c r="F594" s="493">
        <v>7196.55</v>
      </c>
      <c r="G594" s="484">
        <f t="shared" si="39"/>
        <v>7.849590364820358E-3</v>
      </c>
      <c r="J594" s="483">
        <f t="shared" si="36"/>
        <v>-1.6830657690315887E-2</v>
      </c>
      <c r="K594" s="484">
        <f t="shared" si="37"/>
        <v>-1.0743898975485111E-2</v>
      </c>
    </row>
    <row r="595" spans="1:11" x14ac:dyDescent="0.35">
      <c r="A595" s="490">
        <v>44453</v>
      </c>
      <c r="B595" s="491">
        <v>379.7</v>
      </c>
      <c r="C595" s="483">
        <f t="shared" si="38"/>
        <v>-1.6830657690315887E-2</v>
      </c>
      <c r="E595" s="492">
        <v>44453</v>
      </c>
      <c r="F595" s="493">
        <v>7140.5</v>
      </c>
      <c r="G595" s="484">
        <f t="shared" si="39"/>
        <v>-1.0743898975485111E-2</v>
      </c>
      <c r="J595" s="483">
        <f t="shared" si="36"/>
        <v>-4.1258380608562017E-3</v>
      </c>
      <c r="K595" s="484">
        <f t="shared" si="37"/>
        <v>2.2160234043173688E-3</v>
      </c>
    </row>
    <row r="596" spans="1:11" x14ac:dyDescent="0.35">
      <c r="A596" s="490">
        <v>44452</v>
      </c>
      <c r="B596" s="491">
        <v>386.2</v>
      </c>
      <c r="C596" s="483">
        <f t="shared" si="38"/>
        <v>-4.1258380608562017E-3</v>
      </c>
      <c r="E596" s="492">
        <v>44452</v>
      </c>
      <c r="F596" s="493">
        <v>7218.05</v>
      </c>
      <c r="G596" s="484">
        <f t="shared" si="39"/>
        <v>2.2160234043173688E-3</v>
      </c>
      <c r="J596" s="483">
        <f t="shared" si="36"/>
        <v>3.363518758085382E-3</v>
      </c>
      <c r="K596" s="484">
        <f t="shared" si="37"/>
        <v>-7.804384783033913E-3</v>
      </c>
    </row>
    <row r="597" spans="1:11" x14ac:dyDescent="0.35">
      <c r="A597" s="490">
        <v>44451</v>
      </c>
      <c r="B597" s="491">
        <v>387.8</v>
      </c>
      <c r="C597" s="483">
        <f t="shared" si="38"/>
        <v>3.363518758085382E-3</v>
      </c>
      <c r="E597" s="492">
        <v>44451</v>
      </c>
      <c r="F597" s="493">
        <v>7202.09</v>
      </c>
      <c r="G597" s="484">
        <f t="shared" si="39"/>
        <v>-7.804384783033913E-3</v>
      </c>
      <c r="J597" s="483">
        <f t="shared" si="36"/>
        <v>5.7246942492843456E-3</v>
      </c>
      <c r="K597" s="484">
        <f t="shared" si="37"/>
        <v>8.6738777597439309E-3</v>
      </c>
    </row>
    <row r="598" spans="1:11" x14ac:dyDescent="0.35">
      <c r="A598" s="490">
        <v>44448</v>
      </c>
      <c r="B598" s="491">
        <v>386.5</v>
      </c>
      <c r="C598" s="483">
        <f t="shared" si="38"/>
        <v>5.7246942492843456E-3</v>
      </c>
      <c r="E598" s="492">
        <v>44448</v>
      </c>
      <c r="F598" s="493">
        <v>7258.74</v>
      </c>
      <c r="G598" s="484">
        <f t="shared" si="39"/>
        <v>8.6738777597439309E-3</v>
      </c>
      <c r="J598" s="483">
        <f t="shared" si="36"/>
        <v>9.9868593955321217E-3</v>
      </c>
      <c r="K598" s="484">
        <f t="shared" si="37"/>
        <v>7.7651602675863352E-3</v>
      </c>
    </row>
    <row r="599" spans="1:11" x14ac:dyDescent="0.35">
      <c r="A599" s="490">
        <v>44447</v>
      </c>
      <c r="B599" s="491">
        <v>384.3</v>
      </c>
      <c r="C599" s="483">
        <f t="shared" si="38"/>
        <v>9.9868593955321217E-3</v>
      </c>
      <c r="E599" s="492">
        <v>44447</v>
      </c>
      <c r="F599" s="493">
        <v>7196.32</v>
      </c>
      <c r="G599" s="484">
        <f t="shared" si="39"/>
        <v>7.7651602675863352E-3</v>
      </c>
      <c r="J599" s="483">
        <f t="shared" si="36"/>
        <v>2.1476510067114152E-2</v>
      </c>
      <c r="K599" s="484">
        <f t="shared" si="37"/>
        <v>9.2403494316295465E-3</v>
      </c>
    </row>
    <row r="600" spans="1:11" x14ac:dyDescent="0.35">
      <c r="A600" s="490">
        <v>44446</v>
      </c>
      <c r="B600" s="491">
        <v>380.5</v>
      </c>
      <c r="C600" s="483">
        <f t="shared" si="38"/>
        <v>2.1476510067114152E-2</v>
      </c>
      <c r="E600" s="492">
        <v>44446</v>
      </c>
      <c r="F600" s="493">
        <v>7140.87</v>
      </c>
      <c r="G600" s="484">
        <f t="shared" si="39"/>
        <v>9.2403494316295465E-3</v>
      </c>
      <c r="J600" s="483">
        <f t="shared" si="36"/>
        <v>1.4433551198257177E-2</v>
      </c>
      <c r="K600" s="484">
        <f t="shared" si="37"/>
        <v>3.2143171100353918E-3</v>
      </c>
    </row>
    <row r="601" spans="1:11" x14ac:dyDescent="0.35">
      <c r="A601" s="490">
        <v>44445</v>
      </c>
      <c r="B601" s="491">
        <v>372.5</v>
      </c>
      <c r="C601" s="483">
        <f t="shared" si="38"/>
        <v>1.4433551198257177E-2</v>
      </c>
      <c r="E601" s="492">
        <v>44445</v>
      </c>
      <c r="F601" s="493">
        <v>7075.49</v>
      </c>
      <c r="G601" s="484">
        <f t="shared" si="39"/>
        <v>3.2143171100353918E-3</v>
      </c>
      <c r="J601" s="483">
        <f t="shared" si="36"/>
        <v>1.3524703284570672E-2</v>
      </c>
      <c r="K601" s="484">
        <f t="shared" si="37"/>
        <v>1.0280688435120755E-2</v>
      </c>
    </row>
    <row r="602" spans="1:11" x14ac:dyDescent="0.35">
      <c r="A602" s="490">
        <v>44444</v>
      </c>
      <c r="B602" s="491">
        <v>367.2</v>
      </c>
      <c r="C602" s="483">
        <f t="shared" si="38"/>
        <v>1.3524703284570672E-2</v>
      </c>
      <c r="E602" s="492">
        <v>44444</v>
      </c>
      <c r="F602" s="493">
        <v>7052.82</v>
      </c>
      <c r="G602" s="484">
        <f t="shared" si="39"/>
        <v>1.0280688435120755E-2</v>
      </c>
      <c r="J602" s="483">
        <f t="shared" si="36"/>
        <v>5.5233360950013299E-4</v>
      </c>
      <c r="K602" s="484">
        <f t="shared" si="37"/>
        <v>9.3502670472125349E-3</v>
      </c>
    </row>
    <row r="603" spans="1:11" x14ac:dyDescent="0.35">
      <c r="A603" s="490">
        <v>44441</v>
      </c>
      <c r="B603" s="491">
        <v>362.3</v>
      </c>
      <c r="C603" s="483">
        <f t="shared" si="38"/>
        <v>5.5233360950013299E-4</v>
      </c>
      <c r="E603" s="492">
        <v>44441</v>
      </c>
      <c r="F603" s="493">
        <v>6981.05</v>
      </c>
      <c r="G603" s="484">
        <f t="shared" si="39"/>
        <v>9.3502670472125349E-3</v>
      </c>
      <c r="J603" s="483">
        <f t="shared" si="36"/>
        <v>-1.3789299503584873E-3</v>
      </c>
      <c r="K603" s="484">
        <f t="shared" si="37"/>
        <v>6.8624767805463005E-3</v>
      </c>
    </row>
    <row r="604" spans="1:11" x14ac:dyDescent="0.35">
      <c r="A604" s="490">
        <v>44440</v>
      </c>
      <c r="B604" s="491">
        <v>362.1</v>
      </c>
      <c r="C604" s="483">
        <f t="shared" si="38"/>
        <v>-1.3789299503584873E-3</v>
      </c>
      <c r="E604" s="492">
        <v>44440</v>
      </c>
      <c r="F604" s="493">
        <v>6916.38</v>
      </c>
      <c r="G604" s="484">
        <f t="shared" si="39"/>
        <v>6.8624767805463005E-3</v>
      </c>
      <c r="J604" s="483">
        <f t="shared" si="36"/>
        <v>5.8252427184466438E-3</v>
      </c>
      <c r="K604" s="484">
        <f t="shared" si="37"/>
        <v>6.688551497743056E-3</v>
      </c>
    </row>
    <row r="605" spans="1:11" x14ac:dyDescent="0.35">
      <c r="A605" s="490">
        <v>44439</v>
      </c>
      <c r="B605" s="491">
        <v>362.6</v>
      </c>
      <c r="C605" s="483">
        <f t="shared" si="38"/>
        <v>5.8252427184466438E-3</v>
      </c>
      <c r="E605" s="492">
        <v>44439</v>
      </c>
      <c r="F605" s="493">
        <v>6869.24</v>
      </c>
      <c r="G605" s="484">
        <f t="shared" si="39"/>
        <v>6.688551497743056E-3</v>
      </c>
      <c r="J605" s="483">
        <f t="shared" si="36"/>
        <v>-1.2058098109070881E-2</v>
      </c>
      <c r="K605" s="484">
        <f t="shared" si="37"/>
        <v>-4.0459356737094776E-3</v>
      </c>
    </row>
    <row r="606" spans="1:11" x14ac:dyDescent="0.35">
      <c r="A606" s="490">
        <v>44437</v>
      </c>
      <c r="B606" s="491">
        <v>360.5</v>
      </c>
      <c r="C606" s="483">
        <f t="shared" si="38"/>
        <v>-1.2058098109070881E-2</v>
      </c>
      <c r="E606" s="492">
        <v>44437</v>
      </c>
      <c r="F606" s="493">
        <v>6823.6</v>
      </c>
      <c r="G606" s="484">
        <f t="shared" si="39"/>
        <v>-4.0459356737094776E-3</v>
      </c>
      <c r="J606" s="483">
        <f t="shared" si="36"/>
        <v>-7.0748299319728369E-3</v>
      </c>
      <c r="K606" s="484">
        <f t="shared" si="37"/>
        <v>-3.9876431037616511E-3</v>
      </c>
    </row>
    <row r="607" spans="1:11" x14ac:dyDescent="0.35">
      <c r="A607" s="490">
        <v>44434</v>
      </c>
      <c r="B607" s="491">
        <v>364.9</v>
      </c>
      <c r="C607" s="483">
        <f t="shared" si="38"/>
        <v>-7.0748299319728369E-3</v>
      </c>
      <c r="E607" s="492">
        <v>44434</v>
      </c>
      <c r="F607" s="493">
        <v>6851.32</v>
      </c>
      <c r="G607" s="484">
        <f t="shared" si="39"/>
        <v>-3.9876431037616511E-3</v>
      </c>
      <c r="J607" s="483">
        <f t="shared" si="36"/>
        <v>-4.8740861088546472E-3</v>
      </c>
      <c r="K607" s="484">
        <f t="shared" si="37"/>
        <v>-8.5988144675053224E-4</v>
      </c>
    </row>
    <row r="608" spans="1:11" x14ac:dyDescent="0.35">
      <c r="A608" s="490">
        <v>44433</v>
      </c>
      <c r="B608" s="491">
        <v>367.5</v>
      </c>
      <c r="C608" s="483">
        <f t="shared" si="38"/>
        <v>-4.8740861088546472E-3</v>
      </c>
      <c r="E608" s="492">
        <v>44433</v>
      </c>
      <c r="F608" s="493">
        <v>6878.75</v>
      </c>
      <c r="G608" s="484">
        <f t="shared" si="39"/>
        <v>-8.5988144675053224E-4</v>
      </c>
      <c r="J608" s="483">
        <f t="shared" si="36"/>
        <v>9.5680699835976046E-3</v>
      </c>
      <c r="K608" s="484">
        <f t="shared" si="37"/>
        <v>3.2437583880882137E-3</v>
      </c>
    </row>
    <row r="609" spans="1:11" x14ac:dyDescent="0.35">
      <c r="A609" s="490">
        <v>44432</v>
      </c>
      <c r="B609" s="491">
        <v>369.3</v>
      </c>
      <c r="C609" s="483">
        <f t="shared" si="38"/>
        <v>9.5680699835976046E-3</v>
      </c>
      <c r="E609" s="492">
        <v>44432</v>
      </c>
      <c r="F609" s="493">
        <v>6884.67</v>
      </c>
      <c r="G609" s="484">
        <f t="shared" si="39"/>
        <v>3.2437583880882137E-3</v>
      </c>
      <c r="J609" s="483">
        <f t="shared" si="36"/>
        <v>5.22121461940106E-3</v>
      </c>
      <c r="K609" s="484">
        <f t="shared" si="37"/>
        <v>2.9493308468147017E-3</v>
      </c>
    </row>
    <row r="610" spans="1:11" x14ac:dyDescent="0.35">
      <c r="A610" s="490">
        <v>44431</v>
      </c>
      <c r="B610" s="491">
        <v>365.8</v>
      </c>
      <c r="C610" s="483">
        <f t="shared" si="38"/>
        <v>5.22121461940106E-3</v>
      </c>
      <c r="E610" s="492">
        <v>44431</v>
      </c>
      <c r="F610" s="493">
        <v>6862.41</v>
      </c>
      <c r="G610" s="484">
        <f t="shared" si="39"/>
        <v>2.9493308468147017E-3</v>
      </c>
      <c r="J610" s="483">
        <f t="shared" si="36"/>
        <v>1.2520868113522488E-2</v>
      </c>
      <c r="K610" s="484">
        <f t="shared" si="37"/>
        <v>1.2072875080799017E-2</v>
      </c>
    </row>
    <row r="611" spans="1:11" x14ac:dyDescent="0.35">
      <c r="A611" s="490">
        <v>44430</v>
      </c>
      <c r="B611" s="491">
        <v>363.9</v>
      </c>
      <c r="C611" s="483">
        <f t="shared" si="38"/>
        <v>1.2520868113522488E-2</v>
      </c>
      <c r="E611" s="492">
        <v>44430</v>
      </c>
      <c r="F611" s="493">
        <v>6842.23</v>
      </c>
      <c r="G611" s="484">
        <f t="shared" si="39"/>
        <v>1.2072875080799017E-2</v>
      </c>
      <c r="J611" s="483">
        <f t="shared" si="36"/>
        <v>-8.3402835696422262E-4</v>
      </c>
      <c r="K611" s="484">
        <f t="shared" si="37"/>
        <v>-1.6583380587846808E-3</v>
      </c>
    </row>
    <row r="612" spans="1:11" x14ac:dyDescent="0.35">
      <c r="A612" s="490">
        <v>44427</v>
      </c>
      <c r="B612" s="491">
        <v>359.4</v>
      </c>
      <c r="C612" s="483">
        <f t="shared" si="38"/>
        <v>-8.3402835696422262E-4</v>
      </c>
      <c r="E612" s="492">
        <v>44427</v>
      </c>
      <c r="F612" s="493">
        <v>6760.61</v>
      </c>
      <c r="G612" s="484">
        <f t="shared" si="39"/>
        <v>-1.6583380587846808E-3</v>
      </c>
      <c r="J612" s="483">
        <f t="shared" si="36"/>
        <v>1.6708437761068229E-3</v>
      </c>
      <c r="K612" s="484">
        <f t="shared" si="37"/>
        <v>-2.2572033074216291E-3</v>
      </c>
    </row>
    <row r="613" spans="1:11" x14ac:dyDescent="0.35">
      <c r="A613" s="490">
        <v>44426</v>
      </c>
      <c r="B613" s="491">
        <v>359.7</v>
      </c>
      <c r="C613" s="483">
        <f t="shared" si="38"/>
        <v>1.6708437761068229E-3</v>
      </c>
      <c r="E613" s="492">
        <v>44426</v>
      </c>
      <c r="F613" s="493">
        <v>6771.84</v>
      </c>
      <c r="G613" s="484">
        <f t="shared" si="39"/>
        <v>-2.2572033074216291E-3</v>
      </c>
      <c r="J613" s="483">
        <f t="shared" si="36"/>
        <v>-4.7117516629711087E-3</v>
      </c>
      <c r="K613" s="484">
        <f t="shared" si="37"/>
        <v>5.6660917598667648E-3</v>
      </c>
    </row>
    <row r="614" spans="1:11" x14ac:dyDescent="0.35">
      <c r="A614" s="490">
        <v>44425</v>
      </c>
      <c r="B614" s="491">
        <v>359.1</v>
      </c>
      <c r="C614" s="483">
        <f t="shared" si="38"/>
        <v>-4.7117516629711087E-3</v>
      </c>
      <c r="E614" s="492">
        <v>44425</v>
      </c>
      <c r="F614" s="493">
        <v>6787.16</v>
      </c>
      <c r="G614" s="484">
        <f t="shared" si="39"/>
        <v>5.6660917598667648E-3</v>
      </c>
      <c r="J614" s="483">
        <f t="shared" si="36"/>
        <v>-6.0606060606059886E-3</v>
      </c>
      <c r="K614" s="484">
        <f t="shared" si="37"/>
        <v>7.3932104266209997E-3</v>
      </c>
    </row>
    <row r="615" spans="1:11" x14ac:dyDescent="0.35">
      <c r="A615" s="490">
        <v>44424</v>
      </c>
      <c r="B615" s="491">
        <v>360.8</v>
      </c>
      <c r="C615" s="483">
        <f t="shared" si="38"/>
        <v>-6.0606060606059886E-3</v>
      </c>
      <c r="E615" s="492">
        <v>44424</v>
      </c>
      <c r="F615" s="493">
        <v>6748.92</v>
      </c>
      <c r="G615" s="484">
        <f t="shared" si="39"/>
        <v>7.3932104266209997E-3</v>
      </c>
      <c r="J615" s="483">
        <f t="shared" si="36"/>
        <v>-8.1967213114754189E-3</v>
      </c>
      <c r="K615" s="484">
        <f t="shared" si="37"/>
        <v>1.1486703778020413E-2</v>
      </c>
    </row>
    <row r="616" spans="1:11" x14ac:dyDescent="0.35">
      <c r="A616" s="490">
        <v>44420</v>
      </c>
      <c r="B616" s="491">
        <v>363</v>
      </c>
      <c r="C616" s="483">
        <f t="shared" si="38"/>
        <v>-8.1967213114754189E-3</v>
      </c>
      <c r="E616" s="492">
        <v>44420</v>
      </c>
      <c r="F616" s="493">
        <v>6699.39</v>
      </c>
      <c r="G616" s="484">
        <f t="shared" si="39"/>
        <v>1.1486703778020413E-2</v>
      </c>
      <c r="J616" s="483">
        <f t="shared" si="36"/>
        <v>1.413133832086455E-2</v>
      </c>
      <c r="K616" s="484">
        <f t="shared" si="37"/>
        <v>8.2806599746443332E-4</v>
      </c>
    </row>
    <row r="617" spans="1:11" x14ac:dyDescent="0.35">
      <c r="A617" s="490">
        <v>44419</v>
      </c>
      <c r="B617" s="491">
        <v>366</v>
      </c>
      <c r="C617" s="483">
        <f t="shared" si="38"/>
        <v>1.413133832086455E-2</v>
      </c>
      <c r="E617" s="492">
        <v>44419</v>
      </c>
      <c r="F617" s="493">
        <v>6623.31</v>
      </c>
      <c r="G617" s="484">
        <f t="shared" si="39"/>
        <v>8.2806599746443332E-4</v>
      </c>
      <c r="J617" s="483">
        <f t="shared" si="36"/>
        <v>-2.3538961038961137E-2</v>
      </c>
      <c r="K617" s="484">
        <f t="shared" si="37"/>
        <v>3.2989340622522345E-3</v>
      </c>
    </row>
    <row r="618" spans="1:11" x14ac:dyDescent="0.35">
      <c r="A618" s="490">
        <v>44418</v>
      </c>
      <c r="B618" s="491">
        <v>360.9</v>
      </c>
      <c r="C618" s="483">
        <f t="shared" si="38"/>
        <v>-2.3538961038961137E-2</v>
      </c>
      <c r="E618" s="492">
        <v>44418</v>
      </c>
      <c r="F618" s="493">
        <v>6617.83</v>
      </c>
      <c r="G618" s="484">
        <f t="shared" si="39"/>
        <v>3.2989340622522345E-3</v>
      </c>
      <c r="J618" s="483">
        <f t="shared" si="36"/>
        <v>3.5297311973934153E-3</v>
      </c>
      <c r="K618" s="484">
        <f t="shared" si="37"/>
        <v>9.2107095153362017E-3</v>
      </c>
    </row>
    <row r="619" spans="1:11" x14ac:dyDescent="0.35">
      <c r="A619" s="490">
        <v>44413</v>
      </c>
      <c r="B619" s="491">
        <v>369.6</v>
      </c>
      <c r="C619" s="483">
        <f t="shared" si="38"/>
        <v>3.5297311973934153E-3</v>
      </c>
      <c r="E619" s="492">
        <v>44413</v>
      </c>
      <c r="F619" s="493">
        <v>6596.07</v>
      </c>
      <c r="G619" s="484">
        <f t="shared" si="39"/>
        <v>9.2107095153362017E-3</v>
      </c>
      <c r="J619" s="483">
        <f t="shared" si="36"/>
        <v>-6.4742379282437534E-3</v>
      </c>
      <c r="K619" s="484">
        <f t="shared" si="37"/>
        <v>8.3791556353716157E-3</v>
      </c>
    </row>
    <row r="620" spans="1:11" x14ac:dyDescent="0.35">
      <c r="A620" s="490">
        <v>44411</v>
      </c>
      <c r="B620" s="491">
        <v>368.3</v>
      </c>
      <c r="C620" s="483">
        <f t="shared" si="38"/>
        <v>-6.4742379282437534E-3</v>
      </c>
      <c r="E620" s="492">
        <v>44411</v>
      </c>
      <c r="F620" s="493">
        <v>6535.87</v>
      </c>
      <c r="G620" s="484">
        <f t="shared" si="39"/>
        <v>8.3791556353716157E-3</v>
      </c>
      <c r="J620" s="483">
        <f t="shared" si="36"/>
        <v>-2.2673345636699205E-2</v>
      </c>
      <c r="K620" s="484">
        <f t="shared" si="37"/>
        <v>8.7638613283529399E-3</v>
      </c>
    </row>
    <row r="621" spans="1:11" x14ac:dyDescent="0.35">
      <c r="A621" s="490">
        <v>44410</v>
      </c>
      <c r="B621" s="491">
        <v>370.7</v>
      </c>
      <c r="C621" s="483">
        <f t="shared" si="38"/>
        <v>-2.2673345636699205E-2</v>
      </c>
      <c r="E621" s="492">
        <v>44410</v>
      </c>
      <c r="F621" s="493">
        <v>6481.56</v>
      </c>
      <c r="G621" s="484">
        <f t="shared" si="39"/>
        <v>8.7638613283529399E-3</v>
      </c>
      <c r="J621" s="483">
        <f t="shared" si="36"/>
        <v>1.2546716497597421E-2</v>
      </c>
      <c r="K621" s="484">
        <f t="shared" si="37"/>
        <v>1.2560014585825119E-3</v>
      </c>
    </row>
    <row r="622" spans="1:11" x14ac:dyDescent="0.35">
      <c r="A622" s="490">
        <v>44406</v>
      </c>
      <c r="B622" s="491">
        <v>379.3</v>
      </c>
      <c r="C622" s="483">
        <f t="shared" si="38"/>
        <v>1.2546716497597421E-2</v>
      </c>
      <c r="E622" s="492">
        <v>44406</v>
      </c>
      <c r="F622" s="493">
        <v>6425.25</v>
      </c>
      <c r="G622" s="484">
        <f t="shared" si="39"/>
        <v>1.2560014585825119E-3</v>
      </c>
      <c r="J622" s="483">
        <f t="shared" si="36"/>
        <v>1.4626218851571116E-2</v>
      </c>
      <c r="K622" s="484">
        <f t="shared" si="37"/>
        <v>5.8811819420125921E-3</v>
      </c>
    </row>
    <row r="623" spans="1:11" x14ac:dyDescent="0.35">
      <c r="A623" s="490">
        <v>44405</v>
      </c>
      <c r="B623" s="491">
        <v>374.6</v>
      </c>
      <c r="C623" s="483">
        <f t="shared" si="38"/>
        <v>1.4626218851571116E-2</v>
      </c>
      <c r="E623" s="492">
        <v>44405</v>
      </c>
      <c r="F623" s="493">
        <v>6417.19</v>
      </c>
      <c r="G623" s="484">
        <f t="shared" si="39"/>
        <v>5.8811819420125921E-3</v>
      </c>
      <c r="J623" s="483">
        <f t="shared" si="36"/>
        <v>7.3669849931787823E-3</v>
      </c>
      <c r="K623" s="484">
        <f t="shared" si="37"/>
        <v>-3.8038547602056161E-3</v>
      </c>
    </row>
    <row r="624" spans="1:11" x14ac:dyDescent="0.35">
      <c r="A624" s="490">
        <v>44404</v>
      </c>
      <c r="B624" s="491">
        <v>369.2</v>
      </c>
      <c r="C624" s="483">
        <f t="shared" si="38"/>
        <v>7.3669849931787823E-3</v>
      </c>
      <c r="E624" s="492">
        <v>44404</v>
      </c>
      <c r="F624" s="493">
        <v>6379.67</v>
      </c>
      <c r="G624" s="484">
        <f t="shared" si="39"/>
        <v>-3.8038547602056161E-3</v>
      </c>
      <c r="J624" s="483">
        <f t="shared" si="36"/>
        <v>7.6986527357711942E-3</v>
      </c>
      <c r="K624" s="484">
        <f t="shared" si="37"/>
        <v>-3.1412422694775399E-3</v>
      </c>
    </row>
    <row r="625" spans="1:11" x14ac:dyDescent="0.35">
      <c r="A625" s="490">
        <v>44403</v>
      </c>
      <c r="B625" s="491">
        <v>366.5</v>
      </c>
      <c r="C625" s="483">
        <f t="shared" si="38"/>
        <v>7.6986527357711942E-3</v>
      </c>
      <c r="E625" s="492">
        <v>44403</v>
      </c>
      <c r="F625" s="493">
        <v>6404.03</v>
      </c>
      <c r="G625" s="484">
        <f t="shared" si="39"/>
        <v>-3.1412422694775399E-3</v>
      </c>
      <c r="J625" s="483">
        <f t="shared" si="36"/>
        <v>-5.4689636313918211E-3</v>
      </c>
      <c r="K625" s="484">
        <f t="shared" si="37"/>
        <v>2.9929555475063374E-3</v>
      </c>
    </row>
    <row r="626" spans="1:11" x14ac:dyDescent="0.35">
      <c r="A626" s="490">
        <v>44402</v>
      </c>
      <c r="B626" s="491">
        <v>363.7</v>
      </c>
      <c r="C626" s="483">
        <f t="shared" si="38"/>
        <v>-5.4689636313918211E-3</v>
      </c>
      <c r="E626" s="492">
        <v>44402</v>
      </c>
      <c r="F626" s="493">
        <v>6424.21</v>
      </c>
      <c r="G626" s="484">
        <f t="shared" si="39"/>
        <v>2.9929555475063374E-3</v>
      </c>
      <c r="J626" s="483">
        <f t="shared" si="36"/>
        <v>1.0500138159712735E-2</v>
      </c>
      <c r="K626" s="484">
        <f t="shared" si="37"/>
        <v>9.2208013210388629E-3</v>
      </c>
    </row>
    <row r="627" spans="1:11" x14ac:dyDescent="0.35">
      <c r="A627" s="490">
        <v>44396</v>
      </c>
      <c r="B627" s="491">
        <v>365.7</v>
      </c>
      <c r="C627" s="483">
        <f t="shared" si="38"/>
        <v>1.0500138159712735E-2</v>
      </c>
      <c r="E627" s="492">
        <v>44396</v>
      </c>
      <c r="F627" s="493">
        <v>6405.04</v>
      </c>
      <c r="G627" s="484">
        <f t="shared" si="39"/>
        <v>9.2208013210388629E-3</v>
      </c>
      <c r="J627" s="483">
        <f t="shared" si="36"/>
        <v>1.4862591138530501E-2</v>
      </c>
      <c r="K627" s="484">
        <f t="shared" si="37"/>
        <v>6.210215066549285E-3</v>
      </c>
    </row>
    <row r="628" spans="1:11" x14ac:dyDescent="0.35">
      <c r="A628" s="490">
        <v>44395</v>
      </c>
      <c r="B628" s="491">
        <v>361.9</v>
      </c>
      <c r="C628" s="483">
        <f t="shared" si="38"/>
        <v>1.4862591138530501E-2</v>
      </c>
      <c r="E628" s="492">
        <v>44395</v>
      </c>
      <c r="F628" s="493">
        <v>6346.52</v>
      </c>
      <c r="G628" s="484">
        <f t="shared" si="39"/>
        <v>6.210215066549285E-3</v>
      </c>
      <c r="J628" s="483">
        <f t="shared" si="36"/>
        <v>3.9414414414415955E-3</v>
      </c>
      <c r="K628" s="484">
        <f t="shared" si="37"/>
        <v>5.4229571854182979E-3</v>
      </c>
    </row>
    <row r="629" spans="1:11" x14ac:dyDescent="0.35">
      <c r="A629" s="490">
        <v>44392</v>
      </c>
      <c r="B629" s="491">
        <v>356.6</v>
      </c>
      <c r="C629" s="483">
        <f t="shared" si="38"/>
        <v>3.9414414414415955E-3</v>
      </c>
      <c r="E629" s="492">
        <v>44392</v>
      </c>
      <c r="F629" s="493">
        <v>6307.35</v>
      </c>
      <c r="G629" s="484">
        <f t="shared" si="39"/>
        <v>5.4229571854182979E-3</v>
      </c>
      <c r="J629" s="483">
        <f t="shared" si="36"/>
        <v>-8.3752093802345051E-3</v>
      </c>
      <c r="K629" s="484">
        <f t="shared" si="37"/>
        <v>1.1682075196177699E-3</v>
      </c>
    </row>
    <row r="630" spans="1:11" x14ac:dyDescent="0.35">
      <c r="A630" s="490">
        <v>44391</v>
      </c>
      <c r="B630" s="491">
        <v>355.2</v>
      </c>
      <c r="C630" s="483">
        <f t="shared" si="38"/>
        <v>-8.3752093802345051E-3</v>
      </c>
      <c r="E630" s="492">
        <v>44391</v>
      </c>
      <c r="F630" s="493">
        <v>6273.33</v>
      </c>
      <c r="G630" s="484">
        <f t="shared" si="39"/>
        <v>1.1682075196177699E-3</v>
      </c>
      <c r="J630" s="483">
        <f t="shared" si="36"/>
        <v>7.8784468204839975E-3</v>
      </c>
      <c r="K630" s="484">
        <f t="shared" si="37"/>
        <v>9.2809891131195865E-3</v>
      </c>
    </row>
    <row r="631" spans="1:11" x14ac:dyDescent="0.35">
      <c r="A631" s="490">
        <v>44390</v>
      </c>
      <c r="B631" s="491">
        <v>358.2</v>
      </c>
      <c r="C631" s="483">
        <f t="shared" si="38"/>
        <v>7.8784468204839975E-3</v>
      </c>
      <c r="E631" s="492">
        <v>44390</v>
      </c>
      <c r="F631" s="493">
        <v>6266.01</v>
      </c>
      <c r="G631" s="484">
        <f t="shared" si="39"/>
        <v>9.2809891131195865E-3</v>
      </c>
      <c r="J631" s="483">
        <f t="shared" si="36"/>
        <v>1.0233086981239259E-2</v>
      </c>
      <c r="K631" s="484">
        <f t="shared" si="37"/>
        <v>-7.0339108544348328E-4</v>
      </c>
    </row>
    <row r="632" spans="1:11" x14ac:dyDescent="0.35">
      <c r="A632" s="490">
        <v>44389</v>
      </c>
      <c r="B632" s="491">
        <v>355.4</v>
      </c>
      <c r="C632" s="483">
        <f t="shared" si="38"/>
        <v>1.0233086981239259E-2</v>
      </c>
      <c r="E632" s="492">
        <v>44389</v>
      </c>
      <c r="F632" s="493">
        <v>6208.39</v>
      </c>
      <c r="G632" s="484">
        <f t="shared" si="39"/>
        <v>-7.0339108544348328E-4</v>
      </c>
      <c r="J632" s="483">
        <f t="shared" si="36"/>
        <v>6.5808297567955254E-3</v>
      </c>
      <c r="K632" s="484">
        <f t="shared" si="37"/>
        <v>5.7550253269680329E-3</v>
      </c>
    </row>
    <row r="633" spans="1:11" x14ac:dyDescent="0.35">
      <c r="A633" s="490">
        <v>44385</v>
      </c>
      <c r="B633" s="491">
        <v>351.8</v>
      </c>
      <c r="C633" s="483">
        <f t="shared" si="38"/>
        <v>6.5808297567955254E-3</v>
      </c>
      <c r="E633" s="492">
        <v>44385</v>
      </c>
      <c r="F633" s="493">
        <v>6212.76</v>
      </c>
      <c r="G633" s="484">
        <f t="shared" si="39"/>
        <v>5.7550253269680329E-3</v>
      </c>
      <c r="J633" s="483">
        <f t="shared" si="36"/>
        <v>4.5990227076746493E-3</v>
      </c>
      <c r="K633" s="484">
        <f t="shared" si="37"/>
        <v>-3.1243090935791917E-3</v>
      </c>
    </row>
    <row r="634" spans="1:11" x14ac:dyDescent="0.35">
      <c r="A634" s="490">
        <v>44384</v>
      </c>
      <c r="B634" s="491">
        <v>349.5</v>
      </c>
      <c r="C634" s="483">
        <f t="shared" si="38"/>
        <v>4.5990227076746493E-3</v>
      </c>
      <c r="E634" s="492">
        <v>44384</v>
      </c>
      <c r="F634" s="493">
        <v>6177.21</v>
      </c>
      <c r="G634" s="484">
        <f t="shared" si="39"/>
        <v>-3.1243090935791917E-3</v>
      </c>
      <c r="J634" s="483">
        <f t="shared" si="36"/>
        <v>-1.4351320321469574E-3</v>
      </c>
      <c r="K634" s="484">
        <f t="shared" si="37"/>
        <v>-3.7572709704595253E-3</v>
      </c>
    </row>
    <row r="635" spans="1:11" x14ac:dyDescent="0.35">
      <c r="A635" s="490">
        <v>44383</v>
      </c>
      <c r="B635" s="491">
        <v>347.9</v>
      </c>
      <c r="C635" s="483">
        <f t="shared" si="38"/>
        <v>-1.4351320321469574E-3</v>
      </c>
      <c r="E635" s="492">
        <v>44383</v>
      </c>
      <c r="F635" s="493">
        <v>6196.57</v>
      </c>
      <c r="G635" s="484">
        <f t="shared" si="39"/>
        <v>-3.7572709704595253E-3</v>
      </c>
      <c r="J635" s="483">
        <f t="shared" si="36"/>
        <v>-2.8620492272467546E-3</v>
      </c>
      <c r="K635" s="484">
        <f t="shared" si="37"/>
        <v>1.1293427504845077E-2</v>
      </c>
    </row>
    <row r="636" spans="1:11" x14ac:dyDescent="0.35">
      <c r="A636" s="490">
        <v>44382</v>
      </c>
      <c r="B636" s="491">
        <v>348.4</v>
      </c>
      <c r="C636" s="483">
        <f t="shared" si="38"/>
        <v>-2.8620492272467546E-3</v>
      </c>
      <c r="E636" s="492">
        <v>44382</v>
      </c>
      <c r="F636" s="493">
        <v>6219.94</v>
      </c>
      <c r="G636" s="484">
        <f t="shared" si="39"/>
        <v>1.1293427504845077E-2</v>
      </c>
      <c r="J636" s="483">
        <f t="shared" si="36"/>
        <v>5.4676258992805149E-3</v>
      </c>
      <c r="K636" s="484">
        <f t="shared" si="37"/>
        <v>1.7871771405496784E-2</v>
      </c>
    </row>
    <row r="637" spans="1:11" x14ac:dyDescent="0.35">
      <c r="A637" s="490">
        <v>44377</v>
      </c>
      <c r="B637" s="491">
        <v>349.4</v>
      </c>
      <c r="C637" s="483">
        <f t="shared" si="38"/>
        <v>5.4676258992805149E-3</v>
      </c>
      <c r="E637" s="492">
        <v>44377</v>
      </c>
      <c r="F637" s="493">
        <v>6150.48</v>
      </c>
      <c r="G637" s="484">
        <f t="shared" si="39"/>
        <v>1.7871771405496784E-2</v>
      </c>
      <c r="J637" s="483">
        <f t="shared" si="36"/>
        <v>3.465203580710341E-3</v>
      </c>
      <c r="K637" s="484">
        <f t="shared" si="37"/>
        <v>2.6299895132277928E-3</v>
      </c>
    </row>
    <row r="638" spans="1:11" x14ac:dyDescent="0.35">
      <c r="A638" s="490">
        <v>44376</v>
      </c>
      <c r="B638" s="491">
        <v>347.5</v>
      </c>
      <c r="C638" s="483">
        <f t="shared" si="38"/>
        <v>3.465203580710341E-3</v>
      </c>
      <c r="E638" s="492">
        <v>44376</v>
      </c>
      <c r="F638" s="493">
        <v>6042.49</v>
      </c>
      <c r="G638" s="484">
        <f t="shared" si="39"/>
        <v>2.6299895132277928E-3</v>
      </c>
      <c r="J638" s="483">
        <f t="shared" si="36"/>
        <v>1.1564035848512511E-3</v>
      </c>
      <c r="K638" s="484">
        <f t="shared" si="37"/>
        <v>5.6585229102597001E-3</v>
      </c>
    </row>
    <row r="639" spans="1:11" x14ac:dyDescent="0.35">
      <c r="A639" s="490">
        <v>44375</v>
      </c>
      <c r="B639" s="491">
        <v>346.3</v>
      </c>
      <c r="C639" s="483">
        <f t="shared" si="38"/>
        <v>1.1564035848512511E-3</v>
      </c>
      <c r="E639" s="492">
        <v>44375</v>
      </c>
      <c r="F639" s="493">
        <v>6026.64</v>
      </c>
      <c r="G639" s="484">
        <f t="shared" si="39"/>
        <v>5.6585229102597001E-3</v>
      </c>
      <c r="J639" s="483">
        <f t="shared" si="36"/>
        <v>-8.6655112651645716E-4</v>
      </c>
      <c r="K639" s="484">
        <f t="shared" si="37"/>
        <v>-1.6429147046610582E-2</v>
      </c>
    </row>
    <row r="640" spans="1:11" x14ac:dyDescent="0.35">
      <c r="A640" s="490">
        <v>44374</v>
      </c>
      <c r="B640" s="491">
        <v>345.9</v>
      </c>
      <c r="C640" s="483">
        <f t="shared" si="38"/>
        <v>-8.6655112651645716E-4</v>
      </c>
      <c r="E640" s="492">
        <v>44374</v>
      </c>
      <c r="F640" s="493">
        <v>5992.73</v>
      </c>
      <c r="G640" s="484">
        <f t="shared" si="39"/>
        <v>-1.6429147046610582E-2</v>
      </c>
      <c r="J640" s="483">
        <f t="shared" si="36"/>
        <v>-2.0178725857595836E-3</v>
      </c>
      <c r="K640" s="484">
        <f t="shared" si="37"/>
        <v>9.4419335171243013E-3</v>
      </c>
    </row>
    <row r="641" spans="1:11" x14ac:dyDescent="0.35">
      <c r="A641" s="490">
        <v>44371</v>
      </c>
      <c r="B641" s="491">
        <v>346.2</v>
      </c>
      <c r="C641" s="483">
        <f t="shared" si="38"/>
        <v>-2.0178725857595836E-3</v>
      </c>
      <c r="E641" s="492">
        <v>44371</v>
      </c>
      <c r="F641" s="493">
        <v>6092.83</v>
      </c>
      <c r="G641" s="484">
        <f t="shared" si="39"/>
        <v>9.4419335171243013E-3</v>
      </c>
      <c r="J641" s="483">
        <f t="shared" si="36"/>
        <v>4.9246813441483628E-3</v>
      </c>
      <c r="K641" s="484">
        <f t="shared" si="37"/>
        <v>-1.1446624727919463E-2</v>
      </c>
    </row>
    <row r="642" spans="1:11" x14ac:dyDescent="0.35">
      <c r="A642" s="490">
        <v>44370</v>
      </c>
      <c r="B642" s="491">
        <v>346.9</v>
      </c>
      <c r="C642" s="483">
        <f t="shared" si="38"/>
        <v>4.9246813441483628E-3</v>
      </c>
      <c r="E642" s="492">
        <v>44370</v>
      </c>
      <c r="F642" s="493">
        <v>6035.84</v>
      </c>
      <c r="G642" s="484">
        <f t="shared" si="39"/>
        <v>-1.1446624727919463E-2</v>
      </c>
      <c r="J642" s="483">
        <f t="shared" si="36"/>
        <v>6.1206645292917194E-3</v>
      </c>
      <c r="K642" s="484">
        <f t="shared" si="37"/>
        <v>-3.212846160501992E-3</v>
      </c>
    </row>
    <row r="643" spans="1:11" x14ac:dyDescent="0.35">
      <c r="A643" s="490">
        <v>44369</v>
      </c>
      <c r="B643" s="491">
        <v>345.2</v>
      </c>
      <c r="C643" s="483">
        <f t="shared" si="38"/>
        <v>6.1206645292917194E-3</v>
      </c>
      <c r="E643" s="492">
        <v>44369</v>
      </c>
      <c r="F643" s="493">
        <v>6105.73</v>
      </c>
      <c r="G643" s="484">
        <f t="shared" si="39"/>
        <v>-3.212846160501992E-3</v>
      </c>
      <c r="J643" s="483">
        <f t="shared" ref="J643:J706" si="40">(B644/B645)-1</f>
        <v>-5.8258083309059572E-4</v>
      </c>
      <c r="K643" s="484">
        <f t="shared" ref="K643:K706" si="41">(F644/F645)-1</f>
        <v>9.2282597950374967E-3</v>
      </c>
    </row>
    <row r="644" spans="1:11" x14ac:dyDescent="0.35">
      <c r="A644" s="490">
        <v>44368</v>
      </c>
      <c r="B644" s="491">
        <v>343.1</v>
      </c>
      <c r="C644" s="483">
        <f t="shared" ref="C644:C707" si="42">(B644/B645)-1</f>
        <v>-5.8258083309059572E-4</v>
      </c>
      <c r="E644" s="492">
        <v>44368</v>
      </c>
      <c r="F644" s="493">
        <v>6125.41</v>
      </c>
      <c r="G644" s="484">
        <f t="shared" ref="G644:G707" si="43">(F644/F645)-1</f>
        <v>9.2282597950374967E-3</v>
      </c>
      <c r="J644" s="483">
        <f t="shared" si="40"/>
        <v>-2.3249055507120753E-3</v>
      </c>
      <c r="K644" s="484">
        <f t="shared" si="41"/>
        <v>2.7508157449092074E-3</v>
      </c>
    </row>
    <row r="645" spans="1:11" x14ac:dyDescent="0.35">
      <c r="A645" s="490">
        <v>44367</v>
      </c>
      <c r="B645" s="491">
        <v>343.3</v>
      </c>
      <c r="C645" s="483">
        <f t="shared" si="42"/>
        <v>-2.3249055507120753E-3</v>
      </c>
      <c r="E645" s="492">
        <v>44367</v>
      </c>
      <c r="F645" s="493">
        <v>6069.4</v>
      </c>
      <c r="G645" s="484">
        <f t="shared" si="43"/>
        <v>2.7508157449092074E-3</v>
      </c>
      <c r="J645" s="483">
        <f t="shared" si="40"/>
        <v>2.622377622377714E-3</v>
      </c>
      <c r="K645" s="484">
        <f t="shared" si="41"/>
        <v>1.6854684528233577E-4</v>
      </c>
    </row>
    <row r="646" spans="1:11" x14ac:dyDescent="0.35">
      <c r="A646" s="490">
        <v>44364</v>
      </c>
      <c r="B646" s="491">
        <v>344.1</v>
      </c>
      <c r="C646" s="483">
        <f t="shared" si="42"/>
        <v>2.622377622377714E-3</v>
      </c>
      <c r="E646" s="492">
        <v>44364</v>
      </c>
      <c r="F646" s="493">
        <v>6052.75</v>
      </c>
      <c r="G646" s="484">
        <f t="shared" si="43"/>
        <v>1.6854684528233577E-4</v>
      </c>
      <c r="J646" s="483">
        <f t="shared" si="40"/>
        <v>-2.6155187445511263E-3</v>
      </c>
      <c r="K646" s="484">
        <f t="shared" si="41"/>
        <v>4.8851686479107759E-3</v>
      </c>
    </row>
    <row r="647" spans="1:11" x14ac:dyDescent="0.35">
      <c r="A647" s="490">
        <v>44363</v>
      </c>
      <c r="B647" s="491">
        <v>343.2</v>
      </c>
      <c r="C647" s="483">
        <f t="shared" si="42"/>
        <v>-2.6155187445511263E-3</v>
      </c>
      <c r="E647" s="492">
        <v>44363</v>
      </c>
      <c r="F647" s="493">
        <v>6051.73</v>
      </c>
      <c r="G647" s="484">
        <f t="shared" si="43"/>
        <v>4.8851686479107759E-3</v>
      </c>
      <c r="J647" s="483">
        <f t="shared" si="40"/>
        <v>-9.4991364421415092E-3</v>
      </c>
      <c r="K647" s="484">
        <f t="shared" si="41"/>
        <v>1.446718360518906E-3</v>
      </c>
    </row>
    <row r="648" spans="1:11" x14ac:dyDescent="0.35">
      <c r="A648" s="490">
        <v>44362</v>
      </c>
      <c r="B648" s="491">
        <v>344.1</v>
      </c>
      <c r="C648" s="483">
        <f t="shared" si="42"/>
        <v>-9.4991364421415092E-3</v>
      </c>
      <c r="E648" s="492">
        <v>44362</v>
      </c>
      <c r="F648" s="493">
        <v>6022.31</v>
      </c>
      <c r="G648" s="484">
        <f t="shared" si="43"/>
        <v>1.446718360518906E-3</v>
      </c>
      <c r="J648" s="483">
        <f t="shared" si="40"/>
        <v>-1.4747589336358558E-2</v>
      </c>
      <c r="K648" s="484">
        <f t="shared" si="41"/>
        <v>-8.7412472142736064E-3</v>
      </c>
    </row>
    <row r="649" spans="1:11" x14ac:dyDescent="0.35">
      <c r="A649" s="490">
        <v>44361</v>
      </c>
      <c r="B649" s="491">
        <v>347.4</v>
      </c>
      <c r="C649" s="483">
        <f t="shared" si="42"/>
        <v>-1.4747589336358558E-2</v>
      </c>
      <c r="E649" s="492">
        <v>44361</v>
      </c>
      <c r="F649" s="493">
        <v>6013.61</v>
      </c>
      <c r="G649" s="484">
        <f t="shared" si="43"/>
        <v>-8.7412472142736064E-3</v>
      </c>
      <c r="J649" s="483">
        <f t="shared" si="40"/>
        <v>1.0315186246418362E-2</v>
      </c>
      <c r="K649" s="484">
        <f t="shared" si="41"/>
        <v>1.9141047555346624E-3</v>
      </c>
    </row>
    <row r="650" spans="1:11" x14ac:dyDescent="0.35">
      <c r="A650" s="490">
        <v>44357</v>
      </c>
      <c r="B650" s="491">
        <v>352.6</v>
      </c>
      <c r="C650" s="483">
        <f t="shared" si="42"/>
        <v>1.0315186246418362E-2</v>
      </c>
      <c r="E650" s="492">
        <v>44357</v>
      </c>
      <c r="F650" s="493">
        <v>6066.64</v>
      </c>
      <c r="G650" s="484">
        <f t="shared" si="43"/>
        <v>1.9141047555346624E-3</v>
      </c>
      <c r="J650" s="483">
        <f t="shared" si="40"/>
        <v>6.0536177572787508E-3</v>
      </c>
      <c r="K650" s="484">
        <f t="shared" si="41"/>
        <v>5.2962320380531835E-3</v>
      </c>
    </row>
    <row r="651" spans="1:11" x14ac:dyDescent="0.35">
      <c r="A651" s="490">
        <v>44356</v>
      </c>
      <c r="B651" s="491">
        <v>349</v>
      </c>
      <c r="C651" s="483">
        <f t="shared" si="42"/>
        <v>6.0536177572787508E-3</v>
      </c>
      <c r="E651" s="492">
        <v>44356</v>
      </c>
      <c r="F651" s="493">
        <v>6055.05</v>
      </c>
      <c r="G651" s="484">
        <f t="shared" si="43"/>
        <v>5.2962320380531835E-3</v>
      </c>
      <c r="J651" s="483">
        <f t="shared" si="40"/>
        <v>5.7686760888375765E-4</v>
      </c>
      <c r="K651" s="484">
        <f t="shared" si="41"/>
        <v>7.9084454365792034E-3</v>
      </c>
    </row>
    <row r="652" spans="1:11" x14ac:dyDescent="0.35">
      <c r="A652" s="490">
        <v>44355</v>
      </c>
      <c r="B652" s="491">
        <v>346.9</v>
      </c>
      <c r="C652" s="483">
        <f t="shared" si="42"/>
        <v>5.7686760888375765E-4</v>
      </c>
      <c r="E652" s="492">
        <v>44355</v>
      </c>
      <c r="F652" s="493">
        <v>6023.15</v>
      </c>
      <c r="G652" s="484">
        <f t="shared" si="43"/>
        <v>7.9084454365792034E-3</v>
      </c>
      <c r="J652" s="483">
        <f t="shared" si="40"/>
        <v>-1.0276905509563283E-2</v>
      </c>
      <c r="K652" s="484">
        <f t="shared" si="41"/>
        <v>-1.0334051527833177E-2</v>
      </c>
    </row>
    <row r="653" spans="1:11" x14ac:dyDescent="0.35">
      <c r="A653" s="490">
        <v>44354</v>
      </c>
      <c r="B653" s="491">
        <v>346.7</v>
      </c>
      <c r="C653" s="483">
        <f t="shared" si="42"/>
        <v>-1.0276905509563283E-2</v>
      </c>
      <c r="E653" s="492">
        <v>44354</v>
      </c>
      <c r="F653" s="493">
        <v>5975.89</v>
      </c>
      <c r="G653" s="484">
        <f t="shared" si="43"/>
        <v>-1.0334051527833177E-2</v>
      </c>
      <c r="J653" s="483">
        <f t="shared" si="40"/>
        <v>-6.2411347517730142E-3</v>
      </c>
      <c r="K653" s="484">
        <f t="shared" si="41"/>
        <v>-2.4994135546517748E-3</v>
      </c>
    </row>
    <row r="654" spans="1:11" x14ac:dyDescent="0.35">
      <c r="A654" s="490">
        <v>44353</v>
      </c>
      <c r="B654" s="491">
        <v>350.3</v>
      </c>
      <c r="C654" s="483">
        <f t="shared" si="42"/>
        <v>-6.2411347517730142E-3</v>
      </c>
      <c r="E654" s="492">
        <v>44353</v>
      </c>
      <c r="F654" s="493">
        <v>6038.29</v>
      </c>
      <c r="G654" s="484">
        <f t="shared" si="43"/>
        <v>-2.4994135546517748E-3</v>
      </c>
      <c r="J654" s="483">
        <f t="shared" si="40"/>
        <v>1.6435986159169413E-2</v>
      </c>
      <c r="K654" s="484">
        <f t="shared" si="41"/>
        <v>5.7185578999834341E-3</v>
      </c>
    </row>
    <row r="655" spans="1:11" x14ac:dyDescent="0.35">
      <c r="A655" s="490">
        <v>44350</v>
      </c>
      <c r="B655" s="491">
        <v>352.5</v>
      </c>
      <c r="C655" s="483">
        <f t="shared" si="42"/>
        <v>1.6435986159169413E-2</v>
      </c>
      <c r="E655" s="492">
        <v>44350</v>
      </c>
      <c r="F655" s="493">
        <v>6053.42</v>
      </c>
      <c r="G655" s="484">
        <f t="shared" si="43"/>
        <v>5.7185578999834341E-3</v>
      </c>
      <c r="J655" s="483">
        <f t="shared" si="40"/>
        <v>1.1547344110856006E-3</v>
      </c>
      <c r="K655" s="484">
        <f t="shared" si="41"/>
        <v>4.2830947069492087E-3</v>
      </c>
    </row>
    <row r="656" spans="1:11" x14ac:dyDescent="0.35">
      <c r="A656" s="490">
        <v>44349</v>
      </c>
      <c r="B656" s="491">
        <v>346.8</v>
      </c>
      <c r="C656" s="483">
        <f t="shared" si="42"/>
        <v>1.1547344110856006E-3</v>
      </c>
      <c r="E656" s="492">
        <v>44349</v>
      </c>
      <c r="F656" s="493">
        <v>6019</v>
      </c>
      <c r="G656" s="484">
        <f t="shared" si="43"/>
        <v>4.2830947069492087E-3</v>
      </c>
      <c r="J656" s="483">
        <f t="shared" si="40"/>
        <v>2.8876696505908406E-4</v>
      </c>
      <c r="K656" s="484">
        <f t="shared" si="41"/>
        <v>3.9225635872597309E-4</v>
      </c>
    </row>
    <row r="657" spans="1:11" x14ac:dyDescent="0.35">
      <c r="A657" s="490">
        <v>44348</v>
      </c>
      <c r="B657" s="491">
        <v>346.4</v>
      </c>
      <c r="C657" s="483">
        <f t="shared" si="42"/>
        <v>2.8876696505908406E-4</v>
      </c>
      <c r="E657" s="492">
        <v>44348</v>
      </c>
      <c r="F657" s="493">
        <v>5993.33</v>
      </c>
      <c r="G657" s="484">
        <f t="shared" si="43"/>
        <v>3.9225635872597309E-4</v>
      </c>
      <c r="J657" s="483">
        <f t="shared" si="40"/>
        <v>3.7681159420290822E-3</v>
      </c>
      <c r="K657" s="484">
        <f t="shared" si="41"/>
        <v>-2.9473978521108446E-3</v>
      </c>
    </row>
    <row r="658" spans="1:11" x14ac:dyDescent="0.35">
      <c r="A658" s="490">
        <v>44347</v>
      </c>
      <c r="B658" s="491">
        <v>346.3</v>
      </c>
      <c r="C658" s="483">
        <f t="shared" si="42"/>
        <v>3.7681159420290822E-3</v>
      </c>
      <c r="E658" s="492">
        <v>44347</v>
      </c>
      <c r="F658" s="493">
        <v>5990.98</v>
      </c>
      <c r="G658" s="484">
        <f t="shared" si="43"/>
        <v>-2.9473978521108446E-3</v>
      </c>
      <c r="J658" s="483">
        <f t="shared" si="40"/>
        <v>-4.9033746755119401E-3</v>
      </c>
      <c r="K658" s="484">
        <f t="shared" si="41"/>
        <v>3.8223732460600512E-3</v>
      </c>
    </row>
    <row r="659" spans="1:11" x14ac:dyDescent="0.35">
      <c r="A659" s="490">
        <v>44346</v>
      </c>
      <c r="B659" s="491">
        <v>345</v>
      </c>
      <c r="C659" s="483">
        <f t="shared" si="42"/>
        <v>-4.9033746755119401E-3</v>
      </c>
      <c r="E659" s="492">
        <v>44346</v>
      </c>
      <c r="F659" s="493">
        <v>6008.69</v>
      </c>
      <c r="G659" s="484">
        <f t="shared" si="43"/>
        <v>3.8223732460600512E-3</v>
      </c>
      <c r="J659" s="483">
        <f t="shared" si="40"/>
        <v>1.641747288185269E-2</v>
      </c>
      <c r="K659" s="484">
        <f t="shared" si="41"/>
        <v>1.7168016476401871E-2</v>
      </c>
    </row>
    <row r="660" spans="1:11" x14ac:dyDescent="0.35">
      <c r="A660" s="490">
        <v>44343</v>
      </c>
      <c r="B660" s="491">
        <v>346.7</v>
      </c>
      <c r="C660" s="483">
        <f t="shared" si="42"/>
        <v>1.641747288185269E-2</v>
      </c>
      <c r="E660" s="492">
        <v>44343</v>
      </c>
      <c r="F660" s="493">
        <v>5985.81</v>
      </c>
      <c r="G660" s="484">
        <f t="shared" si="43"/>
        <v>1.7168016476401871E-2</v>
      </c>
      <c r="J660" s="483">
        <f t="shared" si="40"/>
        <v>-5.8292043136112248E-3</v>
      </c>
      <c r="K660" s="484">
        <f t="shared" si="41"/>
        <v>7.1659498434855085E-3</v>
      </c>
    </row>
    <row r="661" spans="1:11" x14ac:dyDescent="0.35">
      <c r="A661" s="490">
        <v>44341</v>
      </c>
      <c r="B661" s="491">
        <v>341.1</v>
      </c>
      <c r="C661" s="483">
        <f t="shared" si="42"/>
        <v>-5.8292043136112248E-3</v>
      </c>
      <c r="E661" s="492">
        <v>44341</v>
      </c>
      <c r="F661" s="493">
        <v>5884.78</v>
      </c>
      <c r="G661" s="484">
        <f t="shared" si="43"/>
        <v>7.1659498434855085E-3</v>
      </c>
      <c r="J661" s="483">
        <f t="shared" si="40"/>
        <v>9.1176470588236747E-3</v>
      </c>
      <c r="K661" s="484">
        <f t="shared" si="41"/>
        <v>9.5583826774183756E-3</v>
      </c>
    </row>
    <row r="662" spans="1:11" x14ac:dyDescent="0.35">
      <c r="A662" s="490">
        <v>44340</v>
      </c>
      <c r="B662" s="491">
        <v>343.1</v>
      </c>
      <c r="C662" s="483">
        <f t="shared" si="42"/>
        <v>9.1176470588236747E-3</v>
      </c>
      <c r="E662" s="492">
        <v>44340</v>
      </c>
      <c r="F662" s="493">
        <v>5842.91</v>
      </c>
      <c r="G662" s="484">
        <f t="shared" si="43"/>
        <v>9.5583826774183756E-3</v>
      </c>
      <c r="J662" s="483">
        <f t="shared" si="40"/>
        <v>2.6540843409024184E-3</v>
      </c>
      <c r="K662" s="484">
        <f t="shared" si="41"/>
        <v>-4.3815133509718107E-3</v>
      </c>
    </row>
    <row r="663" spans="1:11" x14ac:dyDescent="0.35">
      <c r="A663" s="490">
        <v>44339</v>
      </c>
      <c r="B663" s="491">
        <v>340</v>
      </c>
      <c r="C663" s="483">
        <f t="shared" si="42"/>
        <v>2.6540843409024184E-3</v>
      </c>
      <c r="E663" s="492">
        <v>44339</v>
      </c>
      <c r="F663" s="493">
        <v>5787.59</v>
      </c>
      <c r="G663" s="484">
        <f t="shared" si="43"/>
        <v>-4.3815133509718107E-3</v>
      </c>
      <c r="J663" s="483">
        <f t="shared" si="40"/>
        <v>-1.0215995329830752E-2</v>
      </c>
      <c r="K663" s="484">
        <f t="shared" si="41"/>
        <v>-1.0227936381452474E-2</v>
      </c>
    </row>
    <row r="664" spans="1:11" x14ac:dyDescent="0.35">
      <c r="A664" s="490">
        <v>44336</v>
      </c>
      <c r="B664" s="491">
        <v>339.1</v>
      </c>
      <c r="C664" s="483">
        <f t="shared" si="42"/>
        <v>-1.0215995329830752E-2</v>
      </c>
      <c r="E664" s="492">
        <v>44336</v>
      </c>
      <c r="F664" s="493">
        <v>5813.06</v>
      </c>
      <c r="G664" s="484">
        <f t="shared" si="43"/>
        <v>-1.0227936381452474E-2</v>
      </c>
      <c r="J664" s="483">
        <f t="shared" si="40"/>
        <v>-4.0697674418603835E-3</v>
      </c>
      <c r="K664" s="484">
        <f t="shared" si="41"/>
        <v>7.5310118145965887E-3</v>
      </c>
    </row>
    <row r="665" spans="1:11" x14ac:dyDescent="0.35">
      <c r="A665" s="490">
        <v>44335</v>
      </c>
      <c r="B665" s="491">
        <v>342.6</v>
      </c>
      <c r="C665" s="483">
        <f t="shared" si="42"/>
        <v>-4.0697674418603835E-3</v>
      </c>
      <c r="E665" s="492">
        <v>44335</v>
      </c>
      <c r="F665" s="493">
        <v>5873.13</v>
      </c>
      <c r="G665" s="484">
        <f t="shared" si="43"/>
        <v>7.5310118145965887E-3</v>
      </c>
      <c r="J665" s="483">
        <f t="shared" si="40"/>
        <v>-5.8105752469495009E-4</v>
      </c>
      <c r="K665" s="484">
        <f t="shared" si="41"/>
        <v>-1.8578512623115273E-3</v>
      </c>
    </row>
    <row r="666" spans="1:11" x14ac:dyDescent="0.35">
      <c r="A666" s="490">
        <v>44334</v>
      </c>
      <c r="B666" s="491">
        <v>344</v>
      </c>
      <c r="C666" s="483">
        <f t="shared" si="42"/>
        <v>-5.8105752469495009E-4</v>
      </c>
      <c r="E666" s="492">
        <v>44334</v>
      </c>
      <c r="F666" s="493">
        <v>5829.23</v>
      </c>
      <c r="G666" s="484">
        <f t="shared" si="43"/>
        <v>-1.8578512623115273E-3</v>
      </c>
      <c r="J666" s="483">
        <f t="shared" si="40"/>
        <v>2.329644729178737E-3</v>
      </c>
      <c r="K666" s="484">
        <f t="shared" si="41"/>
        <v>4.6308720214134347E-3</v>
      </c>
    </row>
    <row r="667" spans="1:11" x14ac:dyDescent="0.35">
      <c r="A667" s="490">
        <v>44333</v>
      </c>
      <c r="B667" s="491">
        <v>344.2</v>
      </c>
      <c r="C667" s="483">
        <f t="shared" si="42"/>
        <v>2.329644729178737E-3</v>
      </c>
      <c r="E667" s="492">
        <v>44333</v>
      </c>
      <c r="F667" s="493">
        <v>5840.08</v>
      </c>
      <c r="G667" s="484">
        <f t="shared" si="43"/>
        <v>4.6308720214134347E-3</v>
      </c>
      <c r="J667" s="483">
        <f t="shared" si="40"/>
        <v>-9.2325447201385691E-3</v>
      </c>
      <c r="K667" s="484">
        <f t="shared" si="41"/>
        <v>1.089820171846223E-2</v>
      </c>
    </row>
    <row r="668" spans="1:11" x14ac:dyDescent="0.35">
      <c r="A668" s="490">
        <v>44332</v>
      </c>
      <c r="B668" s="491">
        <v>343.4</v>
      </c>
      <c r="C668" s="483">
        <f t="shared" si="42"/>
        <v>-9.2325447201385691E-3</v>
      </c>
      <c r="E668" s="492">
        <v>44332</v>
      </c>
      <c r="F668" s="493">
        <v>5813.16</v>
      </c>
      <c r="G668" s="484">
        <f t="shared" si="43"/>
        <v>1.089820171846223E-2</v>
      </c>
      <c r="J668" s="483">
        <f t="shared" si="40"/>
        <v>1.1554015020220909E-3</v>
      </c>
      <c r="K668" s="484">
        <f t="shared" si="41"/>
        <v>4.5647024296167071E-3</v>
      </c>
    </row>
    <row r="669" spans="1:11" x14ac:dyDescent="0.35">
      <c r="A669" s="490">
        <v>44328</v>
      </c>
      <c r="B669" s="491">
        <v>346.6</v>
      </c>
      <c r="C669" s="483">
        <f t="shared" si="42"/>
        <v>1.1554015020220909E-3</v>
      </c>
      <c r="E669" s="492">
        <v>44328</v>
      </c>
      <c r="F669" s="493">
        <v>5750.49</v>
      </c>
      <c r="G669" s="484">
        <f t="shared" si="43"/>
        <v>4.5647024296167071E-3</v>
      </c>
      <c r="J669" s="483">
        <f t="shared" si="40"/>
        <v>2.2143489813994721E-2</v>
      </c>
      <c r="K669" s="484">
        <f t="shared" si="41"/>
        <v>1.3934523503770224E-2</v>
      </c>
    </row>
    <row r="670" spans="1:11" x14ac:dyDescent="0.35">
      <c r="A670" s="490">
        <v>44327</v>
      </c>
      <c r="B670" s="491">
        <v>346.2</v>
      </c>
      <c r="C670" s="483">
        <f t="shared" si="42"/>
        <v>2.2143489813994721E-2</v>
      </c>
      <c r="E670" s="492">
        <v>44327</v>
      </c>
      <c r="F670" s="493">
        <v>5724.36</v>
      </c>
      <c r="G670" s="484">
        <f t="shared" si="43"/>
        <v>1.3934523503770224E-2</v>
      </c>
      <c r="J670" s="483">
        <f t="shared" si="40"/>
        <v>1.6506602641056523E-2</v>
      </c>
      <c r="K670" s="484">
        <f t="shared" si="41"/>
        <v>7.0781179484160628E-3</v>
      </c>
    </row>
    <row r="671" spans="1:11" x14ac:dyDescent="0.35">
      <c r="A671" s="490">
        <v>44325</v>
      </c>
      <c r="B671" s="491">
        <v>338.7</v>
      </c>
      <c r="C671" s="483">
        <f t="shared" si="42"/>
        <v>1.6506602641056523E-2</v>
      </c>
      <c r="E671" s="492">
        <v>44325</v>
      </c>
      <c r="F671" s="493">
        <v>5645.69</v>
      </c>
      <c r="G671" s="484">
        <f t="shared" si="43"/>
        <v>7.0781179484160628E-3</v>
      </c>
      <c r="J671" s="483">
        <f t="shared" si="40"/>
        <v>-4.4816253361219527E-3</v>
      </c>
      <c r="K671" s="484">
        <f t="shared" si="41"/>
        <v>3.0739886523656335E-3</v>
      </c>
    </row>
    <row r="672" spans="1:11" x14ac:dyDescent="0.35">
      <c r="A672" s="490">
        <v>44322</v>
      </c>
      <c r="B672" s="491">
        <v>333.2</v>
      </c>
      <c r="C672" s="483">
        <f t="shared" si="42"/>
        <v>-4.4816253361219527E-3</v>
      </c>
      <c r="E672" s="492">
        <v>44322</v>
      </c>
      <c r="F672" s="493">
        <v>5606.01</v>
      </c>
      <c r="G672" s="484">
        <f t="shared" si="43"/>
        <v>3.0739886523656335E-3</v>
      </c>
      <c r="J672" s="483">
        <f t="shared" si="40"/>
        <v>-6.8249258160237858E-3</v>
      </c>
      <c r="K672" s="484">
        <f t="shared" si="41"/>
        <v>9.6378272525599051E-3</v>
      </c>
    </row>
    <row r="673" spans="1:11" x14ac:dyDescent="0.35">
      <c r="A673" s="490">
        <v>44321</v>
      </c>
      <c r="B673" s="491">
        <v>334.7</v>
      </c>
      <c r="C673" s="483">
        <f t="shared" si="42"/>
        <v>-6.8249258160237858E-3</v>
      </c>
      <c r="E673" s="492">
        <v>44321</v>
      </c>
      <c r="F673" s="493">
        <v>5588.83</v>
      </c>
      <c r="G673" s="484">
        <f t="shared" si="43"/>
        <v>9.6378272525599051E-3</v>
      </c>
      <c r="J673" s="483">
        <f t="shared" si="40"/>
        <v>-7.3637702503681624E-3</v>
      </c>
      <c r="K673" s="484">
        <f t="shared" si="41"/>
        <v>4.3764152586656113E-3</v>
      </c>
    </row>
    <row r="674" spans="1:11" x14ac:dyDescent="0.35">
      <c r="A674" s="490">
        <v>44320</v>
      </c>
      <c r="B674" s="491">
        <v>337</v>
      </c>
      <c r="C674" s="483">
        <f t="shared" si="42"/>
        <v>-7.3637702503681624E-3</v>
      </c>
      <c r="E674" s="492">
        <v>44320</v>
      </c>
      <c r="F674" s="493">
        <v>5535.48</v>
      </c>
      <c r="G674" s="484">
        <f t="shared" si="43"/>
        <v>4.3764152586656113E-3</v>
      </c>
      <c r="J674" s="483">
        <f t="shared" si="40"/>
        <v>-4.3988269794721369E-3</v>
      </c>
      <c r="K674" s="484">
        <f t="shared" si="41"/>
        <v>-1.0241054484223522E-3</v>
      </c>
    </row>
    <row r="675" spans="1:11" x14ac:dyDescent="0.35">
      <c r="A675" s="490">
        <v>44319</v>
      </c>
      <c r="B675" s="491">
        <v>339.5</v>
      </c>
      <c r="C675" s="483">
        <f t="shared" si="42"/>
        <v>-4.3988269794721369E-3</v>
      </c>
      <c r="E675" s="492">
        <v>44319</v>
      </c>
      <c r="F675" s="493">
        <v>5511.36</v>
      </c>
      <c r="G675" s="484">
        <f t="shared" si="43"/>
        <v>-1.0241054484223522E-3</v>
      </c>
      <c r="J675" s="483">
        <f t="shared" si="40"/>
        <v>5.8997050147493457E-3</v>
      </c>
      <c r="K675" s="484">
        <f t="shared" si="41"/>
        <v>6.8253032606335751E-3</v>
      </c>
    </row>
    <row r="676" spans="1:11" x14ac:dyDescent="0.35">
      <c r="A676" s="490">
        <v>44318</v>
      </c>
      <c r="B676" s="491">
        <v>341</v>
      </c>
      <c r="C676" s="483">
        <f t="shared" si="42"/>
        <v>5.8997050147493457E-3</v>
      </c>
      <c r="E676" s="492">
        <v>44318</v>
      </c>
      <c r="F676" s="493">
        <v>5517.01</v>
      </c>
      <c r="G676" s="484">
        <f t="shared" si="43"/>
        <v>6.8253032606335751E-3</v>
      </c>
      <c r="J676" s="483">
        <f t="shared" si="40"/>
        <v>-2.3543260741613059E-3</v>
      </c>
      <c r="K676" s="484">
        <f t="shared" si="41"/>
        <v>3.3453328304042795E-3</v>
      </c>
    </row>
    <row r="677" spans="1:11" x14ac:dyDescent="0.35">
      <c r="A677" s="490">
        <v>44315</v>
      </c>
      <c r="B677" s="491">
        <v>339</v>
      </c>
      <c r="C677" s="483">
        <f t="shared" si="42"/>
        <v>-2.3543260741613059E-3</v>
      </c>
      <c r="E677" s="492">
        <v>44315</v>
      </c>
      <c r="F677" s="493">
        <v>5479.61</v>
      </c>
      <c r="G677" s="484">
        <f t="shared" si="43"/>
        <v>3.3453328304042795E-3</v>
      </c>
      <c r="J677" s="483">
        <f t="shared" si="40"/>
        <v>2.9515938606847758E-3</v>
      </c>
      <c r="K677" s="484">
        <f t="shared" si="41"/>
        <v>7.1850368288464139E-3</v>
      </c>
    </row>
    <row r="678" spans="1:11" x14ac:dyDescent="0.35">
      <c r="A678" s="490">
        <v>44314</v>
      </c>
      <c r="B678" s="491">
        <v>339.8</v>
      </c>
      <c r="C678" s="483">
        <f t="shared" si="42"/>
        <v>2.9515938606847758E-3</v>
      </c>
      <c r="E678" s="492">
        <v>44314</v>
      </c>
      <c r="F678" s="493">
        <v>5461.34</v>
      </c>
      <c r="G678" s="484">
        <f t="shared" si="43"/>
        <v>7.1850368288464139E-3</v>
      </c>
      <c r="J678" s="483">
        <f t="shared" si="40"/>
        <v>-4.1152263374485409E-3</v>
      </c>
      <c r="K678" s="484">
        <f t="shared" si="41"/>
        <v>-1.1571567630234703E-2</v>
      </c>
    </row>
    <row r="679" spans="1:11" x14ac:dyDescent="0.35">
      <c r="A679" s="490">
        <v>44313</v>
      </c>
      <c r="B679" s="491">
        <v>338.8</v>
      </c>
      <c r="C679" s="483">
        <f t="shared" si="42"/>
        <v>-4.1152263374485409E-3</v>
      </c>
      <c r="E679" s="492">
        <v>44313</v>
      </c>
      <c r="F679" s="493">
        <v>5422.38</v>
      </c>
      <c r="G679" s="484">
        <f t="shared" si="43"/>
        <v>-1.1571567630234703E-2</v>
      </c>
      <c r="J679" s="483">
        <f t="shared" si="40"/>
        <v>2.9481132075470651E-3</v>
      </c>
      <c r="K679" s="484">
        <f t="shared" si="41"/>
        <v>-2.2461855767604844E-3</v>
      </c>
    </row>
    <row r="680" spans="1:11" x14ac:dyDescent="0.35">
      <c r="A680" s="490">
        <v>44312</v>
      </c>
      <c r="B680" s="491">
        <v>340.2</v>
      </c>
      <c r="C680" s="483">
        <f t="shared" si="42"/>
        <v>2.9481132075470651E-3</v>
      </c>
      <c r="E680" s="492">
        <v>44312</v>
      </c>
      <c r="F680" s="493">
        <v>5485.86</v>
      </c>
      <c r="G680" s="484">
        <f t="shared" si="43"/>
        <v>-2.2461855767604844E-3</v>
      </c>
      <c r="J680" s="483">
        <f t="shared" si="40"/>
        <v>6.5281899109792541E-3</v>
      </c>
      <c r="K680" s="484">
        <f t="shared" si="41"/>
        <v>1.162459084862455E-2</v>
      </c>
    </row>
    <row r="681" spans="1:11" x14ac:dyDescent="0.35">
      <c r="A681" s="490">
        <v>44311</v>
      </c>
      <c r="B681" s="491">
        <v>339.2</v>
      </c>
      <c r="C681" s="483">
        <f t="shared" si="42"/>
        <v>6.5281899109792541E-3</v>
      </c>
      <c r="E681" s="492">
        <v>44311</v>
      </c>
      <c r="F681" s="493">
        <v>5498.21</v>
      </c>
      <c r="G681" s="484">
        <f t="shared" si="43"/>
        <v>1.162459084862455E-2</v>
      </c>
      <c r="J681" s="483">
        <f t="shared" si="40"/>
        <v>2.9682398337782523E-4</v>
      </c>
      <c r="K681" s="484">
        <f t="shared" si="41"/>
        <v>2.177673042952355E-3</v>
      </c>
    </row>
    <row r="682" spans="1:11" x14ac:dyDescent="0.35">
      <c r="A682" s="490">
        <v>44308</v>
      </c>
      <c r="B682" s="491">
        <v>337</v>
      </c>
      <c r="C682" s="483">
        <f t="shared" si="42"/>
        <v>2.9682398337782523E-4</v>
      </c>
      <c r="E682" s="492">
        <v>44308</v>
      </c>
      <c r="F682" s="493">
        <v>5435.03</v>
      </c>
      <c r="G682" s="484">
        <f t="shared" si="43"/>
        <v>2.177673042952355E-3</v>
      </c>
      <c r="J682" s="483">
        <f t="shared" si="40"/>
        <v>-7.3659398939304177E-3</v>
      </c>
      <c r="K682" s="484">
        <f t="shared" si="41"/>
        <v>2.6559543175874722E-4</v>
      </c>
    </row>
    <row r="683" spans="1:11" x14ac:dyDescent="0.35">
      <c r="A683" s="490">
        <v>44307</v>
      </c>
      <c r="B683" s="491">
        <v>336.9</v>
      </c>
      <c r="C683" s="483">
        <f t="shared" si="42"/>
        <v>-7.3659398939304177E-3</v>
      </c>
      <c r="E683" s="492">
        <v>44307</v>
      </c>
      <c r="F683" s="493">
        <v>5423.22</v>
      </c>
      <c r="G683" s="484">
        <f t="shared" si="43"/>
        <v>2.6559543175874722E-4</v>
      </c>
      <c r="J683" s="483">
        <f t="shared" si="40"/>
        <v>-1.3085199185809859E-2</v>
      </c>
      <c r="K683" s="484">
        <f t="shared" si="41"/>
        <v>1.3433870850163787E-2</v>
      </c>
    </row>
    <row r="684" spans="1:11" x14ac:dyDescent="0.35">
      <c r="A684" s="490">
        <v>44306</v>
      </c>
      <c r="B684" s="491">
        <v>339.4</v>
      </c>
      <c r="C684" s="483">
        <f t="shared" si="42"/>
        <v>-1.3085199185809859E-2</v>
      </c>
      <c r="E684" s="492">
        <v>44306</v>
      </c>
      <c r="F684" s="493">
        <v>5421.78</v>
      </c>
      <c r="G684" s="484">
        <f t="shared" si="43"/>
        <v>1.3433870850163787E-2</v>
      </c>
      <c r="J684" s="483">
        <f t="shared" si="40"/>
        <v>5.5555555555555358E-3</v>
      </c>
      <c r="K684" s="484">
        <f t="shared" si="41"/>
        <v>3.4681191877585782E-3</v>
      </c>
    </row>
    <row r="685" spans="1:11" x14ac:dyDescent="0.35">
      <c r="A685" s="490">
        <v>44305</v>
      </c>
      <c r="B685" s="491">
        <v>343.9</v>
      </c>
      <c r="C685" s="483">
        <f t="shared" si="42"/>
        <v>5.5555555555555358E-3</v>
      </c>
      <c r="E685" s="492">
        <v>44305</v>
      </c>
      <c r="F685" s="493">
        <v>5349.91</v>
      </c>
      <c r="G685" s="484">
        <f t="shared" si="43"/>
        <v>3.4681191877585782E-3</v>
      </c>
      <c r="J685" s="483">
        <f t="shared" si="40"/>
        <v>1.1235955056179803E-2</v>
      </c>
      <c r="K685" s="484">
        <f t="shared" si="41"/>
        <v>3.9998644113758974E-3</v>
      </c>
    </row>
    <row r="686" spans="1:11" x14ac:dyDescent="0.35">
      <c r="A686" s="490">
        <v>44304</v>
      </c>
      <c r="B686" s="491">
        <v>342</v>
      </c>
      <c r="C686" s="483">
        <f t="shared" si="42"/>
        <v>1.1235955056179803E-2</v>
      </c>
      <c r="E686" s="492">
        <v>44304</v>
      </c>
      <c r="F686" s="493">
        <v>5331.42</v>
      </c>
      <c r="G686" s="484">
        <f t="shared" si="43"/>
        <v>3.9998644113758974E-3</v>
      </c>
      <c r="J686" s="483">
        <f t="shared" si="40"/>
        <v>9.2509698597431633E-3</v>
      </c>
      <c r="K686" s="484">
        <f t="shared" si="41"/>
        <v>9.827897689455245E-3</v>
      </c>
    </row>
    <row r="687" spans="1:11" x14ac:dyDescent="0.35">
      <c r="A687" s="490">
        <v>44301</v>
      </c>
      <c r="B687" s="491">
        <v>338.2</v>
      </c>
      <c r="C687" s="483">
        <f t="shared" si="42"/>
        <v>9.2509698597431633E-3</v>
      </c>
      <c r="E687" s="492">
        <v>44301</v>
      </c>
      <c r="F687" s="493">
        <v>5310.18</v>
      </c>
      <c r="G687" s="484">
        <f t="shared" si="43"/>
        <v>9.827897689455245E-3</v>
      </c>
      <c r="J687" s="483">
        <f t="shared" si="40"/>
        <v>1.2080942313500431E-2</v>
      </c>
      <c r="K687" s="484">
        <f t="shared" si="41"/>
        <v>1.3536304008850752E-2</v>
      </c>
    </row>
    <row r="688" spans="1:11" x14ac:dyDescent="0.35">
      <c r="A688" s="490">
        <v>44299</v>
      </c>
      <c r="B688" s="491">
        <v>335.1</v>
      </c>
      <c r="C688" s="483">
        <f t="shared" si="42"/>
        <v>1.2080942313500431E-2</v>
      </c>
      <c r="E688" s="492">
        <v>44299</v>
      </c>
      <c r="F688" s="493">
        <v>5258.5</v>
      </c>
      <c r="G688" s="484">
        <f t="shared" si="43"/>
        <v>1.3536304008850752E-2</v>
      </c>
      <c r="J688" s="483">
        <f t="shared" si="40"/>
        <v>1.3157894736842035E-2</v>
      </c>
      <c r="K688" s="484">
        <f t="shared" si="41"/>
        <v>4.5656176847015395E-3</v>
      </c>
    </row>
    <row r="689" spans="1:11" x14ac:dyDescent="0.35">
      <c r="A689" s="490">
        <v>44298</v>
      </c>
      <c r="B689" s="491">
        <v>331.1</v>
      </c>
      <c r="C689" s="483">
        <f t="shared" si="42"/>
        <v>1.3157894736842035E-2</v>
      </c>
      <c r="E689" s="492">
        <v>44298</v>
      </c>
      <c r="F689" s="493">
        <v>5188.2700000000004</v>
      </c>
      <c r="G689" s="484">
        <f t="shared" si="43"/>
        <v>4.5656176847015395E-3</v>
      </c>
      <c r="J689" s="483">
        <f t="shared" si="40"/>
        <v>-2.0383693045563533E-2</v>
      </c>
      <c r="K689" s="484">
        <f t="shared" si="41"/>
        <v>-1.7142520034178599E-2</v>
      </c>
    </row>
    <row r="690" spans="1:11" x14ac:dyDescent="0.35">
      <c r="A690" s="490">
        <v>44297</v>
      </c>
      <c r="B690" s="491">
        <v>326.8</v>
      </c>
      <c r="C690" s="483">
        <f t="shared" si="42"/>
        <v>-2.0383693045563533E-2</v>
      </c>
      <c r="E690" s="492">
        <v>44297</v>
      </c>
      <c r="F690" s="493">
        <v>5164.6899999999996</v>
      </c>
      <c r="G690" s="484">
        <f t="shared" si="43"/>
        <v>-1.7142520034178599E-2</v>
      </c>
      <c r="J690" s="483">
        <f t="shared" si="40"/>
        <v>-4.7732696897373472E-3</v>
      </c>
      <c r="K690" s="484">
        <f t="shared" si="41"/>
        <v>-1.5468408361483998E-2</v>
      </c>
    </row>
    <row r="691" spans="1:11" x14ac:dyDescent="0.35">
      <c r="A691" s="490">
        <v>44294</v>
      </c>
      <c r="B691" s="491">
        <v>333.6</v>
      </c>
      <c r="C691" s="483">
        <f t="shared" si="42"/>
        <v>-4.7732696897373472E-3</v>
      </c>
      <c r="E691" s="492">
        <v>44294</v>
      </c>
      <c r="F691" s="493">
        <v>5254.77</v>
      </c>
      <c r="G691" s="484">
        <f t="shared" si="43"/>
        <v>-1.5468408361483998E-2</v>
      </c>
      <c r="J691" s="483">
        <f t="shared" si="40"/>
        <v>1.1466505733252808E-2</v>
      </c>
      <c r="K691" s="484">
        <f t="shared" si="41"/>
        <v>1.059573557618565E-2</v>
      </c>
    </row>
    <row r="692" spans="1:11" x14ac:dyDescent="0.35">
      <c r="A692" s="490">
        <v>44293</v>
      </c>
      <c r="B692" s="491">
        <v>335.2</v>
      </c>
      <c r="C692" s="483">
        <f t="shared" si="42"/>
        <v>1.1466505733252808E-2</v>
      </c>
      <c r="E692" s="492">
        <v>44293</v>
      </c>
      <c r="F692" s="493">
        <v>5337.33</v>
      </c>
      <c r="G692" s="484">
        <f t="shared" si="43"/>
        <v>1.059573557618565E-2</v>
      </c>
      <c r="J692" s="483">
        <f t="shared" si="40"/>
        <v>3.6596809508914641E-2</v>
      </c>
      <c r="K692" s="484">
        <f t="shared" si="41"/>
        <v>2.0065746270386375E-2</v>
      </c>
    </row>
    <row r="693" spans="1:11" x14ac:dyDescent="0.35">
      <c r="A693" s="490">
        <v>44292</v>
      </c>
      <c r="B693" s="491">
        <v>331.4</v>
      </c>
      <c r="C693" s="483">
        <f t="shared" si="42"/>
        <v>3.6596809508914641E-2</v>
      </c>
      <c r="E693" s="492">
        <v>44292</v>
      </c>
      <c r="F693" s="493">
        <v>5281.37</v>
      </c>
      <c r="G693" s="484">
        <f t="shared" si="43"/>
        <v>2.0065746270386375E-2</v>
      </c>
      <c r="J693" s="483">
        <f t="shared" si="40"/>
        <v>1.8802883108741675E-3</v>
      </c>
      <c r="K693" s="484">
        <f t="shared" si="41"/>
        <v>1.7390518335697935E-2</v>
      </c>
    </row>
    <row r="694" spans="1:11" x14ac:dyDescent="0.35">
      <c r="A694" s="490">
        <v>44291</v>
      </c>
      <c r="B694" s="491">
        <v>319.7</v>
      </c>
      <c r="C694" s="483">
        <f t="shared" si="42"/>
        <v>1.8802883108741675E-3</v>
      </c>
      <c r="E694" s="492">
        <v>44291</v>
      </c>
      <c r="F694" s="493">
        <v>5177.4799999999996</v>
      </c>
      <c r="G694" s="484">
        <f t="shared" si="43"/>
        <v>1.7390518335697935E-2</v>
      </c>
      <c r="J694" s="483">
        <f t="shared" si="40"/>
        <v>-1.9662058371735736E-2</v>
      </c>
      <c r="K694" s="484">
        <f t="shared" si="41"/>
        <v>-3.4446251136033834E-2</v>
      </c>
    </row>
    <row r="695" spans="1:11" x14ac:dyDescent="0.35">
      <c r="A695" s="490">
        <v>44290</v>
      </c>
      <c r="B695" s="491">
        <v>319.10000000000002</v>
      </c>
      <c r="C695" s="483">
        <f t="shared" si="42"/>
        <v>-1.9662058371735736E-2</v>
      </c>
      <c r="E695" s="492">
        <v>44290</v>
      </c>
      <c r="F695" s="493">
        <v>5088.9799999999996</v>
      </c>
      <c r="G695" s="484">
        <f t="shared" si="43"/>
        <v>-3.4446251136033834E-2</v>
      </c>
      <c r="J695" s="483">
        <f t="shared" si="40"/>
        <v>-9.1324200913242004E-3</v>
      </c>
      <c r="K695" s="484">
        <f t="shared" si="41"/>
        <v>-1.4455795201357979E-3</v>
      </c>
    </row>
    <row r="696" spans="1:11" x14ac:dyDescent="0.35">
      <c r="A696" s="490">
        <v>44287</v>
      </c>
      <c r="B696" s="491">
        <v>325.5</v>
      </c>
      <c r="C696" s="483">
        <f t="shared" si="42"/>
        <v>-9.1324200913242004E-3</v>
      </c>
      <c r="E696" s="492">
        <v>44287</v>
      </c>
      <c r="F696" s="493">
        <v>5270.53</v>
      </c>
      <c r="G696" s="484">
        <f t="shared" si="43"/>
        <v>-1.4455795201357979E-3</v>
      </c>
      <c r="J696" s="483">
        <f t="shared" si="40"/>
        <v>-2.3774145616641928E-2</v>
      </c>
      <c r="K696" s="484">
        <f t="shared" si="41"/>
        <v>-1.7673158239533082E-2</v>
      </c>
    </row>
    <row r="697" spans="1:11" x14ac:dyDescent="0.35">
      <c r="A697" s="490">
        <v>44286</v>
      </c>
      <c r="B697" s="491">
        <v>328.5</v>
      </c>
      <c r="C697" s="483">
        <f t="shared" si="42"/>
        <v>-2.3774145616641928E-2</v>
      </c>
      <c r="E697" s="492">
        <v>44286</v>
      </c>
      <c r="F697" s="493">
        <v>5278.16</v>
      </c>
      <c r="G697" s="484">
        <f t="shared" si="43"/>
        <v>-1.7673158239533082E-2</v>
      </c>
      <c r="J697" s="483">
        <f t="shared" si="40"/>
        <v>-3.5534498075214804E-3</v>
      </c>
      <c r="K697" s="484">
        <f t="shared" si="41"/>
        <v>8.6180195637115542E-3</v>
      </c>
    </row>
    <row r="698" spans="1:11" x14ac:dyDescent="0.35">
      <c r="A698" s="490">
        <v>44284</v>
      </c>
      <c r="B698" s="491">
        <v>336.5</v>
      </c>
      <c r="C698" s="483">
        <f t="shared" si="42"/>
        <v>-3.5534498075214804E-3</v>
      </c>
      <c r="E698" s="492">
        <v>44284</v>
      </c>
      <c r="F698" s="493">
        <v>5373.12</v>
      </c>
      <c r="G698" s="484">
        <f t="shared" si="43"/>
        <v>8.6180195637115542E-3</v>
      </c>
      <c r="J698" s="483">
        <f t="shared" si="40"/>
        <v>-5.5948174322734134E-3</v>
      </c>
      <c r="K698" s="484">
        <f t="shared" si="41"/>
        <v>-5.459539372472122E-4</v>
      </c>
    </row>
    <row r="699" spans="1:11" x14ac:dyDescent="0.35">
      <c r="A699" s="490">
        <v>44280</v>
      </c>
      <c r="B699" s="491">
        <v>337.7</v>
      </c>
      <c r="C699" s="483">
        <f t="shared" si="42"/>
        <v>-5.5948174322734134E-3</v>
      </c>
      <c r="E699" s="492">
        <v>44280</v>
      </c>
      <c r="F699" s="493">
        <v>5327.21</v>
      </c>
      <c r="G699" s="484">
        <f t="shared" si="43"/>
        <v>-5.459539372472122E-4</v>
      </c>
      <c r="J699" s="483">
        <f t="shared" si="40"/>
        <v>-6.4365125804564105E-3</v>
      </c>
      <c r="K699" s="484">
        <f t="shared" si="41"/>
        <v>-1.5444065367131277E-2</v>
      </c>
    </row>
    <row r="700" spans="1:11" x14ac:dyDescent="0.35">
      <c r="A700" s="490">
        <v>44279</v>
      </c>
      <c r="B700" s="491">
        <v>339.6</v>
      </c>
      <c r="C700" s="483">
        <f t="shared" si="42"/>
        <v>-6.4365125804564105E-3</v>
      </c>
      <c r="E700" s="492">
        <v>44279</v>
      </c>
      <c r="F700" s="493">
        <v>5330.12</v>
      </c>
      <c r="G700" s="484">
        <f t="shared" si="43"/>
        <v>-1.5444065367131277E-2</v>
      </c>
      <c r="J700" s="483">
        <f t="shared" si="40"/>
        <v>2.9265437518288806E-4</v>
      </c>
      <c r="K700" s="484">
        <f t="shared" si="41"/>
        <v>2.8454285603429774E-4</v>
      </c>
    </row>
    <row r="701" spans="1:11" x14ac:dyDescent="0.35">
      <c r="A701" s="490">
        <v>44278</v>
      </c>
      <c r="B701" s="491">
        <v>341.8</v>
      </c>
      <c r="C701" s="483">
        <f t="shared" si="42"/>
        <v>2.9265437518288806E-4</v>
      </c>
      <c r="E701" s="492">
        <v>44278</v>
      </c>
      <c r="F701" s="493">
        <v>5413.73</v>
      </c>
      <c r="G701" s="484">
        <f t="shared" si="43"/>
        <v>2.8454285603429774E-4</v>
      </c>
      <c r="J701" s="483">
        <f t="shared" si="40"/>
        <v>6.4801178203239829E-3</v>
      </c>
      <c r="K701" s="484">
        <f t="shared" si="41"/>
        <v>1.1667791325608246E-2</v>
      </c>
    </row>
    <row r="702" spans="1:11" x14ac:dyDescent="0.35">
      <c r="A702" s="490">
        <v>44277</v>
      </c>
      <c r="B702" s="491">
        <v>341.7</v>
      </c>
      <c r="C702" s="483">
        <f t="shared" si="42"/>
        <v>6.4801178203239829E-3</v>
      </c>
      <c r="E702" s="492">
        <v>44277</v>
      </c>
      <c r="F702" s="493">
        <v>5412.19</v>
      </c>
      <c r="G702" s="484">
        <f t="shared" si="43"/>
        <v>1.1667791325608246E-2</v>
      </c>
      <c r="J702" s="483">
        <f t="shared" si="40"/>
        <v>-1.3368206916594128E-2</v>
      </c>
      <c r="K702" s="484">
        <f t="shared" si="41"/>
        <v>-1.5625546259308121E-2</v>
      </c>
    </row>
    <row r="703" spans="1:11" x14ac:dyDescent="0.35">
      <c r="A703" s="490">
        <v>44276</v>
      </c>
      <c r="B703" s="491">
        <v>339.5</v>
      </c>
      <c r="C703" s="483">
        <f t="shared" si="42"/>
        <v>-1.3368206916594128E-2</v>
      </c>
      <c r="E703" s="492">
        <v>44276</v>
      </c>
      <c r="F703" s="493">
        <v>5349.77</v>
      </c>
      <c r="G703" s="484">
        <f t="shared" si="43"/>
        <v>-1.5625546259308121E-2</v>
      </c>
      <c r="J703" s="483">
        <f t="shared" si="40"/>
        <v>-4.0520984081041656E-3</v>
      </c>
      <c r="K703" s="484">
        <f t="shared" si="41"/>
        <v>-1.4812196359944907E-2</v>
      </c>
    </row>
    <row r="704" spans="1:11" x14ac:dyDescent="0.35">
      <c r="A704" s="490">
        <v>44273</v>
      </c>
      <c r="B704" s="491">
        <v>344.1</v>
      </c>
      <c r="C704" s="483">
        <f t="shared" si="42"/>
        <v>-4.0520984081041656E-3</v>
      </c>
      <c r="E704" s="492">
        <v>44273</v>
      </c>
      <c r="F704" s="493">
        <v>5434.69</v>
      </c>
      <c r="G704" s="484">
        <f t="shared" si="43"/>
        <v>-1.4812196359944907E-2</v>
      </c>
      <c r="J704" s="483">
        <f t="shared" si="40"/>
        <v>-3.748558246828182E-3</v>
      </c>
      <c r="K704" s="484">
        <f t="shared" si="41"/>
        <v>-2.9947749581148431E-3</v>
      </c>
    </row>
    <row r="705" spans="1:11" x14ac:dyDescent="0.35">
      <c r="A705" s="490">
        <v>44271</v>
      </c>
      <c r="B705" s="491">
        <v>345.5</v>
      </c>
      <c r="C705" s="483">
        <f t="shared" si="42"/>
        <v>-3.748558246828182E-3</v>
      </c>
      <c r="E705" s="492">
        <v>44271</v>
      </c>
      <c r="F705" s="493">
        <v>5516.4</v>
      </c>
      <c r="G705" s="484">
        <f t="shared" si="43"/>
        <v>-2.9947749581148431E-3</v>
      </c>
      <c r="J705" s="483">
        <f t="shared" si="40"/>
        <v>-6.0189165950127466E-3</v>
      </c>
      <c r="K705" s="484">
        <f t="shared" si="41"/>
        <v>2.504008769466326E-3</v>
      </c>
    </row>
    <row r="706" spans="1:11" x14ac:dyDescent="0.35">
      <c r="A706" s="490">
        <v>44270</v>
      </c>
      <c r="B706" s="491">
        <v>346.8</v>
      </c>
      <c r="C706" s="483">
        <f t="shared" si="42"/>
        <v>-6.0189165950127466E-3</v>
      </c>
      <c r="E706" s="492">
        <v>44270</v>
      </c>
      <c r="F706" s="493">
        <v>5532.97</v>
      </c>
      <c r="G706" s="484">
        <f t="shared" si="43"/>
        <v>2.504008769466326E-3</v>
      </c>
      <c r="J706" s="483">
        <f t="shared" si="40"/>
        <v>6.6358915175994682E-3</v>
      </c>
      <c r="K706" s="484">
        <f t="shared" si="41"/>
        <v>-8.9246433285149473E-3</v>
      </c>
    </row>
    <row r="707" spans="1:11" x14ac:dyDescent="0.35">
      <c r="A707" s="490">
        <v>44269</v>
      </c>
      <c r="B707" s="491">
        <v>348.9</v>
      </c>
      <c r="C707" s="483">
        <f t="shared" si="42"/>
        <v>6.6358915175994682E-3</v>
      </c>
      <c r="E707" s="492">
        <v>44269</v>
      </c>
      <c r="F707" s="493">
        <v>5519.15</v>
      </c>
      <c r="G707" s="484">
        <f t="shared" si="43"/>
        <v>-8.9246433285149473E-3</v>
      </c>
      <c r="J707" s="483">
        <f t="shared" ref="J707:J770" si="44">(B708/B709)-1</f>
        <v>2.8935185185186008E-3</v>
      </c>
      <c r="K707" s="484">
        <f t="shared" ref="K707:K770" si="45">(F708/F709)-1</f>
        <v>9.3283917421271845E-4</v>
      </c>
    </row>
    <row r="708" spans="1:11" x14ac:dyDescent="0.35">
      <c r="A708" s="490">
        <v>44266</v>
      </c>
      <c r="B708" s="491">
        <v>346.6</v>
      </c>
      <c r="C708" s="483">
        <f t="shared" ref="C708:C771" si="46">(B708/B709)-1</f>
        <v>2.8935185185186008E-3</v>
      </c>
      <c r="E708" s="492">
        <v>44266</v>
      </c>
      <c r="F708" s="493">
        <v>5568.85</v>
      </c>
      <c r="G708" s="484">
        <f t="shared" ref="G708:G771" si="47">(F708/F709)-1</f>
        <v>9.3283917421271845E-4</v>
      </c>
      <c r="J708" s="483">
        <f t="shared" si="44"/>
        <v>-1.0875787063537312E-2</v>
      </c>
      <c r="K708" s="484">
        <f t="shared" si="45"/>
        <v>-4.957631210899649E-3</v>
      </c>
    </row>
    <row r="709" spans="1:11" x14ac:dyDescent="0.35">
      <c r="A709" s="490">
        <v>44265</v>
      </c>
      <c r="B709" s="491">
        <v>345.6</v>
      </c>
      <c r="C709" s="483">
        <f t="shared" si="46"/>
        <v>-1.0875787063537312E-2</v>
      </c>
      <c r="E709" s="492">
        <v>44265</v>
      </c>
      <c r="F709" s="493">
        <v>5563.66</v>
      </c>
      <c r="G709" s="484">
        <f t="shared" si="47"/>
        <v>-4.957631210899649E-3</v>
      </c>
      <c r="J709" s="483">
        <f t="shared" si="44"/>
        <v>-8.2316207777463068E-3</v>
      </c>
      <c r="K709" s="484">
        <f t="shared" si="45"/>
        <v>-2.3196143016711579E-3</v>
      </c>
    </row>
    <row r="710" spans="1:11" x14ac:dyDescent="0.35">
      <c r="A710" s="490">
        <v>44264</v>
      </c>
      <c r="B710" s="491">
        <v>349.4</v>
      </c>
      <c r="C710" s="483">
        <f t="shared" si="46"/>
        <v>-8.2316207777463068E-3</v>
      </c>
      <c r="E710" s="492">
        <v>44264</v>
      </c>
      <c r="F710" s="493">
        <v>5591.38</v>
      </c>
      <c r="G710" s="484">
        <f t="shared" si="47"/>
        <v>-2.3196143016711579E-3</v>
      </c>
      <c r="J710" s="483">
        <f t="shared" si="44"/>
        <v>2.4723676556137386E-2</v>
      </c>
      <c r="K710" s="484">
        <f t="shared" si="45"/>
        <v>3.5975925319065016E-3</v>
      </c>
    </row>
    <row r="711" spans="1:11" x14ac:dyDescent="0.35">
      <c r="A711" s="490">
        <v>44263</v>
      </c>
      <c r="B711" s="491">
        <v>352.3</v>
      </c>
      <c r="C711" s="483">
        <f t="shared" si="46"/>
        <v>2.4723676556137386E-2</v>
      </c>
      <c r="E711" s="492">
        <v>44263</v>
      </c>
      <c r="F711" s="493">
        <v>5604.38</v>
      </c>
      <c r="G711" s="484">
        <f t="shared" si="47"/>
        <v>3.5975925319065016E-3</v>
      </c>
      <c r="J711" s="483">
        <f t="shared" si="44"/>
        <v>1.028504260946228E-2</v>
      </c>
      <c r="K711" s="484">
        <f t="shared" si="45"/>
        <v>1.2420727440180857E-2</v>
      </c>
    </row>
    <row r="712" spans="1:11" x14ac:dyDescent="0.35">
      <c r="A712" s="490">
        <v>44262</v>
      </c>
      <c r="B712" s="491">
        <v>343.8</v>
      </c>
      <c r="C712" s="483">
        <f t="shared" si="46"/>
        <v>1.028504260946228E-2</v>
      </c>
      <c r="E712" s="492">
        <v>44262</v>
      </c>
      <c r="F712" s="493">
        <v>5584.29</v>
      </c>
      <c r="G712" s="484">
        <f t="shared" si="47"/>
        <v>1.2420727440180857E-2</v>
      </c>
      <c r="J712" s="483">
        <f t="shared" si="44"/>
        <v>-2.3453532688361145E-3</v>
      </c>
      <c r="K712" s="484">
        <f t="shared" si="45"/>
        <v>5.0491338485114667E-3</v>
      </c>
    </row>
    <row r="713" spans="1:11" x14ac:dyDescent="0.35">
      <c r="A713" s="490">
        <v>44259</v>
      </c>
      <c r="B713" s="491">
        <v>340.3</v>
      </c>
      <c r="C713" s="483">
        <f t="shared" si="46"/>
        <v>-2.3453532688361145E-3</v>
      </c>
      <c r="E713" s="492">
        <v>44259</v>
      </c>
      <c r="F713" s="493">
        <v>5515.78</v>
      </c>
      <c r="G713" s="484">
        <f t="shared" si="47"/>
        <v>5.0491338485114667E-3</v>
      </c>
      <c r="J713" s="483">
        <f t="shared" si="44"/>
        <v>1.1740534194306651E-3</v>
      </c>
      <c r="K713" s="484">
        <f t="shared" si="45"/>
        <v>-3.6654043200575748E-3</v>
      </c>
    </row>
    <row r="714" spans="1:11" x14ac:dyDescent="0.35">
      <c r="A714" s="490">
        <v>44258</v>
      </c>
      <c r="B714" s="491">
        <v>341.1</v>
      </c>
      <c r="C714" s="483">
        <f t="shared" si="46"/>
        <v>1.1740534194306651E-3</v>
      </c>
      <c r="E714" s="492">
        <v>44258</v>
      </c>
      <c r="F714" s="493">
        <v>5488.07</v>
      </c>
      <c r="G714" s="484">
        <f t="shared" si="47"/>
        <v>-3.6654043200575748E-3</v>
      </c>
      <c r="J714" s="483">
        <f t="shared" si="44"/>
        <v>1.1880011880011976E-2</v>
      </c>
      <c r="K714" s="484">
        <f t="shared" si="45"/>
        <v>1.5006946978156632E-2</v>
      </c>
    </row>
    <row r="715" spans="1:11" x14ac:dyDescent="0.35">
      <c r="A715" s="490">
        <v>44257</v>
      </c>
      <c r="B715" s="491">
        <v>340.7</v>
      </c>
      <c r="C715" s="483">
        <f t="shared" si="46"/>
        <v>1.1880011880011976E-2</v>
      </c>
      <c r="E715" s="492">
        <v>44257</v>
      </c>
      <c r="F715" s="493">
        <v>5508.26</v>
      </c>
      <c r="G715" s="484">
        <f t="shared" si="47"/>
        <v>1.5006946978156632E-2</v>
      </c>
      <c r="J715" s="483">
        <f t="shared" si="44"/>
        <v>-4.7295300029560616E-3</v>
      </c>
      <c r="K715" s="484">
        <f t="shared" si="45"/>
        <v>4.0760140541999945E-3</v>
      </c>
    </row>
    <row r="716" spans="1:11" x14ac:dyDescent="0.35">
      <c r="A716" s="490">
        <v>44256</v>
      </c>
      <c r="B716" s="491">
        <v>336.7</v>
      </c>
      <c r="C716" s="483">
        <f t="shared" si="46"/>
        <v>-4.7295300029560616E-3</v>
      </c>
      <c r="E716" s="492">
        <v>44256</v>
      </c>
      <c r="F716" s="493">
        <v>5426.82</v>
      </c>
      <c r="G716" s="484">
        <f t="shared" si="47"/>
        <v>4.0760140541999945E-3</v>
      </c>
      <c r="J716" s="483">
        <f t="shared" si="44"/>
        <v>-1.4757969303423879E-3</v>
      </c>
      <c r="K716" s="484">
        <f t="shared" si="45"/>
        <v>-2.1416478503210046E-3</v>
      </c>
    </row>
    <row r="717" spans="1:11" x14ac:dyDescent="0.35">
      <c r="A717" s="490">
        <v>44255</v>
      </c>
      <c r="B717" s="491">
        <v>338.3</v>
      </c>
      <c r="C717" s="483">
        <f t="shared" si="46"/>
        <v>-1.4757969303423879E-3</v>
      </c>
      <c r="E717" s="492">
        <v>44255</v>
      </c>
      <c r="F717" s="493">
        <v>5404.79</v>
      </c>
      <c r="G717" s="484">
        <f t="shared" si="47"/>
        <v>-2.1416478503210046E-3</v>
      </c>
      <c r="J717" s="483">
        <f t="shared" si="44"/>
        <v>-8.1967213114754189E-3</v>
      </c>
      <c r="K717" s="484">
        <f t="shared" si="45"/>
        <v>5.7096278251052013E-3</v>
      </c>
    </row>
    <row r="718" spans="1:11" x14ac:dyDescent="0.35">
      <c r="A718" s="490">
        <v>44252</v>
      </c>
      <c r="B718" s="491">
        <v>338.8</v>
      </c>
      <c r="C718" s="483">
        <f t="shared" si="46"/>
        <v>-8.1967213114754189E-3</v>
      </c>
      <c r="E718" s="492">
        <v>44252</v>
      </c>
      <c r="F718" s="493">
        <v>5416.39</v>
      </c>
      <c r="G718" s="484">
        <f t="shared" si="47"/>
        <v>5.7096278251052013E-3</v>
      </c>
      <c r="J718" s="483">
        <f t="shared" si="44"/>
        <v>2.9359953024075125E-3</v>
      </c>
      <c r="K718" s="484">
        <f t="shared" si="45"/>
        <v>1.2774295702473459E-2</v>
      </c>
    </row>
    <row r="719" spans="1:11" x14ac:dyDescent="0.35">
      <c r="A719" s="490">
        <v>44251</v>
      </c>
      <c r="B719" s="491">
        <v>341.6</v>
      </c>
      <c r="C719" s="483">
        <f t="shared" si="46"/>
        <v>2.9359953024075125E-3</v>
      </c>
      <c r="E719" s="492">
        <v>44251</v>
      </c>
      <c r="F719" s="493">
        <v>5385.64</v>
      </c>
      <c r="G719" s="484">
        <f t="shared" si="47"/>
        <v>1.2774295702473459E-2</v>
      </c>
      <c r="J719" s="483">
        <f t="shared" si="44"/>
        <v>-8.731082654249156E-3</v>
      </c>
      <c r="K719" s="484">
        <f t="shared" si="45"/>
        <v>-1.2534330137543348E-2</v>
      </c>
    </row>
    <row r="720" spans="1:11" x14ac:dyDescent="0.35">
      <c r="A720" s="490">
        <v>44250</v>
      </c>
      <c r="B720" s="491">
        <v>340.6</v>
      </c>
      <c r="C720" s="483">
        <f t="shared" si="46"/>
        <v>-8.731082654249156E-3</v>
      </c>
      <c r="E720" s="492">
        <v>44250</v>
      </c>
      <c r="F720" s="493">
        <v>5317.71</v>
      </c>
      <c r="G720" s="484">
        <f t="shared" si="47"/>
        <v>-1.2534330137543348E-2</v>
      </c>
      <c r="J720" s="483">
        <f t="shared" si="44"/>
        <v>-3.0747531734837685E-2</v>
      </c>
      <c r="K720" s="484">
        <f t="shared" si="45"/>
        <v>-1.6576028400395848E-2</v>
      </c>
    </row>
    <row r="721" spans="1:11" x14ac:dyDescent="0.35">
      <c r="A721" s="490">
        <v>44249</v>
      </c>
      <c r="B721" s="491">
        <v>343.6</v>
      </c>
      <c r="C721" s="483">
        <f t="shared" si="46"/>
        <v>-3.0747531734837685E-2</v>
      </c>
      <c r="E721" s="492">
        <v>44249</v>
      </c>
      <c r="F721" s="493">
        <v>5385.21</v>
      </c>
      <c r="G721" s="484">
        <f t="shared" si="47"/>
        <v>-1.6576028400395848E-2</v>
      </c>
      <c r="J721" s="483">
        <f t="shared" si="44"/>
        <v>-4.6017222820236903E-2</v>
      </c>
      <c r="K721" s="484">
        <f t="shared" si="45"/>
        <v>-9.3009539764700166E-3</v>
      </c>
    </row>
    <row r="722" spans="1:11" x14ac:dyDescent="0.35">
      <c r="A722" s="490">
        <v>44245</v>
      </c>
      <c r="B722" s="491">
        <v>354.5</v>
      </c>
      <c r="C722" s="483">
        <f t="shared" si="46"/>
        <v>-4.6017222820236903E-2</v>
      </c>
      <c r="E722" s="492">
        <v>44245</v>
      </c>
      <c r="F722" s="493">
        <v>5475.98</v>
      </c>
      <c r="G722" s="484">
        <f t="shared" si="47"/>
        <v>-9.3009539764700166E-3</v>
      </c>
      <c r="J722" s="483">
        <f t="shared" si="44"/>
        <v>-9.0666666666665563E-3</v>
      </c>
      <c r="K722" s="484">
        <f t="shared" si="45"/>
        <v>-3.1920131143047259E-3</v>
      </c>
    </row>
    <row r="723" spans="1:11" x14ac:dyDescent="0.35">
      <c r="A723" s="490">
        <v>44243</v>
      </c>
      <c r="B723" s="491">
        <v>371.6</v>
      </c>
      <c r="C723" s="483">
        <f t="shared" si="46"/>
        <v>-9.0666666666665563E-3</v>
      </c>
      <c r="E723" s="492">
        <v>44243</v>
      </c>
      <c r="F723" s="493">
        <v>5527.39</v>
      </c>
      <c r="G723" s="484">
        <f t="shared" si="47"/>
        <v>-3.1920131143047259E-3</v>
      </c>
      <c r="J723" s="483">
        <f t="shared" si="44"/>
        <v>9.1496232508072595E-3</v>
      </c>
      <c r="K723" s="484">
        <f t="shared" si="45"/>
        <v>1.788848014920208E-2</v>
      </c>
    </row>
    <row r="724" spans="1:11" x14ac:dyDescent="0.35">
      <c r="A724" s="490">
        <v>44242</v>
      </c>
      <c r="B724" s="491">
        <v>375</v>
      </c>
      <c r="C724" s="483">
        <f t="shared" si="46"/>
        <v>9.1496232508072595E-3</v>
      </c>
      <c r="E724" s="492">
        <v>44242</v>
      </c>
      <c r="F724" s="493">
        <v>5545.09</v>
      </c>
      <c r="G724" s="484">
        <f t="shared" si="47"/>
        <v>1.788848014920208E-2</v>
      </c>
      <c r="J724" s="483">
        <f t="shared" si="44"/>
        <v>-3.2188841201716833E-3</v>
      </c>
      <c r="K724" s="484">
        <f t="shared" si="45"/>
        <v>-6.8131142878499196E-3</v>
      </c>
    </row>
    <row r="725" spans="1:11" x14ac:dyDescent="0.35">
      <c r="A725" s="490">
        <v>44241</v>
      </c>
      <c r="B725" s="491">
        <v>371.6</v>
      </c>
      <c r="C725" s="483">
        <f t="shared" si="46"/>
        <v>-3.2188841201716833E-3</v>
      </c>
      <c r="E725" s="492">
        <v>44241</v>
      </c>
      <c r="F725" s="493">
        <v>5447.64</v>
      </c>
      <c r="G725" s="484">
        <f t="shared" si="47"/>
        <v>-6.8131142878499196E-3</v>
      </c>
      <c r="J725" s="483">
        <f t="shared" si="44"/>
        <v>-1.6099234626550496E-2</v>
      </c>
      <c r="K725" s="484">
        <f t="shared" si="45"/>
        <v>-4.4269793443930672E-3</v>
      </c>
    </row>
    <row r="726" spans="1:11" x14ac:dyDescent="0.35">
      <c r="A726" s="490">
        <v>44238</v>
      </c>
      <c r="B726" s="491">
        <v>372.8</v>
      </c>
      <c r="C726" s="483">
        <f t="shared" si="46"/>
        <v>-1.6099234626550496E-2</v>
      </c>
      <c r="E726" s="492">
        <v>44238</v>
      </c>
      <c r="F726" s="493">
        <v>5485.01</v>
      </c>
      <c r="G726" s="484">
        <f t="shared" si="47"/>
        <v>-4.4269793443930672E-3</v>
      </c>
      <c r="J726" s="483">
        <f t="shared" si="44"/>
        <v>9.5923261390886694E-3</v>
      </c>
      <c r="K726" s="484">
        <f t="shared" si="45"/>
        <v>1.9750697457869837E-3</v>
      </c>
    </row>
    <row r="727" spans="1:11" x14ac:dyDescent="0.35">
      <c r="A727" s="490">
        <v>44237</v>
      </c>
      <c r="B727" s="491">
        <v>378.9</v>
      </c>
      <c r="C727" s="483">
        <f t="shared" si="46"/>
        <v>9.5923261390886694E-3</v>
      </c>
      <c r="E727" s="492">
        <v>44237</v>
      </c>
      <c r="F727" s="493">
        <v>5509.4</v>
      </c>
      <c r="G727" s="484">
        <f t="shared" si="47"/>
        <v>1.9750697457869837E-3</v>
      </c>
      <c r="J727" s="483">
        <f t="shared" si="44"/>
        <v>2.0669023660592867E-2</v>
      </c>
      <c r="K727" s="484">
        <f t="shared" si="45"/>
        <v>2.2708292646634876E-2</v>
      </c>
    </row>
    <row r="728" spans="1:11" x14ac:dyDescent="0.35">
      <c r="A728" s="490">
        <v>44236</v>
      </c>
      <c r="B728" s="491">
        <v>375.3</v>
      </c>
      <c r="C728" s="483">
        <f t="shared" si="46"/>
        <v>2.0669023660592867E-2</v>
      </c>
      <c r="E728" s="492">
        <v>44236</v>
      </c>
      <c r="F728" s="493">
        <v>5498.54</v>
      </c>
      <c r="G728" s="484">
        <f t="shared" si="47"/>
        <v>2.2708292646634876E-2</v>
      </c>
      <c r="J728" s="483">
        <f t="shared" si="44"/>
        <v>-2.981530343007921E-2</v>
      </c>
      <c r="K728" s="484">
        <f t="shared" si="45"/>
        <v>-2.331246661991937E-2</v>
      </c>
    </row>
    <row r="729" spans="1:11" x14ac:dyDescent="0.35">
      <c r="A729" s="490">
        <v>44235</v>
      </c>
      <c r="B729" s="491">
        <v>367.7</v>
      </c>
      <c r="C729" s="483">
        <f t="shared" si="46"/>
        <v>-2.981530343007921E-2</v>
      </c>
      <c r="E729" s="492">
        <v>44235</v>
      </c>
      <c r="F729" s="493">
        <v>5376.45</v>
      </c>
      <c r="G729" s="484">
        <f t="shared" si="47"/>
        <v>-2.331246661991937E-2</v>
      </c>
      <c r="J729" s="483">
        <f t="shared" si="44"/>
        <v>-1.0960334029227581E-2</v>
      </c>
      <c r="K729" s="484">
        <f t="shared" si="45"/>
        <v>-2.5300699226406653E-2</v>
      </c>
    </row>
    <row r="730" spans="1:11" x14ac:dyDescent="0.35">
      <c r="A730" s="490">
        <v>44234</v>
      </c>
      <c r="B730" s="491">
        <v>379</v>
      </c>
      <c r="C730" s="483">
        <f t="shared" si="46"/>
        <v>-1.0960334029227581E-2</v>
      </c>
      <c r="E730" s="492">
        <v>44234</v>
      </c>
      <c r="F730" s="493">
        <v>5504.78</v>
      </c>
      <c r="G730" s="484">
        <f t="shared" si="47"/>
        <v>-2.5300699226406653E-2</v>
      </c>
      <c r="J730" s="483">
        <f t="shared" si="44"/>
        <v>1.8065887353878818E-2</v>
      </c>
      <c r="K730" s="484">
        <f t="shared" si="45"/>
        <v>1.1789976817763392E-2</v>
      </c>
    </row>
    <row r="731" spans="1:11" x14ac:dyDescent="0.35">
      <c r="A731" s="490">
        <v>44231</v>
      </c>
      <c r="B731" s="491">
        <v>383.2</v>
      </c>
      <c r="C731" s="483">
        <f t="shared" si="46"/>
        <v>1.8065887353878818E-2</v>
      </c>
      <c r="E731" s="492">
        <v>44231</v>
      </c>
      <c r="F731" s="493">
        <v>5647.67</v>
      </c>
      <c r="G731" s="484">
        <f t="shared" si="47"/>
        <v>1.1789976817763392E-2</v>
      </c>
      <c r="J731" s="483">
        <f t="shared" si="44"/>
        <v>1.92255618738153E-2</v>
      </c>
      <c r="K731" s="484">
        <f t="shared" si="45"/>
        <v>3.0855267768734596E-3</v>
      </c>
    </row>
    <row r="732" spans="1:11" x14ac:dyDescent="0.35">
      <c r="A732" s="490">
        <v>44230</v>
      </c>
      <c r="B732" s="491">
        <v>376.4</v>
      </c>
      <c r="C732" s="483">
        <f t="shared" si="46"/>
        <v>1.92255618738153E-2</v>
      </c>
      <c r="E732" s="492">
        <v>44230</v>
      </c>
      <c r="F732" s="493">
        <v>5581.86</v>
      </c>
      <c r="G732" s="484">
        <f t="shared" si="47"/>
        <v>3.0855267768734596E-3</v>
      </c>
      <c r="J732" s="483">
        <f t="shared" si="44"/>
        <v>-2.7005130974885327E-3</v>
      </c>
      <c r="K732" s="484">
        <f t="shared" si="45"/>
        <v>-6.2698667809565345E-3</v>
      </c>
    </row>
    <row r="733" spans="1:11" x14ac:dyDescent="0.35">
      <c r="A733" s="490">
        <v>44229</v>
      </c>
      <c r="B733" s="491">
        <v>369.3</v>
      </c>
      <c r="C733" s="483">
        <f t="shared" si="46"/>
        <v>-2.7005130974885327E-3</v>
      </c>
      <c r="E733" s="492">
        <v>44229</v>
      </c>
      <c r="F733" s="493">
        <v>5564.69</v>
      </c>
      <c r="G733" s="484">
        <f t="shared" si="47"/>
        <v>-6.2698667809565345E-3</v>
      </c>
      <c r="J733" s="483">
        <f t="shared" si="44"/>
        <v>-4.3022317827372536E-3</v>
      </c>
      <c r="K733" s="484">
        <f t="shared" si="45"/>
        <v>-8.8603965407991758E-3</v>
      </c>
    </row>
    <row r="734" spans="1:11" x14ac:dyDescent="0.35">
      <c r="A734" s="490">
        <v>44228</v>
      </c>
      <c r="B734" s="491">
        <v>370.3</v>
      </c>
      <c r="C734" s="483">
        <f t="shared" si="46"/>
        <v>-4.3022317827372536E-3</v>
      </c>
      <c r="E734" s="492">
        <v>44228</v>
      </c>
      <c r="F734" s="493">
        <v>5599.8</v>
      </c>
      <c r="G734" s="484">
        <f t="shared" si="47"/>
        <v>-8.8603965407991758E-3</v>
      </c>
      <c r="J734" s="483">
        <f t="shared" si="44"/>
        <v>-1.352785145888602E-2</v>
      </c>
      <c r="K734" s="484">
        <f t="shared" si="45"/>
        <v>-1.3012831151135162E-2</v>
      </c>
    </row>
    <row r="735" spans="1:11" x14ac:dyDescent="0.35">
      <c r="A735" s="490">
        <v>44227</v>
      </c>
      <c r="B735" s="491">
        <v>371.9</v>
      </c>
      <c r="C735" s="483">
        <f t="shared" si="46"/>
        <v>-1.352785145888602E-2</v>
      </c>
      <c r="E735" s="492">
        <v>44227</v>
      </c>
      <c r="F735" s="493">
        <v>5649.86</v>
      </c>
      <c r="G735" s="484">
        <f t="shared" si="47"/>
        <v>-1.3012831151135162E-2</v>
      </c>
      <c r="J735" s="483">
        <f t="shared" si="44"/>
        <v>9.3708165997321569E-3</v>
      </c>
      <c r="K735" s="484">
        <f t="shared" si="45"/>
        <v>1.681616311503431E-3</v>
      </c>
    </row>
    <row r="736" spans="1:11" x14ac:dyDescent="0.35">
      <c r="A736" s="490">
        <v>44224</v>
      </c>
      <c r="B736" s="491">
        <v>377</v>
      </c>
      <c r="C736" s="483">
        <f t="shared" si="46"/>
        <v>9.3708165997321569E-3</v>
      </c>
      <c r="E736" s="492">
        <v>44224</v>
      </c>
      <c r="F736" s="493">
        <v>5724.35</v>
      </c>
      <c r="G736" s="484">
        <f t="shared" si="47"/>
        <v>1.681616311503431E-3</v>
      </c>
      <c r="J736" s="483">
        <f t="shared" si="44"/>
        <v>1.7433941705257361E-2</v>
      </c>
      <c r="K736" s="484">
        <f t="shared" si="45"/>
        <v>3.401008187352117E-3</v>
      </c>
    </row>
    <row r="737" spans="1:11" x14ac:dyDescent="0.35">
      <c r="A737" s="490">
        <v>44223</v>
      </c>
      <c r="B737" s="491">
        <v>373.5</v>
      </c>
      <c r="C737" s="483">
        <f t="shared" si="46"/>
        <v>1.7433941705257361E-2</v>
      </c>
      <c r="E737" s="492">
        <v>44223</v>
      </c>
      <c r="F737" s="493">
        <v>5714.74</v>
      </c>
      <c r="G737" s="484">
        <f t="shared" si="47"/>
        <v>3.401008187352117E-3</v>
      </c>
      <c r="J737" s="483">
        <f t="shared" si="44"/>
        <v>-8.1059173196433854E-3</v>
      </c>
      <c r="K737" s="484">
        <f t="shared" si="45"/>
        <v>-1.6330104733744188E-2</v>
      </c>
    </row>
    <row r="738" spans="1:11" x14ac:dyDescent="0.35">
      <c r="A738" s="490">
        <v>44222</v>
      </c>
      <c r="B738" s="491">
        <v>367.1</v>
      </c>
      <c r="C738" s="483">
        <f t="shared" si="46"/>
        <v>-8.1059173196433854E-3</v>
      </c>
      <c r="E738" s="492">
        <v>44222</v>
      </c>
      <c r="F738" s="493">
        <v>5695.37</v>
      </c>
      <c r="G738" s="484">
        <f t="shared" si="47"/>
        <v>-1.6330104733744188E-2</v>
      </c>
      <c r="J738" s="483">
        <f t="shared" si="44"/>
        <v>-6.9761202039172465E-3</v>
      </c>
      <c r="K738" s="484">
        <f t="shared" si="45"/>
        <v>-4.4054378441210629E-3</v>
      </c>
    </row>
    <row r="739" spans="1:11" x14ac:dyDescent="0.35">
      <c r="A739" s="490">
        <v>44221</v>
      </c>
      <c r="B739" s="491">
        <v>370.1</v>
      </c>
      <c r="C739" s="483">
        <f t="shared" si="46"/>
        <v>-6.9761202039172465E-3</v>
      </c>
      <c r="E739" s="492">
        <v>44221</v>
      </c>
      <c r="F739" s="493">
        <v>5789.92</v>
      </c>
      <c r="G739" s="484">
        <f t="shared" si="47"/>
        <v>-4.4054378441210629E-3</v>
      </c>
      <c r="J739" s="483">
        <f t="shared" si="44"/>
        <v>-1.339764201500504E-3</v>
      </c>
      <c r="K739" s="484">
        <f t="shared" si="45"/>
        <v>-3.5365598730676684E-3</v>
      </c>
    </row>
    <row r="740" spans="1:11" x14ac:dyDescent="0.35">
      <c r="A740" s="490">
        <v>44220</v>
      </c>
      <c r="B740" s="491">
        <v>372.7</v>
      </c>
      <c r="C740" s="483">
        <f t="shared" si="46"/>
        <v>-1.339764201500504E-3</v>
      </c>
      <c r="E740" s="492">
        <v>44220</v>
      </c>
      <c r="F740" s="493">
        <v>5815.54</v>
      </c>
      <c r="G740" s="484">
        <f t="shared" si="47"/>
        <v>-3.5365598730676684E-3</v>
      </c>
      <c r="J740" s="483">
        <f t="shared" si="44"/>
        <v>-7.1827613727054596E-3</v>
      </c>
      <c r="K740" s="484">
        <f t="shared" si="45"/>
        <v>1.479178249558899E-3</v>
      </c>
    </row>
    <row r="741" spans="1:11" x14ac:dyDescent="0.35">
      <c r="A741" s="490">
        <v>44217</v>
      </c>
      <c r="B741" s="491">
        <v>373.2</v>
      </c>
      <c r="C741" s="483">
        <f t="shared" si="46"/>
        <v>-7.1827613727054596E-3</v>
      </c>
      <c r="E741" s="492">
        <v>44217</v>
      </c>
      <c r="F741" s="493">
        <v>5836.18</v>
      </c>
      <c r="G741" s="484">
        <f t="shared" si="47"/>
        <v>1.479178249558899E-3</v>
      </c>
      <c r="J741" s="483">
        <f t="shared" si="44"/>
        <v>-1.8794048551292186E-2</v>
      </c>
      <c r="K741" s="484">
        <f t="shared" si="45"/>
        <v>1.1613523914237867E-3</v>
      </c>
    </row>
    <row r="742" spans="1:11" x14ac:dyDescent="0.35">
      <c r="A742" s="490">
        <v>44216</v>
      </c>
      <c r="B742" s="491">
        <v>375.9</v>
      </c>
      <c r="C742" s="483">
        <f t="shared" si="46"/>
        <v>-1.8794048551292186E-2</v>
      </c>
      <c r="E742" s="492">
        <v>44216</v>
      </c>
      <c r="F742" s="493">
        <v>5827.56</v>
      </c>
      <c r="G742" s="484">
        <f t="shared" si="47"/>
        <v>1.1613523914237867E-3</v>
      </c>
      <c r="J742" s="483">
        <f t="shared" si="44"/>
        <v>-2.6034886748242947E-3</v>
      </c>
      <c r="K742" s="484">
        <f t="shared" si="45"/>
        <v>3.2886799087166185E-3</v>
      </c>
    </row>
    <row r="743" spans="1:11" x14ac:dyDescent="0.35">
      <c r="A743" s="490">
        <v>44215</v>
      </c>
      <c r="B743" s="491">
        <v>383.1</v>
      </c>
      <c r="C743" s="483">
        <f t="shared" si="46"/>
        <v>-2.6034886748242947E-3</v>
      </c>
      <c r="E743" s="492">
        <v>44215</v>
      </c>
      <c r="F743" s="493">
        <v>5820.8</v>
      </c>
      <c r="G743" s="484">
        <f t="shared" si="47"/>
        <v>3.2886799087166185E-3</v>
      </c>
      <c r="J743" s="483">
        <f t="shared" si="44"/>
        <v>2.0999468367889573E-2</v>
      </c>
      <c r="K743" s="484">
        <f t="shared" si="45"/>
        <v>-8.3258837384602158E-3</v>
      </c>
    </row>
    <row r="744" spans="1:11" x14ac:dyDescent="0.35">
      <c r="A744" s="490">
        <v>44214</v>
      </c>
      <c r="B744" s="491">
        <v>384.1</v>
      </c>
      <c r="C744" s="483">
        <f t="shared" si="46"/>
        <v>2.0999468367889573E-2</v>
      </c>
      <c r="E744" s="492">
        <v>44214</v>
      </c>
      <c r="F744" s="493">
        <v>5801.72</v>
      </c>
      <c r="G744" s="484">
        <f t="shared" si="47"/>
        <v>-8.3258837384602158E-3</v>
      </c>
      <c r="J744" s="483">
        <f t="shared" si="44"/>
        <v>6.1513773736292521E-3</v>
      </c>
      <c r="K744" s="484">
        <f t="shared" si="45"/>
        <v>-9.9622628737752184E-3</v>
      </c>
    </row>
    <row r="745" spans="1:11" x14ac:dyDescent="0.35">
      <c r="A745" s="490">
        <v>44213</v>
      </c>
      <c r="B745" s="491">
        <v>376.2</v>
      </c>
      <c r="C745" s="483">
        <f t="shared" si="46"/>
        <v>6.1513773736292521E-3</v>
      </c>
      <c r="E745" s="492">
        <v>44213</v>
      </c>
      <c r="F745" s="493">
        <v>5850.43</v>
      </c>
      <c r="G745" s="484">
        <f t="shared" si="47"/>
        <v>-9.9622628737752184E-3</v>
      </c>
      <c r="J745" s="483">
        <f t="shared" si="44"/>
        <v>1.5480717001629563E-2</v>
      </c>
      <c r="K745" s="484">
        <f t="shared" si="45"/>
        <v>2.414211438474867E-2</v>
      </c>
    </row>
    <row r="746" spans="1:11" x14ac:dyDescent="0.35">
      <c r="A746" s="490">
        <v>44210</v>
      </c>
      <c r="B746" s="491">
        <v>373.9</v>
      </c>
      <c r="C746" s="483">
        <f t="shared" si="46"/>
        <v>1.5480717001629563E-2</v>
      </c>
      <c r="E746" s="492">
        <v>44210</v>
      </c>
      <c r="F746" s="493">
        <v>5909.3</v>
      </c>
      <c r="G746" s="484">
        <f t="shared" si="47"/>
        <v>2.414211438474867E-2</v>
      </c>
      <c r="J746" s="483">
        <f t="shared" si="44"/>
        <v>-1.577118417535428E-2</v>
      </c>
      <c r="K746" s="484">
        <f t="shared" si="45"/>
        <v>-1.5529720082852583E-2</v>
      </c>
    </row>
    <row r="747" spans="1:11" x14ac:dyDescent="0.35">
      <c r="A747" s="490">
        <v>44209</v>
      </c>
      <c r="B747" s="491">
        <v>368.2</v>
      </c>
      <c r="C747" s="483">
        <f t="shared" si="46"/>
        <v>-1.577118417535428E-2</v>
      </c>
      <c r="E747" s="492">
        <v>44209</v>
      </c>
      <c r="F747" s="493">
        <v>5770</v>
      </c>
      <c r="G747" s="484">
        <f t="shared" si="47"/>
        <v>-1.5529720082852583E-2</v>
      </c>
      <c r="J747" s="483">
        <f t="shared" si="44"/>
        <v>1.0807889759524514E-2</v>
      </c>
      <c r="K747" s="484">
        <f t="shared" si="45"/>
        <v>2.487781420765045E-2</v>
      </c>
    </row>
    <row r="748" spans="1:11" x14ac:dyDescent="0.35">
      <c r="A748" s="490">
        <v>44208</v>
      </c>
      <c r="B748" s="491">
        <v>374.1</v>
      </c>
      <c r="C748" s="483">
        <f t="shared" si="46"/>
        <v>1.0807889759524514E-2</v>
      </c>
      <c r="E748" s="492">
        <v>44208</v>
      </c>
      <c r="F748" s="493">
        <v>5861.02</v>
      </c>
      <c r="G748" s="484">
        <f t="shared" si="47"/>
        <v>2.487781420765045E-2</v>
      </c>
      <c r="J748" s="483">
        <f t="shared" si="44"/>
        <v>-5.9092130002685872E-3</v>
      </c>
      <c r="K748" s="484">
        <f t="shared" si="45"/>
        <v>1.5035392009996373E-2</v>
      </c>
    </row>
    <row r="749" spans="1:11" x14ac:dyDescent="0.35">
      <c r="A749" s="490">
        <v>44207</v>
      </c>
      <c r="B749" s="491">
        <v>370.1</v>
      </c>
      <c r="C749" s="483">
        <f t="shared" si="46"/>
        <v>-5.9092130002685872E-3</v>
      </c>
      <c r="E749" s="492">
        <v>44207</v>
      </c>
      <c r="F749" s="493">
        <v>5718.75</v>
      </c>
      <c r="G749" s="484">
        <f t="shared" si="47"/>
        <v>1.5035392009996373E-2</v>
      </c>
      <c r="J749" s="483">
        <f t="shared" si="44"/>
        <v>1.6657564172583461E-2</v>
      </c>
      <c r="K749" s="484">
        <f t="shared" si="45"/>
        <v>2.184369307832279E-3</v>
      </c>
    </row>
    <row r="750" spans="1:11" x14ac:dyDescent="0.35">
      <c r="A750" s="490">
        <v>44206</v>
      </c>
      <c r="B750" s="491">
        <v>372.3</v>
      </c>
      <c r="C750" s="483">
        <f t="shared" si="46"/>
        <v>1.6657564172583461E-2</v>
      </c>
      <c r="E750" s="492">
        <v>44206</v>
      </c>
      <c r="F750" s="493">
        <v>5634.04</v>
      </c>
      <c r="G750" s="484">
        <f t="shared" si="47"/>
        <v>2.184369307832279E-3</v>
      </c>
      <c r="J750" s="483">
        <f t="shared" si="44"/>
        <v>-1.3469827586206851E-2</v>
      </c>
      <c r="K750" s="484">
        <f t="shared" si="45"/>
        <v>-3.2676204170425383E-3</v>
      </c>
    </row>
    <row r="751" spans="1:11" x14ac:dyDescent="0.35">
      <c r="A751" s="490">
        <v>44203</v>
      </c>
      <c r="B751" s="491">
        <v>366.2</v>
      </c>
      <c r="C751" s="483">
        <f t="shared" si="46"/>
        <v>-1.3469827586206851E-2</v>
      </c>
      <c r="E751" s="492">
        <v>44203</v>
      </c>
      <c r="F751" s="493">
        <v>5621.76</v>
      </c>
      <c r="G751" s="484">
        <f t="shared" si="47"/>
        <v>-3.2676204170425383E-3</v>
      </c>
      <c r="J751" s="483">
        <f t="shared" si="44"/>
        <v>-1.381509032943673E-2</v>
      </c>
      <c r="K751" s="484">
        <f t="shared" si="45"/>
        <v>5.4352282653260531E-3</v>
      </c>
    </row>
    <row r="752" spans="1:11" x14ac:dyDescent="0.35">
      <c r="A752" s="490">
        <v>44202</v>
      </c>
      <c r="B752" s="491">
        <v>371.2</v>
      </c>
      <c r="C752" s="483">
        <f t="shared" si="46"/>
        <v>-1.381509032943673E-2</v>
      </c>
      <c r="E752" s="492">
        <v>44202</v>
      </c>
      <c r="F752" s="493">
        <v>5640.19</v>
      </c>
      <c r="G752" s="484">
        <f t="shared" si="47"/>
        <v>5.4352282653260531E-3</v>
      </c>
      <c r="J752" s="483">
        <f t="shared" si="44"/>
        <v>1.5650296815973963E-2</v>
      </c>
      <c r="K752" s="484">
        <f t="shared" si="45"/>
        <v>-7.5402666515695937E-3</v>
      </c>
    </row>
    <row r="753" spans="1:11" x14ac:dyDescent="0.35">
      <c r="A753" s="490">
        <v>44201</v>
      </c>
      <c r="B753" s="491">
        <v>376.4</v>
      </c>
      <c r="C753" s="483">
        <f t="shared" si="46"/>
        <v>1.5650296815973963E-2</v>
      </c>
      <c r="E753" s="492">
        <v>44201</v>
      </c>
      <c r="F753" s="493">
        <v>5609.7</v>
      </c>
      <c r="G753" s="484">
        <f t="shared" si="47"/>
        <v>-7.5402666515695937E-3</v>
      </c>
      <c r="J753" s="483">
        <f t="shared" si="44"/>
        <v>3.4040178571428603E-2</v>
      </c>
      <c r="K753" s="484">
        <f t="shared" si="45"/>
        <v>5.9388319881827911E-3</v>
      </c>
    </row>
    <row r="754" spans="1:11" x14ac:dyDescent="0.35">
      <c r="A754" s="490">
        <v>44200</v>
      </c>
      <c r="B754" s="491">
        <v>370.6</v>
      </c>
      <c r="C754" s="483">
        <f t="shared" si="46"/>
        <v>3.4040178571428603E-2</v>
      </c>
      <c r="E754" s="492">
        <v>44200</v>
      </c>
      <c r="F754" s="493">
        <v>5652.32</v>
      </c>
      <c r="G754" s="484">
        <f t="shared" si="47"/>
        <v>5.9388319881827911E-3</v>
      </c>
      <c r="J754" s="483">
        <f t="shared" si="44"/>
        <v>3.2555459521751429E-2</v>
      </c>
      <c r="K754" s="484">
        <f t="shared" si="45"/>
        <v>4.0149498524636895E-2</v>
      </c>
    </row>
    <row r="755" spans="1:11" x14ac:dyDescent="0.35">
      <c r="A755" s="490">
        <v>44199</v>
      </c>
      <c r="B755" s="491">
        <v>358.4</v>
      </c>
      <c r="C755" s="483">
        <f t="shared" si="46"/>
        <v>3.2555459521751429E-2</v>
      </c>
      <c r="E755" s="492">
        <v>44199</v>
      </c>
      <c r="F755" s="493">
        <v>5618.95</v>
      </c>
      <c r="G755" s="484">
        <f t="shared" si="47"/>
        <v>4.0149498524636895E-2</v>
      </c>
      <c r="J755" s="483">
        <f t="shared" si="44"/>
        <v>-7.4349442379181285E-3</v>
      </c>
      <c r="K755" s="484">
        <f t="shared" si="45"/>
        <v>8.1761769234358628E-3</v>
      </c>
    </row>
    <row r="756" spans="1:11" x14ac:dyDescent="0.35">
      <c r="A756" s="490">
        <v>44195</v>
      </c>
      <c r="B756" s="491">
        <v>347.1</v>
      </c>
      <c r="C756" s="483">
        <f t="shared" si="46"/>
        <v>-7.4349442379181285E-3</v>
      </c>
      <c r="E756" s="492">
        <v>44195</v>
      </c>
      <c r="F756" s="493">
        <v>5402.06</v>
      </c>
      <c r="G756" s="484">
        <f t="shared" si="47"/>
        <v>8.1761769234358628E-3</v>
      </c>
      <c r="J756" s="483">
        <f t="shared" si="44"/>
        <v>-1.1309018942606719E-2</v>
      </c>
      <c r="K756" s="484">
        <f t="shared" si="45"/>
        <v>2.6646656724069739E-3</v>
      </c>
    </row>
    <row r="757" spans="1:11" x14ac:dyDescent="0.35">
      <c r="A757" s="490">
        <v>44194</v>
      </c>
      <c r="B757" s="491">
        <v>349.7</v>
      </c>
      <c r="C757" s="483">
        <f t="shared" si="46"/>
        <v>-1.1309018942606719E-2</v>
      </c>
      <c r="E757" s="492">
        <v>44194</v>
      </c>
      <c r="F757" s="493">
        <v>5358.25</v>
      </c>
      <c r="G757" s="484">
        <f t="shared" si="47"/>
        <v>2.6646656724069739E-3</v>
      </c>
      <c r="J757" s="483">
        <f t="shared" si="44"/>
        <v>1.0571428571428454E-2</v>
      </c>
      <c r="K757" s="484">
        <f t="shared" si="45"/>
        <v>2.9540545054960177E-3</v>
      </c>
    </row>
    <row r="758" spans="1:11" x14ac:dyDescent="0.35">
      <c r="A758" s="490">
        <v>44193</v>
      </c>
      <c r="B758" s="491">
        <v>353.7</v>
      </c>
      <c r="C758" s="483">
        <f t="shared" si="46"/>
        <v>1.0571428571428454E-2</v>
      </c>
      <c r="E758" s="492">
        <v>44193</v>
      </c>
      <c r="F758" s="493">
        <v>5344.01</v>
      </c>
      <c r="G758" s="484">
        <f t="shared" si="47"/>
        <v>2.9540545054960177E-3</v>
      </c>
      <c r="J758" s="483">
        <f t="shared" si="44"/>
        <v>2.6092055115801704E-2</v>
      </c>
      <c r="K758" s="484">
        <f t="shared" si="45"/>
        <v>2.1062172789918732E-2</v>
      </c>
    </row>
    <row r="759" spans="1:11" x14ac:dyDescent="0.35">
      <c r="A759" s="490">
        <v>44192</v>
      </c>
      <c r="B759" s="491">
        <v>350</v>
      </c>
      <c r="C759" s="483">
        <f t="shared" si="46"/>
        <v>2.6092055115801704E-2</v>
      </c>
      <c r="E759" s="492">
        <v>44192</v>
      </c>
      <c r="F759" s="493">
        <v>5328.27</v>
      </c>
      <c r="G759" s="484">
        <f t="shared" si="47"/>
        <v>2.1062172789918732E-2</v>
      </c>
      <c r="J759" s="483">
        <f t="shared" si="44"/>
        <v>1.1565836298932375E-2</v>
      </c>
      <c r="K759" s="484">
        <f t="shared" si="45"/>
        <v>1.6572217817423018E-2</v>
      </c>
    </row>
    <row r="760" spans="1:11" x14ac:dyDescent="0.35">
      <c r="A760" s="490">
        <v>44189</v>
      </c>
      <c r="B760" s="491">
        <v>341.1</v>
      </c>
      <c r="C760" s="483">
        <f t="shared" si="46"/>
        <v>1.1565836298932375E-2</v>
      </c>
      <c r="E760" s="492">
        <v>44189</v>
      </c>
      <c r="F760" s="493">
        <v>5218.3599999999997</v>
      </c>
      <c r="G760" s="484">
        <f t="shared" si="47"/>
        <v>1.6572217817423018E-2</v>
      </c>
      <c r="J760" s="483">
        <f t="shared" si="44"/>
        <v>-8.8888888888893902E-4</v>
      </c>
      <c r="K760" s="484">
        <f t="shared" si="45"/>
        <v>6.8275250662943598E-3</v>
      </c>
    </row>
    <row r="761" spans="1:11" x14ac:dyDescent="0.35">
      <c r="A761" s="490">
        <v>44188</v>
      </c>
      <c r="B761" s="491">
        <v>337.2</v>
      </c>
      <c r="C761" s="483">
        <f t="shared" si="46"/>
        <v>-8.8888888888893902E-4</v>
      </c>
      <c r="E761" s="492">
        <v>44188</v>
      </c>
      <c r="F761" s="493">
        <v>5133.29</v>
      </c>
      <c r="G761" s="484">
        <f t="shared" si="47"/>
        <v>6.8275250662943598E-3</v>
      </c>
      <c r="J761" s="483">
        <f t="shared" si="44"/>
        <v>-1.1423550087873435E-2</v>
      </c>
      <c r="K761" s="484">
        <f t="shared" si="45"/>
        <v>-3.2667408248765462E-3</v>
      </c>
    </row>
    <row r="762" spans="1:11" x14ac:dyDescent="0.35">
      <c r="A762" s="490">
        <v>44187</v>
      </c>
      <c r="B762" s="491">
        <v>337.5</v>
      </c>
      <c r="C762" s="483">
        <f t="shared" si="46"/>
        <v>-1.1423550087873435E-2</v>
      </c>
      <c r="E762" s="492">
        <v>44187</v>
      </c>
      <c r="F762" s="493">
        <v>5098.4799999999996</v>
      </c>
      <c r="G762" s="484">
        <f t="shared" si="47"/>
        <v>-3.2667408248765462E-3</v>
      </c>
      <c r="J762" s="483">
        <f t="shared" si="44"/>
        <v>3.8224051749484733E-3</v>
      </c>
      <c r="K762" s="484">
        <f t="shared" si="45"/>
        <v>8.0026327301963018E-3</v>
      </c>
    </row>
    <row r="763" spans="1:11" x14ac:dyDescent="0.35">
      <c r="A763" s="490">
        <v>44186</v>
      </c>
      <c r="B763" s="491">
        <v>341.4</v>
      </c>
      <c r="C763" s="483">
        <f t="shared" si="46"/>
        <v>3.8224051749484733E-3</v>
      </c>
      <c r="E763" s="492">
        <v>44186</v>
      </c>
      <c r="F763" s="493">
        <v>5115.1899999999996</v>
      </c>
      <c r="G763" s="484">
        <f t="shared" si="47"/>
        <v>8.0026327301963018E-3</v>
      </c>
      <c r="J763" s="483">
        <f t="shared" si="44"/>
        <v>-1.7052023121387205E-2</v>
      </c>
      <c r="K763" s="484">
        <f t="shared" si="45"/>
        <v>-6.5485128317570584E-3</v>
      </c>
    </row>
    <row r="764" spans="1:11" x14ac:dyDescent="0.35">
      <c r="A764" s="490">
        <v>44185</v>
      </c>
      <c r="B764" s="491">
        <v>340.1</v>
      </c>
      <c r="C764" s="483">
        <f t="shared" si="46"/>
        <v>-1.7052023121387205E-2</v>
      </c>
      <c r="E764" s="492">
        <v>44185</v>
      </c>
      <c r="F764" s="493">
        <v>5074.58</v>
      </c>
      <c r="G764" s="484">
        <f t="shared" si="47"/>
        <v>-6.5485128317570584E-3</v>
      </c>
      <c r="J764" s="483">
        <f t="shared" si="44"/>
        <v>-3.0269058295964157E-2</v>
      </c>
      <c r="K764" s="484">
        <f t="shared" si="45"/>
        <v>-2.9337934749935624E-3</v>
      </c>
    </row>
    <row r="765" spans="1:11" x14ac:dyDescent="0.35">
      <c r="A765" s="490">
        <v>44182</v>
      </c>
      <c r="B765" s="491">
        <v>346</v>
      </c>
      <c r="C765" s="483">
        <f t="shared" si="46"/>
        <v>-3.0269058295964157E-2</v>
      </c>
      <c r="E765" s="492">
        <v>44182</v>
      </c>
      <c r="F765" s="493">
        <v>5108.03</v>
      </c>
      <c r="G765" s="484">
        <f t="shared" si="47"/>
        <v>-2.9337934749935624E-3</v>
      </c>
      <c r="J765" s="483">
        <f t="shared" si="44"/>
        <v>1.8846373500856828E-2</v>
      </c>
      <c r="K765" s="484">
        <f t="shared" si="45"/>
        <v>-4.6551208271971012E-3</v>
      </c>
    </row>
    <row r="766" spans="1:11" x14ac:dyDescent="0.35">
      <c r="A766" s="490">
        <v>44180</v>
      </c>
      <c r="B766" s="491">
        <v>356.8</v>
      </c>
      <c r="C766" s="483">
        <f t="shared" si="46"/>
        <v>1.8846373500856828E-2</v>
      </c>
      <c r="E766" s="492">
        <v>44180</v>
      </c>
      <c r="F766" s="493">
        <v>5123.0600000000004</v>
      </c>
      <c r="G766" s="484">
        <f t="shared" si="47"/>
        <v>-4.6551208271971012E-3</v>
      </c>
      <c r="J766" s="483">
        <f t="shared" si="44"/>
        <v>1.3603473227207008E-2</v>
      </c>
      <c r="K766" s="484">
        <f t="shared" si="45"/>
        <v>4.016440290806722E-3</v>
      </c>
    </row>
    <row r="767" spans="1:11" x14ac:dyDescent="0.35">
      <c r="A767" s="490">
        <v>44179</v>
      </c>
      <c r="B767" s="491">
        <v>350.2</v>
      </c>
      <c r="C767" s="483">
        <f t="shared" si="46"/>
        <v>1.3603473227207008E-2</v>
      </c>
      <c r="E767" s="492">
        <v>44179</v>
      </c>
      <c r="F767" s="493">
        <v>5147.0200000000004</v>
      </c>
      <c r="G767" s="484">
        <f t="shared" si="47"/>
        <v>4.016440290806722E-3</v>
      </c>
      <c r="J767" s="483">
        <f t="shared" si="44"/>
        <v>1.171303074670571E-2</v>
      </c>
      <c r="K767" s="484">
        <f t="shared" si="45"/>
        <v>6.2359411619226091E-3</v>
      </c>
    </row>
    <row r="768" spans="1:11" x14ac:dyDescent="0.35">
      <c r="A768" s="490">
        <v>44178</v>
      </c>
      <c r="B768" s="491">
        <v>345.5</v>
      </c>
      <c r="C768" s="483">
        <f t="shared" si="46"/>
        <v>1.171303074670571E-2</v>
      </c>
      <c r="E768" s="492">
        <v>44178</v>
      </c>
      <c r="F768" s="493">
        <v>5126.43</v>
      </c>
      <c r="G768" s="484">
        <f t="shared" si="47"/>
        <v>6.2359411619226091E-3</v>
      </c>
      <c r="J768" s="483">
        <f t="shared" si="44"/>
        <v>1.9707375335921151E-2</v>
      </c>
      <c r="K768" s="484">
        <f t="shared" si="45"/>
        <v>4.8876896494591815E-3</v>
      </c>
    </row>
    <row r="769" spans="1:11" x14ac:dyDescent="0.35">
      <c r="A769" s="490">
        <v>44175</v>
      </c>
      <c r="B769" s="491">
        <v>341.5</v>
      </c>
      <c r="C769" s="483">
        <f t="shared" si="46"/>
        <v>1.9707375335921151E-2</v>
      </c>
      <c r="E769" s="492">
        <v>44175</v>
      </c>
      <c r="F769" s="493">
        <v>5094.66</v>
      </c>
      <c r="G769" s="484">
        <f t="shared" si="47"/>
        <v>4.8876896494591815E-3</v>
      </c>
      <c r="J769" s="483">
        <f t="shared" si="44"/>
        <v>2.3944926668659772E-3</v>
      </c>
      <c r="K769" s="484">
        <f t="shared" si="45"/>
        <v>3.9763951047566692E-3</v>
      </c>
    </row>
    <row r="770" spans="1:11" x14ac:dyDescent="0.35">
      <c r="A770" s="490">
        <v>44174</v>
      </c>
      <c r="B770" s="491">
        <v>334.9</v>
      </c>
      <c r="C770" s="483">
        <f t="shared" si="46"/>
        <v>2.3944926668659772E-3</v>
      </c>
      <c r="E770" s="492">
        <v>44174</v>
      </c>
      <c r="F770" s="493">
        <v>5069.88</v>
      </c>
      <c r="G770" s="484">
        <f t="shared" si="47"/>
        <v>3.9763951047566692E-3</v>
      </c>
      <c r="J770" s="483">
        <f t="shared" si="44"/>
        <v>1.6119221411192264E-2</v>
      </c>
      <c r="K770" s="484">
        <f t="shared" si="45"/>
        <v>-7.3018844402572558E-4</v>
      </c>
    </row>
    <row r="771" spans="1:11" x14ac:dyDescent="0.35">
      <c r="A771" s="490">
        <v>44173</v>
      </c>
      <c r="B771" s="491">
        <v>334.1</v>
      </c>
      <c r="C771" s="483">
        <f t="shared" si="46"/>
        <v>1.6119221411192264E-2</v>
      </c>
      <c r="E771" s="492">
        <v>44173</v>
      </c>
      <c r="F771" s="493">
        <v>5049.8</v>
      </c>
      <c r="G771" s="484">
        <f t="shared" si="47"/>
        <v>-7.3018844402572558E-4</v>
      </c>
      <c r="J771" s="483">
        <f t="shared" ref="J771:J834" si="48">(B772/B773)-1</f>
        <v>8.2796688132473761E-3</v>
      </c>
      <c r="K771" s="484">
        <f t="shared" ref="K771:K834" si="49">(F772/F773)-1</f>
        <v>5.7937496765769758E-3</v>
      </c>
    </row>
    <row r="772" spans="1:11" x14ac:dyDescent="0.35">
      <c r="A772" s="490">
        <v>44172</v>
      </c>
      <c r="B772" s="491">
        <v>328.8</v>
      </c>
      <c r="C772" s="483">
        <f t="shared" ref="C772:C835" si="50">(B772/B773)-1</f>
        <v>8.2796688132473761E-3</v>
      </c>
      <c r="E772" s="492">
        <v>44172</v>
      </c>
      <c r="F772" s="493">
        <v>5053.49</v>
      </c>
      <c r="G772" s="484">
        <f t="shared" ref="G772:G835" si="51">(F772/F773)-1</f>
        <v>5.7937496765769758E-3</v>
      </c>
      <c r="J772" s="483">
        <f t="shared" si="48"/>
        <v>2.0976831559173625E-2</v>
      </c>
      <c r="K772" s="484">
        <f t="shared" si="49"/>
        <v>9.9601393414447958E-3</v>
      </c>
    </row>
    <row r="773" spans="1:11" x14ac:dyDescent="0.35">
      <c r="A773" s="490">
        <v>44171</v>
      </c>
      <c r="B773" s="491">
        <v>326.10000000000002</v>
      </c>
      <c r="C773" s="483">
        <f t="shared" si="50"/>
        <v>2.0976831559173625E-2</v>
      </c>
      <c r="E773" s="492">
        <v>44171</v>
      </c>
      <c r="F773" s="493">
        <v>5024.38</v>
      </c>
      <c r="G773" s="484">
        <f t="shared" si="51"/>
        <v>9.9601393414447958E-3</v>
      </c>
      <c r="J773" s="483">
        <f t="shared" si="48"/>
        <v>4.4025157232703283E-3</v>
      </c>
      <c r="K773" s="484">
        <f t="shared" si="49"/>
        <v>8.0995205537746084E-3</v>
      </c>
    </row>
    <row r="774" spans="1:11" x14ac:dyDescent="0.35">
      <c r="A774" s="490">
        <v>44168</v>
      </c>
      <c r="B774" s="491">
        <v>319.39999999999998</v>
      </c>
      <c r="C774" s="483">
        <f t="shared" si="50"/>
        <v>4.4025157232703283E-3</v>
      </c>
      <c r="E774" s="492">
        <v>44168</v>
      </c>
      <c r="F774" s="493">
        <v>4974.83</v>
      </c>
      <c r="G774" s="484">
        <f t="shared" si="51"/>
        <v>8.0995205537746084E-3</v>
      </c>
      <c r="J774" s="483">
        <f t="shared" si="48"/>
        <v>-6.2499999999999778E-3</v>
      </c>
      <c r="K774" s="484">
        <f t="shared" si="49"/>
        <v>6.3030822092393635E-3</v>
      </c>
    </row>
    <row r="775" spans="1:11" x14ac:dyDescent="0.35">
      <c r="A775" s="490">
        <v>44167</v>
      </c>
      <c r="B775" s="491">
        <v>318</v>
      </c>
      <c r="C775" s="483">
        <f t="shared" si="50"/>
        <v>-6.2499999999999778E-3</v>
      </c>
      <c r="E775" s="492">
        <v>44167</v>
      </c>
      <c r="F775" s="493">
        <v>4934.8599999999997</v>
      </c>
      <c r="G775" s="484">
        <f t="shared" si="51"/>
        <v>6.3030822092393635E-3</v>
      </c>
      <c r="J775" s="483">
        <f t="shared" si="48"/>
        <v>2.8204324663114733E-3</v>
      </c>
      <c r="K775" s="484">
        <f t="shared" si="49"/>
        <v>7.6250708878862206E-3</v>
      </c>
    </row>
    <row r="776" spans="1:11" x14ac:dyDescent="0.35">
      <c r="A776" s="490">
        <v>44166</v>
      </c>
      <c r="B776" s="491">
        <v>320</v>
      </c>
      <c r="C776" s="483">
        <f t="shared" si="50"/>
        <v>2.8204324663114733E-3</v>
      </c>
      <c r="E776" s="492">
        <v>44166</v>
      </c>
      <c r="F776" s="493">
        <v>4903.95</v>
      </c>
      <c r="G776" s="484">
        <f t="shared" si="51"/>
        <v>7.6250708878862206E-3</v>
      </c>
      <c r="J776" s="483">
        <f t="shared" si="48"/>
        <v>-7.465007776049748E-3</v>
      </c>
      <c r="K776" s="484">
        <f t="shared" si="49"/>
        <v>-3.0685277212186834E-3</v>
      </c>
    </row>
    <row r="777" spans="1:11" x14ac:dyDescent="0.35">
      <c r="A777" s="490">
        <v>44165</v>
      </c>
      <c r="B777" s="491">
        <v>319.10000000000002</v>
      </c>
      <c r="C777" s="483">
        <f t="shared" si="50"/>
        <v>-7.465007776049748E-3</v>
      </c>
      <c r="E777" s="492">
        <v>44165</v>
      </c>
      <c r="F777" s="493">
        <v>4866.84</v>
      </c>
      <c r="G777" s="484">
        <f t="shared" si="51"/>
        <v>-3.0685277212186834E-3</v>
      </c>
      <c r="J777" s="483">
        <f t="shared" si="48"/>
        <v>7.2055137844611039E-3</v>
      </c>
      <c r="K777" s="484">
        <f t="shared" si="49"/>
        <v>2.6144515710326832E-3</v>
      </c>
    </row>
    <row r="778" spans="1:11" x14ac:dyDescent="0.35">
      <c r="A778" s="490">
        <v>44164</v>
      </c>
      <c r="B778" s="491">
        <v>321.5</v>
      </c>
      <c r="C778" s="483">
        <f t="shared" si="50"/>
        <v>7.2055137844611039E-3</v>
      </c>
      <c r="E778" s="492">
        <v>44164</v>
      </c>
      <c r="F778" s="493">
        <v>4881.82</v>
      </c>
      <c r="G778" s="484">
        <f t="shared" si="51"/>
        <v>2.6144515710326832E-3</v>
      </c>
      <c r="J778" s="483">
        <f t="shared" si="48"/>
        <v>-4.9875311720698479E-3</v>
      </c>
      <c r="K778" s="484">
        <f t="shared" si="49"/>
        <v>1.485025309191812E-3</v>
      </c>
    </row>
    <row r="779" spans="1:11" x14ac:dyDescent="0.35">
      <c r="A779" s="490">
        <v>44161</v>
      </c>
      <c r="B779" s="491">
        <v>319.2</v>
      </c>
      <c r="C779" s="483">
        <f t="shared" si="50"/>
        <v>-4.9875311720698479E-3</v>
      </c>
      <c r="E779" s="492">
        <v>44161</v>
      </c>
      <c r="F779" s="493">
        <v>4869.09</v>
      </c>
      <c r="G779" s="484">
        <f t="shared" si="51"/>
        <v>1.485025309191812E-3</v>
      </c>
      <c r="J779" s="483">
        <f t="shared" si="48"/>
        <v>8.1709616593337309E-3</v>
      </c>
      <c r="K779" s="484">
        <f t="shared" si="49"/>
        <v>5.9339690763244857E-3</v>
      </c>
    </row>
    <row r="780" spans="1:11" x14ac:dyDescent="0.35">
      <c r="A780" s="490">
        <v>44160</v>
      </c>
      <c r="B780" s="491">
        <v>320.8</v>
      </c>
      <c r="C780" s="483">
        <f t="shared" si="50"/>
        <v>8.1709616593337309E-3</v>
      </c>
      <c r="E780" s="492">
        <v>44160</v>
      </c>
      <c r="F780" s="493">
        <v>4861.87</v>
      </c>
      <c r="G780" s="484">
        <f t="shared" si="51"/>
        <v>5.9339690763244857E-3</v>
      </c>
      <c r="J780" s="483">
        <f t="shared" si="48"/>
        <v>-7.7954474586841016E-3</v>
      </c>
      <c r="K780" s="484">
        <f t="shared" si="49"/>
        <v>3.2152271830956369E-3</v>
      </c>
    </row>
    <row r="781" spans="1:11" x14ac:dyDescent="0.35">
      <c r="A781" s="490">
        <v>44159</v>
      </c>
      <c r="B781" s="491">
        <v>318.2</v>
      </c>
      <c r="C781" s="483">
        <f t="shared" si="50"/>
        <v>-7.7954474586841016E-3</v>
      </c>
      <c r="E781" s="492">
        <v>44159</v>
      </c>
      <c r="F781" s="493">
        <v>4833.1899999999996</v>
      </c>
      <c r="G781" s="484">
        <f t="shared" si="51"/>
        <v>3.2152271830956369E-3</v>
      </c>
      <c r="J781" s="483">
        <f t="shared" si="48"/>
        <v>-1.4140793114048589E-2</v>
      </c>
      <c r="K781" s="484">
        <f t="shared" si="49"/>
        <v>-5.6531457619982683E-3</v>
      </c>
    </row>
    <row r="782" spans="1:11" x14ac:dyDescent="0.35">
      <c r="A782" s="490">
        <v>44158</v>
      </c>
      <c r="B782" s="491">
        <v>320.7</v>
      </c>
      <c r="C782" s="483">
        <f t="shared" si="50"/>
        <v>-1.4140793114048589E-2</v>
      </c>
      <c r="E782" s="492">
        <v>44158</v>
      </c>
      <c r="F782" s="493">
        <v>4817.7</v>
      </c>
      <c r="G782" s="484">
        <f t="shared" si="51"/>
        <v>-5.6531457619982683E-3</v>
      </c>
      <c r="J782" s="483">
        <f t="shared" si="48"/>
        <v>-4.5899632802937074E-3</v>
      </c>
      <c r="K782" s="484">
        <f t="shared" si="49"/>
        <v>-7.1455503733637293E-3</v>
      </c>
    </row>
    <row r="783" spans="1:11" x14ac:dyDescent="0.35">
      <c r="A783" s="490">
        <v>44157</v>
      </c>
      <c r="B783" s="491">
        <v>325.3</v>
      </c>
      <c r="C783" s="483">
        <f t="shared" si="50"/>
        <v>-4.5899632802937074E-3</v>
      </c>
      <c r="E783" s="492">
        <v>44157</v>
      </c>
      <c r="F783" s="493">
        <v>4845.09</v>
      </c>
      <c r="G783" s="484">
        <f t="shared" si="51"/>
        <v>-7.1455503733637293E-3</v>
      </c>
      <c r="J783" s="483">
        <f t="shared" si="48"/>
        <v>-6.0827250608272987E-3</v>
      </c>
      <c r="K783" s="484">
        <f t="shared" si="49"/>
        <v>-1.4650755455155595E-3</v>
      </c>
    </row>
    <row r="784" spans="1:11" x14ac:dyDescent="0.35">
      <c r="A784" s="490">
        <v>44154</v>
      </c>
      <c r="B784" s="491">
        <v>326.8</v>
      </c>
      <c r="C784" s="483">
        <f t="shared" si="50"/>
        <v>-6.0827250608272987E-3</v>
      </c>
      <c r="E784" s="492">
        <v>44154</v>
      </c>
      <c r="F784" s="493">
        <v>4879.96</v>
      </c>
      <c r="G784" s="484">
        <f t="shared" si="51"/>
        <v>-1.4650755455155595E-3</v>
      </c>
      <c r="J784" s="483">
        <f t="shared" si="48"/>
        <v>-2.7297543221109777E-3</v>
      </c>
      <c r="K784" s="484">
        <f t="shared" si="49"/>
        <v>-3.6635413417491769E-3</v>
      </c>
    </row>
    <row r="785" spans="1:11" x14ac:dyDescent="0.35">
      <c r="A785" s="490">
        <v>44153</v>
      </c>
      <c r="B785" s="491">
        <v>328.8</v>
      </c>
      <c r="C785" s="483">
        <f t="shared" si="50"/>
        <v>-2.7297543221109777E-3</v>
      </c>
      <c r="E785" s="492">
        <v>44153</v>
      </c>
      <c r="F785" s="493">
        <v>4887.12</v>
      </c>
      <c r="G785" s="484">
        <f t="shared" si="51"/>
        <v>-3.6635413417491769E-3</v>
      </c>
      <c r="J785" s="483">
        <f t="shared" si="48"/>
        <v>3.0339805825230215E-4</v>
      </c>
      <c r="K785" s="484">
        <f t="shared" si="49"/>
        <v>6.9138093488334551E-3</v>
      </c>
    </row>
    <row r="786" spans="1:11" x14ac:dyDescent="0.35">
      <c r="A786" s="490">
        <v>44152</v>
      </c>
      <c r="B786" s="491">
        <v>329.7</v>
      </c>
      <c r="C786" s="483">
        <f t="shared" si="50"/>
        <v>3.0339805825230215E-4</v>
      </c>
      <c r="E786" s="492">
        <v>44152</v>
      </c>
      <c r="F786" s="493">
        <v>4905.09</v>
      </c>
      <c r="G786" s="484">
        <f t="shared" si="51"/>
        <v>6.9138093488334551E-3</v>
      </c>
      <c r="J786" s="483">
        <f t="shared" si="48"/>
        <v>1.2150668286756705E-3</v>
      </c>
      <c r="K786" s="484">
        <f t="shared" si="49"/>
        <v>7.5599920291402611E-4</v>
      </c>
    </row>
    <row r="787" spans="1:11" x14ac:dyDescent="0.35">
      <c r="A787" s="490">
        <v>44151</v>
      </c>
      <c r="B787" s="491">
        <v>329.6</v>
      </c>
      <c r="C787" s="483">
        <f t="shared" si="50"/>
        <v>1.2150668286756705E-3</v>
      </c>
      <c r="E787" s="492">
        <v>44151</v>
      </c>
      <c r="F787" s="493">
        <v>4871.41</v>
      </c>
      <c r="G787" s="484">
        <f t="shared" si="51"/>
        <v>7.5599920291402611E-4</v>
      </c>
      <c r="J787" s="483">
        <f t="shared" si="48"/>
        <v>-3.0284675953967666E-3</v>
      </c>
      <c r="K787" s="484">
        <f t="shared" si="49"/>
        <v>-7.604438708835648E-3</v>
      </c>
    </row>
    <row r="788" spans="1:11" x14ac:dyDescent="0.35">
      <c r="A788" s="490">
        <v>44150</v>
      </c>
      <c r="B788" s="491">
        <v>329.2</v>
      </c>
      <c r="C788" s="483">
        <f t="shared" si="50"/>
        <v>-3.0284675953967666E-3</v>
      </c>
      <c r="E788" s="492">
        <v>44150</v>
      </c>
      <c r="F788" s="493">
        <v>4867.7299999999996</v>
      </c>
      <c r="G788" s="484">
        <f t="shared" si="51"/>
        <v>-7.604438708835648E-3</v>
      </c>
      <c r="J788" s="483">
        <f t="shared" si="48"/>
        <v>-1.3739545997610625E-2</v>
      </c>
      <c r="K788" s="484">
        <f t="shared" si="49"/>
        <v>4.3696467220484259E-3</v>
      </c>
    </row>
    <row r="789" spans="1:11" x14ac:dyDescent="0.35">
      <c r="A789" s="490">
        <v>44147</v>
      </c>
      <c r="B789" s="491">
        <v>330.2</v>
      </c>
      <c r="C789" s="483">
        <f t="shared" si="50"/>
        <v>-1.3739545997610625E-2</v>
      </c>
      <c r="E789" s="492">
        <v>44147</v>
      </c>
      <c r="F789" s="493">
        <v>4905.03</v>
      </c>
      <c r="G789" s="484">
        <f t="shared" si="51"/>
        <v>4.3696467220484259E-3</v>
      </c>
      <c r="J789" s="483">
        <f t="shared" si="48"/>
        <v>6.9172932330827663E-3</v>
      </c>
      <c r="K789" s="484">
        <f t="shared" si="49"/>
        <v>-3.2553412087420464E-3</v>
      </c>
    </row>
    <row r="790" spans="1:11" x14ac:dyDescent="0.35">
      <c r="A790" s="490">
        <v>44146</v>
      </c>
      <c r="B790" s="491">
        <v>334.8</v>
      </c>
      <c r="C790" s="483">
        <f t="shared" si="50"/>
        <v>6.9172932330827663E-3</v>
      </c>
      <c r="E790" s="492">
        <v>44146</v>
      </c>
      <c r="F790" s="493">
        <v>4883.6899999999996</v>
      </c>
      <c r="G790" s="484">
        <f t="shared" si="51"/>
        <v>-3.2553412087420464E-3</v>
      </c>
      <c r="J790" s="483">
        <f t="shared" si="48"/>
        <v>-6.8697729988053124E-3</v>
      </c>
      <c r="K790" s="484">
        <f t="shared" si="49"/>
        <v>-5.7689927294051202E-3</v>
      </c>
    </row>
    <row r="791" spans="1:11" x14ac:dyDescent="0.35">
      <c r="A791" s="490">
        <v>44145</v>
      </c>
      <c r="B791" s="491">
        <v>332.5</v>
      </c>
      <c r="C791" s="483">
        <f t="shared" si="50"/>
        <v>-6.8697729988053124E-3</v>
      </c>
      <c r="E791" s="492">
        <v>44145</v>
      </c>
      <c r="F791" s="493">
        <v>4899.6400000000003</v>
      </c>
      <c r="G791" s="484">
        <f t="shared" si="51"/>
        <v>-5.7689927294051202E-3</v>
      </c>
      <c r="J791" s="483">
        <f t="shared" si="48"/>
        <v>-7.1174377224199059E-3</v>
      </c>
      <c r="K791" s="484">
        <f t="shared" si="49"/>
        <v>8.9770800117805472E-4</v>
      </c>
    </row>
    <row r="792" spans="1:11" x14ac:dyDescent="0.35">
      <c r="A792" s="490">
        <v>44144</v>
      </c>
      <c r="B792" s="491">
        <v>334.8</v>
      </c>
      <c r="C792" s="483">
        <f t="shared" si="50"/>
        <v>-7.1174377224199059E-3</v>
      </c>
      <c r="E792" s="492">
        <v>44144</v>
      </c>
      <c r="F792" s="493">
        <v>4928.07</v>
      </c>
      <c r="G792" s="484">
        <f t="shared" si="51"/>
        <v>8.9770800117805472E-4</v>
      </c>
      <c r="J792" s="483">
        <f t="shared" si="48"/>
        <v>3.27283546563506E-3</v>
      </c>
      <c r="K792" s="484">
        <f t="shared" si="49"/>
        <v>-3.7372625512938074E-3</v>
      </c>
    </row>
    <row r="793" spans="1:11" x14ac:dyDescent="0.35">
      <c r="A793" s="490">
        <v>44143</v>
      </c>
      <c r="B793" s="491">
        <v>337.2</v>
      </c>
      <c r="C793" s="483">
        <f t="shared" si="50"/>
        <v>3.27283546563506E-3</v>
      </c>
      <c r="E793" s="492">
        <v>44143</v>
      </c>
      <c r="F793" s="493">
        <v>4923.6499999999996</v>
      </c>
      <c r="G793" s="484">
        <f t="shared" si="51"/>
        <v>-3.7372625512938074E-3</v>
      </c>
      <c r="J793" s="483">
        <f t="shared" si="48"/>
        <v>2.2512929723151887E-2</v>
      </c>
      <c r="K793" s="484">
        <f t="shared" si="49"/>
        <v>4.5776079356043553E-3</v>
      </c>
    </row>
    <row r="794" spans="1:11" x14ac:dyDescent="0.35">
      <c r="A794" s="490">
        <v>44140</v>
      </c>
      <c r="B794" s="491">
        <v>336.1</v>
      </c>
      <c r="C794" s="483">
        <f t="shared" si="50"/>
        <v>2.2512929723151887E-2</v>
      </c>
      <c r="E794" s="492">
        <v>44140</v>
      </c>
      <c r="F794" s="493">
        <v>4942.12</v>
      </c>
      <c r="G794" s="484">
        <f t="shared" si="51"/>
        <v>4.5776079356043553E-3</v>
      </c>
      <c r="J794" s="483">
        <f t="shared" si="48"/>
        <v>3.0432136335956095E-4</v>
      </c>
      <c r="K794" s="484">
        <f t="shared" si="49"/>
        <v>-1.706571212314878E-3</v>
      </c>
    </row>
    <row r="795" spans="1:11" x14ac:dyDescent="0.35">
      <c r="A795" s="490">
        <v>44139</v>
      </c>
      <c r="B795" s="491">
        <v>328.7</v>
      </c>
      <c r="C795" s="483">
        <f t="shared" si="50"/>
        <v>3.0432136335956095E-4</v>
      </c>
      <c r="E795" s="492">
        <v>44139</v>
      </c>
      <c r="F795" s="493">
        <v>4919.6000000000004</v>
      </c>
      <c r="G795" s="484">
        <f t="shared" si="51"/>
        <v>-1.706571212314878E-3</v>
      </c>
      <c r="J795" s="483">
        <f t="shared" si="48"/>
        <v>-9.121313469138137E-4</v>
      </c>
      <c r="K795" s="484">
        <f t="shared" si="49"/>
        <v>1.9579617678993078E-3</v>
      </c>
    </row>
    <row r="796" spans="1:11" x14ac:dyDescent="0.35">
      <c r="A796" s="490">
        <v>44138</v>
      </c>
      <c r="B796" s="491">
        <v>328.6</v>
      </c>
      <c r="C796" s="483">
        <f t="shared" si="50"/>
        <v>-9.121313469138137E-4</v>
      </c>
      <c r="E796" s="492">
        <v>44138</v>
      </c>
      <c r="F796" s="493">
        <v>4928.01</v>
      </c>
      <c r="G796" s="484">
        <f t="shared" si="51"/>
        <v>1.9579617678993078E-3</v>
      </c>
      <c r="J796" s="483">
        <f t="shared" si="48"/>
        <v>-9.1130012150675288E-4</v>
      </c>
      <c r="K796" s="484">
        <f t="shared" si="49"/>
        <v>4.4315740460882935E-3</v>
      </c>
    </row>
    <row r="797" spans="1:11" x14ac:dyDescent="0.35">
      <c r="A797" s="490">
        <v>44137</v>
      </c>
      <c r="B797" s="491">
        <v>328.9</v>
      </c>
      <c r="C797" s="483">
        <f t="shared" si="50"/>
        <v>-9.1130012150675288E-4</v>
      </c>
      <c r="E797" s="492">
        <v>44137</v>
      </c>
      <c r="F797" s="493">
        <v>4918.38</v>
      </c>
      <c r="G797" s="484">
        <f t="shared" si="51"/>
        <v>4.4315740460882935E-3</v>
      </c>
      <c r="J797" s="483">
        <f t="shared" si="48"/>
        <v>-1.5165301789505925E-3</v>
      </c>
      <c r="K797" s="484">
        <f t="shared" si="49"/>
        <v>1.0437258826685447E-2</v>
      </c>
    </row>
    <row r="798" spans="1:11" x14ac:dyDescent="0.35">
      <c r="A798" s="490">
        <v>44136</v>
      </c>
      <c r="B798" s="491">
        <v>329.2</v>
      </c>
      <c r="C798" s="483">
        <f t="shared" si="50"/>
        <v>-1.5165301789505925E-3</v>
      </c>
      <c r="E798" s="492">
        <v>44136</v>
      </c>
      <c r="F798" s="493">
        <v>4896.68</v>
      </c>
      <c r="G798" s="484">
        <f t="shared" si="51"/>
        <v>1.0437258826685447E-2</v>
      </c>
      <c r="J798" s="483">
        <f t="shared" si="48"/>
        <v>-9.0909090909097046E-4</v>
      </c>
      <c r="K798" s="484">
        <f t="shared" si="49"/>
        <v>1.5665947438472383E-3</v>
      </c>
    </row>
    <row r="799" spans="1:11" x14ac:dyDescent="0.35">
      <c r="A799" s="490">
        <v>44133</v>
      </c>
      <c r="B799" s="491">
        <v>329.7</v>
      </c>
      <c r="C799" s="483">
        <f t="shared" si="50"/>
        <v>-9.0909090909097046E-4</v>
      </c>
      <c r="E799" s="492">
        <v>44133</v>
      </c>
      <c r="F799" s="493">
        <v>4846.1000000000004</v>
      </c>
      <c r="G799" s="484">
        <f t="shared" si="51"/>
        <v>1.5665947438472383E-3</v>
      </c>
      <c r="J799" s="483">
        <f t="shared" si="48"/>
        <v>-6.6225165562913135E-3</v>
      </c>
      <c r="K799" s="484">
        <f t="shared" si="49"/>
        <v>-6.0477078694154418E-3</v>
      </c>
    </row>
    <row r="800" spans="1:11" x14ac:dyDescent="0.35">
      <c r="A800" s="490">
        <v>44132</v>
      </c>
      <c r="B800" s="491">
        <v>330</v>
      </c>
      <c r="C800" s="483">
        <f t="shared" si="50"/>
        <v>-6.6225165562913135E-3</v>
      </c>
      <c r="E800" s="492">
        <v>44132</v>
      </c>
      <c r="F800" s="493">
        <v>4838.5200000000004</v>
      </c>
      <c r="G800" s="484">
        <f t="shared" si="51"/>
        <v>-6.0477078694154418E-3</v>
      </c>
      <c r="J800" s="483">
        <f t="shared" si="48"/>
        <v>6.0240963855417995E-4</v>
      </c>
      <c r="K800" s="484">
        <f t="shared" si="49"/>
        <v>-4.9161796480383657E-3</v>
      </c>
    </row>
    <row r="801" spans="1:11" x14ac:dyDescent="0.35">
      <c r="A801" s="490">
        <v>44131</v>
      </c>
      <c r="B801" s="491">
        <v>332.2</v>
      </c>
      <c r="C801" s="483">
        <f t="shared" si="50"/>
        <v>6.0240963855417995E-4</v>
      </c>
      <c r="E801" s="492">
        <v>44131</v>
      </c>
      <c r="F801" s="493">
        <v>4867.96</v>
      </c>
      <c r="G801" s="484">
        <f t="shared" si="51"/>
        <v>-4.9161796480383657E-3</v>
      </c>
      <c r="J801" s="483">
        <f t="shared" si="48"/>
        <v>6.0606060606060996E-3</v>
      </c>
      <c r="K801" s="484">
        <f t="shared" si="49"/>
        <v>-4.4810471242543448E-3</v>
      </c>
    </row>
    <row r="802" spans="1:11" x14ac:dyDescent="0.35">
      <c r="A802" s="490">
        <v>44129</v>
      </c>
      <c r="B802" s="491">
        <v>332</v>
      </c>
      <c r="C802" s="483">
        <f t="shared" si="50"/>
        <v>6.0606060606060996E-3</v>
      </c>
      <c r="E802" s="492">
        <v>44129</v>
      </c>
      <c r="F802" s="493">
        <v>4892.01</v>
      </c>
      <c r="G802" s="484">
        <f t="shared" si="51"/>
        <v>-4.4810471242543448E-3</v>
      </c>
      <c r="J802" s="483">
        <f t="shared" si="48"/>
        <v>-3.9239360096589015E-3</v>
      </c>
      <c r="K802" s="484">
        <f t="shared" si="49"/>
        <v>-5.7353793587366919E-4</v>
      </c>
    </row>
    <row r="803" spans="1:11" x14ac:dyDescent="0.35">
      <c r="A803" s="490">
        <v>44126</v>
      </c>
      <c r="B803" s="491">
        <v>330</v>
      </c>
      <c r="C803" s="483">
        <f t="shared" si="50"/>
        <v>-3.9239360096589015E-3</v>
      </c>
      <c r="E803" s="492">
        <v>44126</v>
      </c>
      <c r="F803" s="493">
        <v>4914.03</v>
      </c>
      <c r="G803" s="484">
        <f t="shared" si="51"/>
        <v>-5.7353793587366919E-4</v>
      </c>
      <c r="J803" s="483">
        <f t="shared" si="48"/>
        <v>-1.8077734257305744E-3</v>
      </c>
      <c r="K803" s="484">
        <f t="shared" si="49"/>
        <v>-8.1346280949690097E-5</v>
      </c>
    </row>
    <row r="804" spans="1:11" x14ac:dyDescent="0.35">
      <c r="A804" s="490">
        <v>44125</v>
      </c>
      <c r="B804" s="491">
        <v>331.3</v>
      </c>
      <c r="C804" s="483">
        <f t="shared" si="50"/>
        <v>-1.8077734257305744E-3</v>
      </c>
      <c r="E804" s="492">
        <v>44125</v>
      </c>
      <c r="F804" s="493">
        <v>4916.8500000000004</v>
      </c>
      <c r="G804" s="484">
        <f t="shared" si="51"/>
        <v>-8.1346280949690097E-5</v>
      </c>
      <c r="J804" s="483">
        <f t="shared" si="48"/>
        <v>-1.1908306043465267E-2</v>
      </c>
      <c r="K804" s="484">
        <f t="shared" si="49"/>
        <v>3.0802811011496622E-3</v>
      </c>
    </row>
    <row r="805" spans="1:11" x14ac:dyDescent="0.35">
      <c r="A805" s="490">
        <v>44124</v>
      </c>
      <c r="B805" s="491">
        <v>331.9</v>
      </c>
      <c r="C805" s="483">
        <f t="shared" si="50"/>
        <v>-1.1908306043465267E-2</v>
      </c>
      <c r="E805" s="492">
        <v>44124</v>
      </c>
      <c r="F805" s="493">
        <v>4917.25</v>
      </c>
      <c r="G805" s="484">
        <f t="shared" si="51"/>
        <v>3.0802811011496622E-3</v>
      </c>
      <c r="J805" s="483">
        <f t="shared" si="48"/>
        <v>2.6865671641791433E-3</v>
      </c>
      <c r="K805" s="484">
        <f t="shared" si="49"/>
        <v>5.0229106229433551E-3</v>
      </c>
    </row>
    <row r="806" spans="1:11" x14ac:dyDescent="0.35">
      <c r="A806" s="490">
        <v>44123</v>
      </c>
      <c r="B806" s="491">
        <v>335.9</v>
      </c>
      <c r="C806" s="483">
        <f t="shared" si="50"/>
        <v>2.6865671641791433E-3</v>
      </c>
      <c r="E806" s="492">
        <v>44123</v>
      </c>
      <c r="F806" s="493">
        <v>4902.1499999999996</v>
      </c>
      <c r="G806" s="484">
        <f t="shared" si="51"/>
        <v>5.0229106229433551E-3</v>
      </c>
      <c r="J806" s="483">
        <f t="shared" si="48"/>
        <v>-1.788331867487547E-2</v>
      </c>
      <c r="K806" s="484">
        <f t="shared" si="49"/>
        <v>1.1000987215457059E-3</v>
      </c>
    </row>
    <row r="807" spans="1:11" x14ac:dyDescent="0.35">
      <c r="A807" s="490">
        <v>44122</v>
      </c>
      <c r="B807" s="491">
        <v>335</v>
      </c>
      <c r="C807" s="483">
        <f t="shared" si="50"/>
        <v>-1.788331867487547E-2</v>
      </c>
      <c r="E807" s="492">
        <v>44122</v>
      </c>
      <c r="F807" s="493">
        <v>4877.6499999999996</v>
      </c>
      <c r="G807" s="484">
        <f t="shared" si="51"/>
        <v>1.1000987215457059E-3</v>
      </c>
      <c r="J807" s="483">
        <f t="shared" si="48"/>
        <v>2.0951810835079243E-2</v>
      </c>
      <c r="K807" s="484">
        <f t="shared" si="49"/>
        <v>6.8691168721133344E-3</v>
      </c>
    </row>
    <row r="808" spans="1:11" x14ac:dyDescent="0.35">
      <c r="A808" s="490">
        <v>44119</v>
      </c>
      <c r="B808" s="491">
        <v>341.1</v>
      </c>
      <c r="C808" s="483">
        <f t="shared" si="50"/>
        <v>2.0951810835079243E-2</v>
      </c>
      <c r="E808" s="492">
        <v>44119</v>
      </c>
      <c r="F808" s="493">
        <v>4872.29</v>
      </c>
      <c r="G808" s="484">
        <f t="shared" si="51"/>
        <v>6.8691168721133344E-3</v>
      </c>
      <c r="J808" s="483">
        <f t="shared" si="48"/>
        <v>2.7010804321729864E-3</v>
      </c>
      <c r="K808" s="484">
        <f t="shared" si="49"/>
        <v>-1.6529437895806964E-4</v>
      </c>
    </row>
    <row r="809" spans="1:11" x14ac:dyDescent="0.35">
      <c r="A809" s="490">
        <v>44118</v>
      </c>
      <c r="B809" s="491">
        <v>334.1</v>
      </c>
      <c r="C809" s="483">
        <f t="shared" si="50"/>
        <v>2.7010804321729864E-3</v>
      </c>
      <c r="E809" s="492">
        <v>44118</v>
      </c>
      <c r="F809" s="493">
        <v>4839.05</v>
      </c>
      <c r="G809" s="484">
        <f t="shared" si="51"/>
        <v>-1.6529437895806964E-4</v>
      </c>
      <c r="J809" s="483">
        <f t="shared" si="48"/>
        <v>7.2551390568318386E-3</v>
      </c>
      <c r="K809" s="484">
        <f t="shared" si="49"/>
        <v>6.2685822400567748E-3</v>
      </c>
    </row>
    <row r="810" spans="1:11" x14ac:dyDescent="0.35">
      <c r="A810" s="490">
        <v>44117</v>
      </c>
      <c r="B810" s="491">
        <v>333.2</v>
      </c>
      <c r="C810" s="483">
        <f t="shared" si="50"/>
        <v>7.2551390568318386E-3</v>
      </c>
      <c r="E810" s="492">
        <v>44117</v>
      </c>
      <c r="F810" s="493">
        <v>4839.8500000000004</v>
      </c>
      <c r="G810" s="484">
        <f t="shared" si="51"/>
        <v>6.2685822400567748E-3</v>
      </c>
      <c r="J810" s="483">
        <f t="shared" si="48"/>
        <v>5.4711246200607189E-3</v>
      </c>
      <c r="K810" s="484">
        <f t="shared" si="49"/>
        <v>-1.0015725471146597E-2</v>
      </c>
    </row>
    <row r="811" spans="1:11" x14ac:dyDescent="0.35">
      <c r="A811" s="490">
        <v>44116</v>
      </c>
      <c r="B811" s="491">
        <v>330.8</v>
      </c>
      <c r="C811" s="483">
        <f t="shared" si="50"/>
        <v>5.4711246200607189E-3</v>
      </c>
      <c r="E811" s="492">
        <v>44116</v>
      </c>
      <c r="F811" s="493">
        <v>4809.7</v>
      </c>
      <c r="G811" s="484">
        <f t="shared" si="51"/>
        <v>-1.0015725471146597E-2</v>
      </c>
      <c r="J811" s="483">
        <f t="shared" si="48"/>
        <v>2.132196162046851E-3</v>
      </c>
      <c r="K811" s="484">
        <f t="shared" si="49"/>
        <v>-1.1919942566255393E-2</v>
      </c>
    </row>
    <row r="812" spans="1:11" x14ac:dyDescent="0.35">
      <c r="A812" s="490">
        <v>44115</v>
      </c>
      <c r="B812" s="491">
        <v>329</v>
      </c>
      <c r="C812" s="483">
        <f t="shared" si="50"/>
        <v>2.132196162046851E-3</v>
      </c>
      <c r="E812" s="492">
        <v>44115</v>
      </c>
      <c r="F812" s="493">
        <v>4858.3599999999997</v>
      </c>
      <c r="G812" s="484">
        <f t="shared" si="51"/>
        <v>-1.1919942566255393E-2</v>
      </c>
      <c r="J812" s="483">
        <f t="shared" si="48"/>
        <v>4.282655246252709E-3</v>
      </c>
      <c r="K812" s="484">
        <f t="shared" si="49"/>
        <v>-3.5444607920622762E-3</v>
      </c>
    </row>
    <row r="813" spans="1:11" x14ac:dyDescent="0.35">
      <c r="A813" s="490">
        <v>44112</v>
      </c>
      <c r="B813" s="491">
        <v>328.3</v>
      </c>
      <c r="C813" s="483">
        <f t="shared" si="50"/>
        <v>4.282655246252709E-3</v>
      </c>
      <c r="E813" s="492">
        <v>44112</v>
      </c>
      <c r="F813" s="493">
        <v>4916.97</v>
      </c>
      <c r="G813" s="484">
        <f t="shared" si="51"/>
        <v>-3.5444607920622762E-3</v>
      </c>
      <c r="J813" s="483">
        <f t="shared" si="48"/>
        <v>9.1855480710334447E-4</v>
      </c>
      <c r="K813" s="484">
        <f t="shared" si="49"/>
        <v>1.1361653607528943E-3</v>
      </c>
    </row>
    <row r="814" spans="1:11" x14ac:dyDescent="0.35">
      <c r="A814" s="490">
        <v>44111</v>
      </c>
      <c r="B814" s="491">
        <v>326.89999999999998</v>
      </c>
      <c r="C814" s="483">
        <f t="shared" si="50"/>
        <v>9.1855480710334447E-4</v>
      </c>
      <c r="E814" s="492">
        <v>44111</v>
      </c>
      <c r="F814" s="493">
        <v>4934.46</v>
      </c>
      <c r="G814" s="484">
        <f t="shared" si="51"/>
        <v>1.1361653607528943E-3</v>
      </c>
      <c r="J814" s="483">
        <f t="shared" si="48"/>
        <v>-6.6909975669099397E-3</v>
      </c>
      <c r="K814" s="484">
        <f t="shared" si="49"/>
        <v>-3.6004018865217757E-3</v>
      </c>
    </row>
    <row r="815" spans="1:11" x14ac:dyDescent="0.35">
      <c r="A815" s="490">
        <v>44110</v>
      </c>
      <c r="B815" s="491">
        <v>326.60000000000002</v>
      </c>
      <c r="C815" s="483">
        <f t="shared" si="50"/>
        <v>-6.6909975669099397E-3</v>
      </c>
      <c r="E815" s="492">
        <v>44110</v>
      </c>
      <c r="F815" s="493">
        <v>4928.8599999999997</v>
      </c>
      <c r="G815" s="484">
        <f t="shared" si="51"/>
        <v>-3.6004018865217757E-3</v>
      </c>
      <c r="J815" s="483">
        <f t="shared" si="48"/>
        <v>-3.938200545289372E-3</v>
      </c>
      <c r="K815" s="484">
        <f t="shared" si="49"/>
        <v>-1.0268127787370518E-2</v>
      </c>
    </row>
    <row r="816" spans="1:11" x14ac:dyDescent="0.35">
      <c r="A816" s="490">
        <v>44109</v>
      </c>
      <c r="B816" s="491">
        <v>328.8</v>
      </c>
      <c r="C816" s="483">
        <f t="shared" si="50"/>
        <v>-3.938200545289372E-3</v>
      </c>
      <c r="E816" s="492">
        <v>44109</v>
      </c>
      <c r="F816" s="493">
        <v>4946.67</v>
      </c>
      <c r="G816" s="484">
        <f t="shared" si="51"/>
        <v>-1.0268127787370518E-2</v>
      </c>
      <c r="J816" s="483">
        <f t="shared" si="48"/>
        <v>-2.7190332326283428E-3</v>
      </c>
      <c r="K816" s="484">
        <f t="shared" si="49"/>
        <v>5.3650324003906569E-4</v>
      </c>
    </row>
    <row r="817" spans="1:11" x14ac:dyDescent="0.35">
      <c r="A817" s="490">
        <v>44108</v>
      </c>
      <c r="B817" s="491">
        <v>330.1</v>
      </c>
      <c r="C817" s="483">
        <f t="shared" si="50"/>
        <v>-2.7190332326283428E-3</v>
      </c>
      <c r="E817" s="492">
        <v>44108</v>
      </c>
      <c r="F817" s="493">
        <v>4997.99</v>
      </c>
      <c r="G817" s="484">
        <f t="shared" si="51"/>
        <v>5.3650324003906569E-4</v>
      </c>
      <c r="J817" s="483">
        <f t="shared" si="48"/>
        <v>3.0303030303029388E-3</v>
      </c>
      <c r="K817" s="484">
        <f t="shared" si="49"/>
        <v>6.4513659286482561E-3</v>
      </c>
    </row>
    <row r="818" spans="1:11" x14ac:dyDescent="0.35">
      <c r="A818" s="490">
        <v>44105</v>
      </c>
      <c r="B818" s="491">
        <v>331</v>
      </c>
      <c r="C818" s="483">
        <f t="shared" si="50"/>
        <v>3.0303030303029388E-3</v>
      </c>
      <c r="E818" s="492">
        <v>44105</v>
      </c>
      <c r="F818" s="493">
        <v>4995.3100000000004</v>
      </c>
      <c r="G818" s="484">
        <f t="shared" si="51"/>
        <v>6.4513659286482561E-3</v>
      </c>
      <c r="J818" s="483">
        <f t="shared" si="48"/>
        <v>-5.7246158481469855E-3</v>
      </c>
      <c r="K818" s="484">
        <f t="shared" si="49"/>
        <v>-3.8295028269679232E-3</v>
      </c>
    </row>
    <row r="819" spans="1:11" x14ac:dyDescent="0.35">
      <c r="A819" s="490">
        <v>44104</v>
      </c>
      <c r="B819" s="491">
        <v>330</v>
      </c>
      <c r="C819" s="483">
        <f t="shared" si="50"/>
        <v>-5.7246158481469855E-3</v>
      </c>
      <c r="E819" s="492">
        <v>44104</v>
      </c>
      <c r="F819" s="493">
        <v>4963.29</v>
      </c>
      <c r="G819" s="484">
        <f t="shared" si="51"/>
        <v>-3.8295028269679232E-3</v>
      </c>
      <c r="J819" s="483">
        <f t="shared" si="48"/>
        <v>3.0220610456330732E-3</v>
      </c>
      <c r="K819" s="484">
        <f t="shared" si="49"/>
        <v>-4.2469252261362334E-3</v>
      </c>
    </row>
    <row r="820" spans="1:11" x14ac:dyDescent="0.35">
      <c r="A820" s="490">
        <v>44103</v>
      </c>
      <c r="B820" s="491">
        <v>331.9</v>
      </c>
      <c r="C820" s="483">
        <f t="shared" si="50"/>
        <v>3.0220610456330732E-3</v>
      </c>
      <c r="E820" s="492">
        <v>44103</v>
      </c>
      <c r="F820" s="493">
        <v>4982.37</v>
      </c>
      <c r="G820" s="484">
        <f t="shared" si="51"/>
        <v>-4.2469252261362334E-3</v>
      </c>
      <c r="J820" s="483">
        <f t="shared" si="48"/>
        <v>9.0744101633388752E-4</v>
      </c>
      <c r="K820" s="484">
        <f t="shared" si="49"/>
        <v>6.438558133079697E-3</v>
      </c>
    </row>
    <row r="821" spans="1:11" x14ac:dyDescent="0.35">
      <c r="A821" s="490">
        <v>44102</v>
      </c>
      <c r="B821" s="491">
        <v>330.9</v>
      </c>
      <c r="C821" s="483">
        <f t="shared" si="50"/>
        <v>9.0744101633388752E-4</v>
      </c>
      <c r="E821" s="492">
        <v>44102</v>
      </c>
      <c r="F821" s="493">
        <v>5003.62</v>
      </c>
      <c r="G821" s="484">
        <f t="shared" si="51"/>
        <v>6.438558133079697E-3</v>
      </c>
      <c r="J821" s="483">
        <f t="shared" si="48"/>
        <v>-1.3723150357995095E-2</v>
      </c>
      <c r="K821" s="484">
        <f t="shared" si="49"/>
        <v>-1.4381061989208188E-3</v>
      </c>
    </row>
    <row r="822" spans="1:11" x14ac:dyDescent="0.35">
      <c r="A822" s="490">
        <v>44101</v>
      </c>
      <c r="B822" s="491">
        <v>330.6</v>
      </c>
      <c r="C822" s="483">
        <f t="shared" si="50"/>
        <v>-1.3723150357995095E-2</v>
      </c>
      <c r="E822" s="492">
        <v>44101</v>
      </c>
      <c r="F822" s="493">
        <v>4971.6099999999997</v>
      </c>
      <c r="G822" s="484">
        <f t="shared" si="51"/>
        <v>-1.4381061989208188E-3</v>
      </c>
      <c r="J822" s="483">
        <f t="shared" si="48"/>
        <v>-4.1592394533571664E-3</v>
      </c>
      <c r="K822" s="484">
        <f t="shared" si="49"/>
        <v>1.3354437635380023E-3</v>
      </c>
    </row>
    <row r="823" spans="1:11" x14ac:dyDescent="0.35">
      <c r="A823" s="490">
        <v>44098</v>
      </c>
      <c r="B823" s="491">
        <v>335.2</v>
      </c>
      <c r="C823" s="483">
        <f t="shared" si="50"/>
        <v>-4.1592394533571664E-3</v>
      </c>
      <c r="E823" s="492">
        <v>44098</v>
      </c>
      <c r="F823" s="493">
        <v>4978.7700000000004</v>
      </c>
      <c r="G823" s="484">
        <f t="shared" si="51"/>
        <v>1.3354437635380023E-3</v>
      </c>
      <c r="J823" s="483">
        <f t="shared" si="48"/>
        <v>2.1547799696509884E-2</v>
      </c>
      <c r="K823" s="484">
        <f t="shared" si="49"/>
        <v>4.0844248606664024E-4</v>
      </c>
    </row>
    <row r="824" spans="1:11" x14ac:dyDescent="0.35">
      <c r="A824" s="490">
        <v>44097</v>
      </c>
      <c r="B824" s="491">
        <v>336.6</v>
      </c>
      <c r="C824" s="483">
        <f t="shared" si="50"/>
        <v>2.1547799696509884E-2</v>
      </c>
      <c r="E824" s="492">
        <v>44097</v>
      </c>
      <c r="F824" s="493">
        <v>4972.13</v>
      </c>
      <c r="G824" s="484">
        <f t="shared" si="51"/>
        <v>4.0844248606664024E-4</v>
      </c>
      <c r="J824" s="483">
        <f t="shared" si="48"/>
        <v>-6.6324992463068222E-3</v>
      </c>
      <c r="K824" s="484">
        <f t="shared" si="49"/>
        <v>-8.3836779646137005E-3</v>
      </c>
    </row>
    <row r="825" spans="1:11" x14ac:dyDescent="0.35">
      <c r="A825" s="490">
        <v>44096</v>
      </c>
      <c r="B825" s="491">
        <v>329.5</v>
      </c>
      <c r="C825" s="483">
        <f t="shared" si="50"/>
        <v>-6.6324992463068222E-3</v>
      </c>
      <c r="E825" s="492">
        <v>44096</v>
      </c>
      <c r="F825" s="493">
        <v>4970.1000000000004</v>
      </c>
      <c r="G825" s="484">
        <f t="shared" si="51"/>
        <v>-8.3836779646137005E-3</v>
      </c>
      <c r="J825" s="483">
        <f t="shared" si="48"/>
        <v>-1.4850014850014803E-2</v>
      </c>
      <c r="K825" s="484">
        <f t="shared" si="49"/>
        <v>-1.5081933710234252E-2</v>
      </c>
    </row>
    <row r="826" spans="1:11" x14ac:dyDescent="0.35">
      <c r="A826" s="490">
        <v>44095</v>
      </c>
      <c r="B826" s="491">
        <v>331.7</v>
      </c>
      <c r="C826" s="483">
        <f t="shared" si="50"/>
        <v>-1.4850014850014803E-2</v>
      </c>
      <c r="E826" s="492">
        <v>44095</v>
      </c>
      <c r="F826" s="493">
        <v>5012.12</v>
      </c>
      <c r="G826" s="484">
        <f t="shared" si="51"/>
        <v>-1.5081933710234252E-2</v>
      </c>
      <c r="J826" s="483">
        <f t="shared" si="48"/>
        <v>-1.2030516431924987E-2</v>
      </c>
      <c r="K826" s="484">
        <f t="shared" si="49"/>
        <v>-3.0912991096352371E-3</v>
      </c>
    </row>
    <row r="827" spans="1:11" x14ac:dyDescent="0.35">
      <c r="A827" s="490">
        <v>44094</v>
      </c>
      <c r="B827" s="491">
        <v>336.7</v>
      </c>
      <c r="C827" s="483">
        <f t="shared" si="50"/>
        <v>-1.2030516431924987E-2</v>
      </c>
      <c r="E827" s="492">
        <v>44094</v>
      </c>
      <c r="F827" s="493">
        <v>5088.87</v>
      </c>
      <c r="G827" s="484">
        <f t="shared" si="51"/>
        <v>-3.0912991096352371E-3</v>
      </c>
      <c r="J827" s="483">
        <f t="shared" si="48"/>
        <v>2.9351335485761076E-4</v>
      </c>
      <c r="K827" s="484">
        <f t="shared" si="49"/>
        <v>-2.3764806588481013E-3</v>
      </c>
    </row>
    <row r="828" spans="1:11" x14ac:dyDescent="0.35">
      <c r="A828" s="490">
        <v>44091</v>
      </c>
      <c r="B828" s="491">
        <v>340.8</v>
      </c>
      <c r="C828" s="483">
        <f t="shared" si="50"/>
        <v>2.9351335485761076E-4</v>
      </c>
      <c r="E828" s="492">
        <v>44091</v>
      </c>
      <c r="F828" s="493">
        <v>5104.6499999999996</v>
      </c>
      <c r="G828" s="484">
        <f t="shared" si="51"/>
        <v>-2.3764806588481013E-3</v>
      </c>
      <c r="J828" s="483">
        <f t="shared" si="48"/>
        <v>-1.5033246603064487E-2</v>
      </c>
      <c r="K828" s="484">
        <f t="shared" si="49"/>
        <v>3.1898583287259807E-3</v>
      </c>
    </row>
    <row r="829" spans="1:11" x14ac:dyDescent="0.35">
      <c r="A829" s="490">
        <v>44090</v>
      </c>
      <c r="B829" s="491">
        <v>340.7</v>
      </c>
      <c r="C829" s="483">
        <f t="shared" si="50"/>
        <v>-1.5033246603064487E-2</v>
      </c>
      <c r="E829" s="492">
        <v>44090</v>
      </c>
      <c r="F829" s="493">
        <v>5116.8100000000004</v>
      </c>
      <c r="G829" s="484">
        <f t="shared" si="51"/>
        <v>3.1898583287259807E-3</v>
      </c>
      <c r="J829" s="483">
        <f t="shared" si="48"/>
        <v>-1.1996572407883543E-2</v>
      </c>
      <c r="K829" s="484">
        <f t="shared" si="49"/>
        <v>1.6496011500075625E-3</v>
      </c>
    </row>
    <row r="830" spans="1:11" x14ac:dyDescent="0.35">
      <c r="A830" s="490">
        <v>44089</v>
      </c>
      <c r="B830" s="491">
        <v>345.9</v>
      </c>
      <c r="C830" s="483">
        <f t="shared" si="50"/>
        <v>-1.1996572407883543E-2</v>
      </c>
      <c r="E830" s="492">
        <v>44089</v>
      </c>
      <c r="F830" s="493">
        <v>5100.54</v>
      </c>
      <c r="G830" s="484">
        <f t="shared" si="51"/>
        <v>1.6496011500075625E-3</v>
      </c>
      <c r="J830" s="483">
        <f t="shared" si="48"/>
        <v>-7.6530612244897211E-3</v>
      </c>
      <c r="K830" s="484">
        <f t="shared" si="49"/>
        <v>-3.7494724237097099E-4</v>
      </c>
    </row>
    <row r="831" spans="1:11" x14ac:dyDescent="0.35">
      <c r="A831" s="490">
        <v>44088</v>
      </c>
      <c r="B831" s="491">
        <v>350.1</v>
      </c>
      <c r="C831" s="483">
        <f t="shared" si="50"/>
        <v>-7.6530612244897211E-3</v>
      </c>
      <c r="E831" s="492">
        <v>44088</v>
      </c>
      <c r="F831" s="493">
        <v>5092.1400000000003</v>
      </c>
      <c r="G831" s="484">
        <f t="shared" si="51"/>
        <v>-3.7494724237097099E-4</v>
      </c>
      <c r="J831" s="483">
        <f t="shared" si="48"/>
        <v>1.4959723820483273E-2</v>
      </c>
      <c r="K831" s="484">
        <f t="shared" si="49"/>
        <v>1.6514709785304893E-2</v>
      </c>
    </row>
    <row r="832" spans="1:11" x14ac:dyDescent="0.35">
      <c r="A832" s="490">
        <v>44087</v>
      </c>
      <c r="B832" s="491">
        <v>352.8</v>
      </c>
      <c r="C832" s="483">
        <f t="shared" si="50"/>
        <v>1.4959723820483273E-2</v>
      </c>
      <c r="E832" s="492">
        <v>44087</v>
      </c>
      <c r="F832" s="493">
        <v>5094.05</v>
      </c>
      <c r="G832" s="484">
        <f t="shared" si="51"/>
        <v>1.6514709785304893E-2</v>
      </c>
      <c r="J832" s="483">
        <f t="shared" si="48"/>
        <v>1.2820512820512997E-2</v>
      </c>
      <c r="K832" s="484">
        <f t="shared" si="49"/>
        <v>7.9671258005342693E-3</v>
      </c>
    </row>
    <row r="833" spans="1:11" x14ac:dyDescent="0.35">
      <c r="A833" s="490">
        <v>44084</v>
      </c>
      <c r="B833" s="491">
        <v>347.6</v>
      </c>
      <c r="C833" s="483">
        <f t="shared" si="50"/>
        <v>1.2820512820512997E-2</v>
      </c>
      <c r="E833" s="492">
        <v>44084</v>
      </c>
      <c r="F833" s="493">
        <v>5011.29</v>
      </c>
      <c r="G833" s="484">
        <f t="shared" si="51"/>
        <v>7.9671258005342693E-3</v>
      </c>
      <c r="J833" s="483">
        <f t="shared" si="48"/>
        <v>2.0517395182872322E-2</v>
      </c>
      <c r="K833" s="484">
        <f t="shared" si="49"/>
        <v>-1.3337832843206554E-3</v>
      </c>
    </row>
    <row r="834" spans="1:11" x14ac:dyDescent="0.35">
      <c r="A834" s="490">
        <v>44083</v>
      </c>
      <c r="B834" s="491">
        <v>343.2</v>
      </c>
      <c r="C834" s="483">
        <f t="shared" si="50"/>
        <v>2.0517395182872322E-2</v>
      </c>
      <c r="E834" s="492">
        <v>44083</v>
      </c>
      <c r="F834" s="493">
        <v>4971.68</v>
      </c>
      <c r="G834" s="484">
        <f t="shared" si="51"/>
        <v>-1.3337832843206554E-3</v>
      </c>
      <c r="J834" s="483">
        <f t="shared" si="48"/>
        <v>3.222836095764281E-2</v>
      </c>
      <c r="K834" s="484">
        <f t="shared" si="49"/>
        <v>3.8595090317350422E-3</v>
      </c>
    </row>
    <row r="835" spans="1:11" x14ac:dyDescent="0.35">
      <c r="A835" s="490">
        <v>44082</v>
      </c>
      <c r="B835" s="491">
        <v>336.3</v>
      </c>
      <c r="C835" s="483">
        <f t="shared" si="50"/>
        <v>3.222836095764281E-2</v>
      </c>
      <c r="E835" s="492">
        <v>44082</v>
      </c>
      <c r="F835" s="493">
        <v>4978.32</v>
      </c>
      <c r="G835" s="484">
        <f t="shared" si="51"/>
        <v>3.8595090317350422E-3</v>
      </c>
      <c r="J835" s="483">
        <f t="shared" ref="J835:J898" si="52">(B836/B837)-1</f>
        <v>1.14871158025458E-2</v>
      </c>
      <c r="K835" s="484">
        <f t="shared" ref="K835:K898" si="53">(F836/F837)-1</f>
        <v>2.1460788593044011E-3</v>
      </c>
    </row>
    <row r="836" spans="1:11" x14ac:dyDescent="0.35">
      <c r="A836" s="490">
        <v>44081</v>
      </c>
      <c r="B836" s="491">
        <v>325.8</v>
      </c>
      <c r="C836" s="483">
        <f t="shared" ref="C836:C899" si="54">(B836/B837)-1</f>
        <v>1.14871158025458E-2</v>
      </c>
      <c r="E836" s="492">
        <v>44081</v>
      </c>
      <c r="F836" s="493">
        <v>4959.18</v>
      </c>
      <c r="G836" s="484">
        <f t="shared" ref="G836:G899" si="55">(F836/F837)-1</f>
        <v>2.1460788593044011E-3</v>
      </c>
      <c r="J836" s="483">
        <f t="shared" si="52"/>
        <v>-2.4775472282438926E-3</v>
      </c>
      <c r="K836" s="484">
        <f t="shared" si="53"/>
        <v>4.2087576250757763E-3</v>
      </c>
    </row>
    <row r="837" spans="1:11" x14ac:dyDescent="0.35">
      <c r="A837" s="490">
        <v>44080</v>
      </c>
      <c r="B837" s="491">
        <v>322.10000000000002</v>
      </c>
      <c r="C837" s="483">
        <f t="shared" si="54"/>
        <v>-2.4775472282438926E-3</v>
      </c>
      <c r="E837" s="492">
        <v>44080</v>
      </c>
      <c r="F837" s="493">
        <v>4948.5600000000004</v>
      </c>
      <c r="G837" s="484">
        <f t="shared" si="55"/>
        <v>4.2087576250757763E-3</v>
      </c>
      <c r="J837" s="483">
        <f t="shared" si="52"/>
        <v>5.6057303020864424E-3</v>
      </c>
      <c r="K837" s="484">
        <f t="shared" si="53"/>
        <v>7.418946628151124E-3</v>
      </c>
    </row>
    <row r="838" spans="1:11" x14ac:dyDescent="0.35">
      <c r="A838" s="490">
        <v>44077</v>
      </c>
      <c r="B838" s="491">
        <v>322.89999999999998</v>
      </c>
      <c r="C838" s="483">
        <f t="shared" si="54"/>
        <v>5.6057303020864424E-3</v>
      </c>
      <c r="E838" s="492">
        <v>44077</v>
      </c>
      <c r="F838" s="493">
        <v>4927.82</v>
      </c>
      <c r="G838" s="484">
        <f t="shared" si="55"/>
        <v>7.418946628151124E-3</v>
      </c>
      <c r="J838" s="483">
        <f t="shared" si="52"/>
        <v>3.1240237425804729E-3</v>
      </c>
      <c r="K838" s="484">
        <f t="shared" si="53"/>
        <v>6.0281106161381715E-3</v>
      </c>
    </row>
    <row r="839" spans="1:11" x14ac:dyDescent="0.35">
      <c r="A839" s="490">
        <v>44076</v>
      </c>
      <c r="B839" s="491">
        <v>321.10000000000002</v>
      </c>
      <c r="C839" s="483">
        <f t="shared" si="54"/>
        <v>3.1240237425804729E-3</v>
      </c>
      <c r="E839" s="492">
        <v>44076</v>
      </c>
      <c r="F839" s="493">
        <v>4891.53</v>
      </c>
      <c r="G839" s="484">
        <f t="shared" si="55"/>
        <v>6.0281106161381715E-3</v>
      </c>
      <c r="J839" s="483">
        <f t="shared" si="52"/>
        <v>5.3391959798996247E-3</v>
      </c>
      <c r="K839" s="484">
        <f t="shared" si="53"/>
        <v>-3.4678242477158561E-3</v>
      </c>
    </row>
    <row r="840" spans="1:11" x14ac:dyDescent="0.35">
      <c r="A840" s="490">
        <v>44075</v>
      </c>
      <c r="B840" s="491">
        <v>320.10000000000002</v>
      </c>
      <c r="C840" s="483">
        <f t="shared" si="54"/>
        <v>5.3391959798996247E-3</v>
      </c>
      <c r="E840" s="492">
        <v>44075</v>
      </c>
      <c r="F840" s="493">
        <v>4862.22</v>
      </c>
      <c r="G840" s="484">
        <f t="shared" si="55"/>
        <v>-3.4678242477158561E-3</v>
      </c>
      <c r="J840" s="483">
        <f t="shared" si="52"/>
        <v>1.1114639568116758E-2</v>
      </c>
      <c r="K840" s="484">
        <f t="shared" si="53"/>
        <v>1.2250752590203806E-3</v>
      </c>
    </row>
    <row r="841" spans="1:11" x14ac:dyDescent="0.35">
      <c r="A841" s="490">
        <v>44074</v>
      </c>
      <c r="B841" s="491">
        <v>318.39999999999998</v>
      </c>
      <c r="C841" s="483">
        <f t="shared" si="54"/>
        <v>1.1114639568116758E-2</v>
      </c>
      <c r="E841" s="492">
        <v>44074</v>
      </c>
      <c r="F841" s="493">
        <v>4879.1400000000003</v>
      </c>
      <c r="G841" s="484">
        <f t="shared" si="55"/>
        <v>1.2250752590203806E-3</v>
      </c>
      <c r="J841" s="483">
        <f t="shared" si="52"/>
        <v>-1.9017432646593058E-3</v>
      </c>
      <c r="K841" s="484">
        <f t="shared" si="53"/>
        <v>9.4457459964329971E-3</v>
      </c>
    </row>
    <row r="842" spans="1:11" x14ac:dyDescent="0.35">
      <c r="A842" s="490">
        <v>44070</v>
      </c>
      <c r="B842" s="491">
        <v>314.89999999999998</v>
      </c>
      <c r="C842" s="483">
        <f t="shared" si="54"/>
        <v>-1.9017432646593058E-3</v>
      </c>
      <c r="E842" s="492">
        <v>44070</v>
      </c>
      <c r="F842" s="493">
        <v>4873.17</v>
      </c>
      <c r="G842" s="484">
        <f t="shared" si="55"/>
        <v>9.4457459964329971E-3</v>
      </c>
      <c r="J842" s="483">
        <f t="shared" si="52"/>
        <v>9.6000000000000529E-3</v>
      </c>
      <c r="K842" s="484">
        <f t="shared" si="53"/>
        <v>9.6202711661650397E-3</v>
      </c>
    </row>
    <row r="843" spans="1:11" x14ac:dyDescent="0.35">
      <c r="A843" s="490">
        <v>44069</v>
      </c>
      <c r="B843" s="491">
        <v>315.5</v>
      </c>
      <c r="C843" s="483">
        <f t="shared" si="54"/>
        <v>9.6000000000000529E-3</v>
      </c>
      <c r="E843" s="492">
        <v>44069</v>
      </c>
      <c r="F843" s="493">
        <v>4827.57</v>
      </c>
      <c r="G843" s="484">
        <f t="shared" si="55"/>
        <v>9.6202711661650397E-3</v>
      </c>
      <c r="J843" s="483">
        <f t="shared" si="52"/>
        <v>4.3405676126878179E-2</v>
      </c>
      <c r="K843" s="484">
        <f t="shared" si="53"/>
        <v>4.0189567090749279E-3</v>
      </c>
    </row>
    <row r="844" spans="1:11" x14ac:dyDescent="0.35">
      <c r="A844" s="490">
        <v>44068</v>
      </c>
      <c r="B844" s="491">
        <v>312.5</v>
      </c>
      <c r="C844" s="483">
        <f t="shared" si="54"/>
        <v>4.3405676126878179E-2</v>
      </c>
      <c r="E844" s="492">
        <v>44068</v>
      </c>
      <c r="F844" s="493">
        <v>4781.57</v>
      </c>
      <c r="G844" s="484">
        <f t="shared" si="55"/>
        <v>4.0189567090749279E-3</v>
      </c>
      <c r="J844" s="483">
        <f t="shared" si="52"/>
        <v>1.8707482993197244E-2</v>
      </c>
      <c r="K844" s="484">
        <f t="shared" si="53"/>
        <v>-6.7759211832522093E-3</v>
      </c>
    </row>
    <row r="845" spans="1:11" x14ac:dyDescent="0.35">
      <c r="A845" s="490">
        <v>44067</v>
      </c>
      <c r="B845" s="491">
        <v>299.5</v>
      </c>
      <c r="C845" s="483">
        <f t="shared" si="54"/>
        <v>1.8707482993197244E-2</v>
      </c>
      <c r="E845" s="492">
        <v>44067</v>
      </c>
      <c r="F845" s="493">
        <v>4762.43</v>
      </c>
      <c r="G845" s="484">
        <f t="shared" si="55"/>
        <v>-6.7759211832522093E-3</v>
      </c>
      <c r="J845" s="483">
        <f t="shared" si="52"/>
        <v>2.7612722824187363E-2</v>
      </c>
      <c r="K845" s="484">
        <f t="shared" si="53"/>
        <v>1.7938866013356147E-4</v>
      </c>
    </row>
    <row r="846" spans="1:11" x14ac:dyDescent="0.35">
      <c r="A846" s="490">
        <v>44066</v>
      </c>
      <c r="B846" s="491">
        <v>294</v>
      </c>
      <c r="C846" s="483">
        <f t="shared" si="54"/>
        <v>2.7612722824187363E-2</v>
      </c>
      <c r="E846" s="492">
        <v>44066</v>
      </c>
      <c r="F846" s="493">
        <v>4794.92</v>
      </c>
      <c r="G846" s="484">
        <f t="shared" si="55"/>
        <v>1.7938866013356147E-4</v>
      </c>
      <c r="J846" s="483">
        <f t="shared" si="52"/>
        <v>1.4000700035003977E-3</v>
      </c>
      <c r="K846" s="484">
        <f t="shared" si="53"/>
        <v>9.79251968421746E-4</v>
      </c>
    </row>
    <row r="847" spans="1:11" x14ac:dyDescent="0.35">
      <c r="A847" s="490">
        <v>44063</v>
      </c>
      <c r="B847" s="491">
        <v>286.10000000000002</v>
      </c>
      <c r="C847" s="483">
        <f t="shared" si="54"/>
        <v>1.4000700035003977E-3</v>
      </c>
      <c r="E847" s="492">
        <v>44063</v>
      </c>
      <c r="F847" s="493">
        <v>4794.0600000000004</v>
      </c>
      <c r="G847" s="484">
        <f t="shared" si="55"/>
        <v>9.79251968421746E-4</v>
      </c>
      <c r="J847" s="483">
        <f t="shared" si="52"/>
        <v>6.6948555320647252E-3</v>
      </c>
      <c r="K847" s="484">
        <f t="shared" si="53"/>
        <v>1.4675536535242895E-2</v>
      </c>
    </row>
    <row r="848" spans="1:11" x14ac:dyDescent="0.35">
      <c r="A848" s="490">
        <v>44062</v>
      </c>
      <c r="B848" s="491">
        <v>285.7</v>
      </c>
      <c r="C848" s="483">
        <f t="shared" si="54"/>
        <v>6.6948555320647252E-3</v>
      </c>
      <c r="E848" s="492">
        <v>44062</v>
      </c>
      <c r="F848" s="493">
        <v>4789.37</v>
      </c>
      <c r="G848" s="484">
        <f t="shared" si="55"/>
        <v>1.4675536535242895E-2</v>
      </c>
      <c r="J848" s="483">
        <f t="shared" si="52"/>
        <v>-1.1838440111420545E-2</v>
      </c>
      <c r="K848" s="484">
        <f t="shared" si="53"/>
        <v>-1.357146439737178E-2</v>
      </c>
    </row>
    <row r="849" spans="1:11" x14ac:dyDescent="0.35">
      <c r="A849" s="490">
        <v>44061</v>
      </c>
      <c r="B849" s="491">
        <v>283.8</v>
      </c>
      <c r="C849" s="483">
        <f t="shared" si="54"/>
        <v>-1.1838440111420545E-2</v>
      </c>
      <c r="E849" s="492">
        <v>44061</v>
      </c>
      <c r="F849" s="493">
        <v>4720.1000000000004</v>
      </c>
      <c r="G849" s="484">
        <f t="shared" si="55"/>
        <v>-1.357146439737178E-2</v>
      </c>
      <c r="J849" s="483">
        <f t="shared" si="52"/>
        <v>-1.5426808364758293E-2</v>
      </c>
      <c r="K849" s="484">
        <f t="shared" si="53"/>
        <v>-1.5318511445668981E-2</v>
      </c>
    </row>
    <row r="850" spans="1:11" x14ac:dyDescent="0.35">
      <c r="A850" s="490">
        <v>44060</v>
      </c>
      <c r="B850" s="491">
        <v>287.2</v>
      </c>
      <c r="C850" s="483">
        <f t="shared" si="54"/>
        <v>-1.5426808364758293E-2</v>
      </c>
      <c r="E850" s="492">
        <v>44060</v>
      </c>
      <c r="F850" s="493">
        <v>4785.04</v>
      </c>
      <c r="G850" s="484">
        <f t="shared" si="55"/>
        <v>-1.5318511445668981E-2</v>
      </c>
      <c r="J850" s="483">
        <f t="shared" si="52"/>
        <v>5.8620689655171088E-3</v>
      </c>
      <c r="K850" s="484">
        <f t="shared" si="53"/>
        <v>3.3202078531760604E-2</v>
      </c>
    </row>
    <row r="851" spans="1:11" x14ac:dyDescent="0.35">
      <c r="A851" s="490">
        <v>44059</v>
      </c>
      <c r="B851" s="491">
        <v>291.7</v>
      </c>
      <c r="C851" s="483">
        <f t="shared" si="54"/>
        <v>5.8620689655171088E-3</v>
      </c>
      <c r="E851" s="492">
        <v>44059</v>
      </c>
      <c r="F851" s="493">
        <v>4859.4799999999996</v>
      </c>
      <c r="G851" s="484">
        <f t="shared" si="55"/>
        <v>3.3202078531760604E-2</v>
      </c>
      <c r="J851" s="483">
        <f t="shared" si="52"/>
        <v>5.8966354491847284E-3</v>
      </c>
      <c r="K851" s="484">
        <f t="shared" si="53"/>
        <v>1.5097002829473904E-2</v>
      </c>
    </row>
    <row r="852" spans="1:11" x14ac:dyDescent="0.35">
      <c r="A852" s="490">
        <v>44056</v>
      </c>
      <c r="B852" s="491">
        <v>290</v>
      </c>
      <c r="C852" s="483">
        <f t="shared" si="54"/>
        <v>5.8966354491847284E-3</v>
      </c>
      <c r="E852" s="492">
        <v>44056</v>
      </c>
      <c r="F852" s="493">
        <v>4703.32</v>
      </c>
      <c r="G852" s="484">
        <f t="shared" si="55"/>
        <v>1.5097002829473904E-2</v>
      </c>
      <c r="J852" s="483">
        <f t="shared" si="52"/>
        <v>3.9668229354489659E-2</v>
      </c>
      <c r="K852" s="484">
        <f t="shared" si="53"/>
        <v>2.2130794939389631E-2</v>
      </c>
    </row>
    <row r="853" spans="1:11" x14ac:dyDescent="0.35">
      <c r="A853" s="490">
        <v>44055</v>
      </c>
      <c r="B853" s="491">
        <v>288.3</v>
      </c>
      <c r="C853" s="483">
        <f t="shared" si="54"/>
        <v>3.9668229354489659E-2</v>
      </c>
      <c r="E853" s="492">
        <v>44055</v>
      </c>
      <c r="F853" s="493">
        <v>4633.37</v>
      </c>
      <c r="G853" s="484">
        <f t="shared" si="55"/>
        <v>2.2130794939389631E-2</v>
      </c>
      <c r="J853" s="483">
        <f t="shared" si="52"/>
        <v>2.2869789745481262E-2</v>
      </c>
      <c r="K853" s="484">
        <f t="shared" si="53"/>
        <v>-2.6621783659503961E-3</v>
      </c>
    </row>
    <row r="854" spans="1:11" x14ac:dyDescent="0.35">
      <c r="A854" s="490">
        <v>44053</v>
      </c>
      <c r="B854" s="491">
        <v>277.3</v>
      </c>
      <c r="C854" s="483">
        <f t="shared" si="54"/>
        <v>2.2869789745481262E-2</v>
      </c>
      <c r="E854" s="492">
        <v>44053</v>
      </c>
      <c r="F854" s="493">
        <v>4533.05</v>
      </c>
      <c r="G854" s="484">
        <f t="shared" si="55"/>
        <v>-2.6621783659503961E-3</v>
      </c>
      <c r="J854" s="483">
        <f t="shared" si="52"/>
        <v>6.6483084185680719E-2</v>
      </c>
      <c r="K854" s="484">
        <f t="shared" si="53"/>
        <v>4.1312032771035678E-2</v>
      </c>
    </row>
    <row r="855" spans="1:11" x14ac:dyDescent="0.35">
      <c r="A855" s="490">
        <v>44052</v>
      </c>
      <c r="B855" s="491">
        <v>271.10000000000002</v>
      </c>
      <c r="C855" s="483">
        <f t="shared" si="54"/>
        <v>6.6483084185680719E-2</v>
      </c>
      <c r="E855" s="492">
        <v>44052</v>
      </c>
      <c r="F855" s="493">
        <v>4545.1499999999996</v>
      </c>
      <c r="G855" s="484">
        <f t="shared" si="55"/>
        <v>4.1312032771035678E-2</v>
      </c>
      <c r="J855" s="483">
        <f t="shared" si="52"/>
        <v>-3.529411764705892E-2</v>
      </c>
      <c r="K855" s="484">
        <f t="shared" si="53"/>
        <v>2.177531304060798E-2</v>
      </c>
    </row>
    <row r="856" spans="1:11" x14ac:dyDescent="0.35">
      <c r="A856" s="490">
        <v>44049</v>
      </c>
      <c r="B856" s="491">
        <v>254.2</v>
      </c>
      <c r="C856" s="483">
        <f t="shared" si="54"/>
        <v>-3.529411764705892E-2</v>
      </c>
      <c r="E856" s="492">
        <v>44049</v>
      </c>
      <c r="F856" s="493">
        <v>4364.83</v>
      </c>
      <c r="G856" s="484">
        <f t="shared" si="55"/>
        <v>2.177531304060798E-2</v>
      </c>
      <c r="J856" s="483">
        <f t="shared" si="52"/>
        <v>1.934235976789167E-2</v>
      </c>
      <c r="K856" s="484">
        <f t="shared" si="53"/>
        <v>1.3617532187110148E-2</v>
      </c>
    </row>
    <row r="857" spans="1:11" x14ac:dyDescent="0.35">
      <c r="A857" s="490">
        <v>44046</v>
      </c>
      <c r="B857" s="491">
        <v>263.5</v>
      </c>
      <c r="C857" s="483">
        <f t="shared" si="54"/>
        <v>1.934235976789167E-2</v>
      </c>
      <c r="E857" s="492">
        <v>44046</v>
      </c>
      <c r="F857" s="493">
        <v>4271.8100000000004</v>
      </c>
      <c r="G857" s="484">
        <f t="shared" si="55"/>
        <v>1.3617532187110148E-2</v>
      </c>
      <c r="J857" s="483">
        <f t="shared" si="52"/>
        <v>1.6116352201257733E-2</v>
      </c>
      <c r="K857" s="484">
        <f t="shared" si="53"/>
        <v>1.0361526658995146E-2</v>
      </c>
    </row>
    <row r="858" spans="1:11" x14ac:dyDescent="0.35">
      <c r="A858" s="490">
        <v>44042</v>
      </c>
      <c r="B858" s="491">
        <v>258.5</v>
      </c>
      <c r="C858" s="483">
        <f t="shared" si="54"/>
        <v>1.6116352201257733E-2</v>
      </c>
      <c r="E858" s="492">
        <v>44042</v>
      </c>
      <c r="F858" s="493">
        <v>4214.42</v>
      </c>
      <c r="G858" s="484">
        <f t="shared" si="55"/>
        <v>1.0361526658995146E-2</v>
      </c>
      <c r="J858" s="483">
        <f t="shared" si="52"/>
        <v>7.8678206136917339E-4</v>
      </c>
      <c r="K858" s="484">
        <f t="shared" si="53"/>
        <v>3.5269719526336285E-3</v>
      </c>
    </row>
    <row r="859" spans="1:11" x14ac:dyDescent="0.35">
      <c r="A859" s="490">
        <v>44041</v>
      </c>
      <c r="B859" s="491">
        <v>254.4</v>
      </c>
      <c r="C859" s="483">
        <f t="shared" si="54"/>
        <v>7.8678206136917339E-4</v>
      </c>
      <c r="E859" s="492">
        <v>44041</v>
      </c>
      <c r="F859" s="493">
        <v>4171.2</v>
      </c>
      <c r="G859" s="484">
        <f t="shared" si="55"/>
        <v>3.5269719526336285E-3</v>
      </c>
      <c r="J859" s="483">
        <f t="shared" si="52"/>
        <v>-2.7461749705767202E-3</v>
      </c>
      <c r="K859" s="484">
        <f t="shared" si="53"/>
        <v>2.6921536746933317E-3</v>
      </c>
    </row>
    <row r="860" spans="1:11" x14ac:dyDescent="0.35">
      <c r="A860" s="490">
        <v>44040</v>
      </c>
      <c r="B860" s="491">
        <v>254.2</v>
      </c>
      <c r="C860" s="483">
        <f t="shared" si="54"/>
        <v>-2.7461749705767202E-3</v>
      </c>
      <c r="E860" s="492">
        <v>44040</v>
      </c>
      <c r="F860" s="493">
        <v>4156.54</v>
      </c>
      <c r="G860" s="484">
        <f t="shared" si="55"/>
        <v>2.6921536746933317E-3</v>
      </c>
      <c r="J860" s="483">
        <f t="shared" si="52"/>
        <v>-1.2398295234405388E-2</v>
      </c>
      <c r="K860" s="484">
        <f t="shared" si="53"/>
        <v>3.9500420191471708E-3</v>
      </c>
    </row>
    <row r="861" spans="1:11" x14ac:dyDescent="0.35">
      <c r="A861" s="490">
        <v>44039</v>
      </c>
      <c r="B861" s="491">
        <v>254.9</v>
      </c>
      <c r="C861" s="483">
        <f t="shared" si="54"/>
        <v>-1.2398295234405388E-2</v>
      </c>
      <c r="E861" s="492">
        <v>44039</v>
      </c>
      <c r="F861" s="493">
        <v>4145.38</v>
      </c>
      <c r="G861" s="484">
        <f t="shared" si="55"/>
        <v>3.9500420191471708E-3</v>
      </c>
      <c r="J861" s="483">
        <f t="shared" si="52"/>
        <v>2.9106858054226414E-2</v>
      </c>
      <c r="K861" s="484">
        <f t="shared" si="53"/>
        <v>1.1796330738336636E-2</v>
      </c>
    </row>
    <row r="862" spans="1:11" x14ac:dyDescent="0.35">
      <c r="A862" s="490">
        <v>44038</v>
      </c>
      <c r="B862" s="491">
        <v>258.10000000000002</v>
      </c>
      <c r="C862" s="483">
        <f t="shared" si="54"/>
        <v>2.9106858054226414E-2</v>
      </c>
      <c r="E862" s="492">
        <v>44038</v>
      </c>
      <c r="F862" s="493">
        <v>4129.07</v>
      </c>
      <c r="G862" s="484">
        <f t="shared" si="55"/>
        <v>1.1796330738336636E-2</v>
      </c>
      <c r="J862" s="483">
        <f t="shared" si="52"/>
        <v>1.6619375760032584E-2</v>
      </c>
      <c r="K862" s="484">
        <f t="shared" si="53"/>
        <v>1.0155048457241023E-3</v>
      </c>
    </row>
    <row r="863" spans="1:11" x14ac:dyDescent="0.35">
      <c r="A863" s="490">
        <v>44035</v>
      </c>
      <c r="B863" s="491">
        <v>250.8</v>
      </c>
      <c r="C863" s="483">
        <f t="shared" si="54"/>
        <v>1.6619375760032584E-2</v>
      </c>
      <c r="E863" s="492">
        <v>44035</v>
      </c>
      <c r="F863" s="493">
        <v>4080.93</v>
      </c>
      <c r="G863" s="484">
        <f t="shared" si="55"/>
        <v>1.0155048457241023E-3</v>
      </c>
      <c r="J863" s="483">
        <f t="shared" si="52"/>
        <v>8.113590263691961E-4</v>
      </c>
      <c r="K863" s="484">
        <f t="shared" si="53"/>
        <v>-2.2027563824865704E-3</v>
      </c>
    </row>
    <row r="864" spans="1:11" x14ac:dyDescent="0.35">
      <c r="A864" s="490">
        <v>44034</v>
      </c>
      <c r="B864" s="491">
        <v>246.7</v>
      </c>
      <c r="C864" s="483">
        <f t="shared" si="54"/>
        <v>8.113590263691961E-4</v>
      </c>
      <c r="E864" s="492">
        <v>44034</v>
      </c>
      <c r="F864" s="493">
        <v>4076.79</v>
      </c>
      <c r="G864" s="484">
        <f t="shared" si="55"/>
        <v>-2.2027563824865704E-3</v>
      </c>
      <c r="J864" s="483">
        <f t="shared" si="52"/>
        <v>2.4400162667750358E-3</v>
      </c>
      <c r="K864" s="484">
        <f t="shared" si="53"/>
        <v>3.8426102232103077E-3</v>
      </c>
    </row>
    <row r="865" spans="1:11" x14ac:dyDescent="0.35">
      <c r="A865" s="490">
        <v>44033</v>
      </c>
      <c r="B865" s="491">
        <v>246.5</v>
      </c>
      <c r="C865" s="483">
        <f t="shared" si="54"/>
        <v>2.4400162667750358E-3</v>
      </c>
      <c r="E865" s="492">
        <v>44033</v>
      </c>
      <c r="F865" s="493">
        <v>4085.79</v>
      </c>
      <c r="G865" s="484">
        <f t="shared" si="55"/>
        <v>3.8426102232103077E-3</v>
      </c>
      <c r="J865" s="483">
        <f t="shared" si="52"/>
        <v>7.3740270380990847E-3</v>
      </c>
      <c r="K865" s="484">
        <f t="shared" si="53"/>
        <v>4.8165228210850231E-3</v>
      </c>
    </row>
    <row r="866" spans="1:11" x14ac:dyDescent="0.35">
      <c r="A866" s="490">
        <v>44032</v>
      </c>
      <c r="B866" s="491">
        <v>245.9</v>
      </c>
      <c r="C866" s="483">
        <f t="shared" si="54"/>
        <v>7.3740270380990847E-3</v>
      </c>
      <c r="E866" s="492">
        <v>44032</v>
      </c>
      <c r="F866" s="493">
        <v>4070.15</v>
      </c>
      <c r="G866" s="484">
        <f t="shared" si="55"/>
        <v>4.8165228210850231E-3</v>
      </c>
      <c r="J866" s="483">
        <f t="shared" si="52"/>
        <v>9.0946672178586763E-3</v>
      </c>
      <c r="K866" s="484">
        <f t="shared" si="53"/>
        <v>-4.5390761124669554E-3</v>
      </c>
    </row>
    <row r="867" spans="1:11" x14ac:dyDescent="0.35">
      <c r="A867" s="490">
        <v>44031</v>
      </c>
      <c r="B867" s="491">
        <v>244.1</v>
      </c>
      <c r="C867" s="483">
        <f t="shared" si="54"/>
        <v>9.0946672178586763E-3</v>
      </c>
      <c r="E867" s="492">
        <v>44031</v>
      </c>
      <c r="F867" s="493">
        <v>4050.64</v>
      </c>
      <c r="G867" s="484">
        <f t="shared" si="55"/>
        <v>-4.5390761124669554E-3</v>
      </c>
      <c r="J867" s="483">
        <f t="shared" si="52"/>
        <v>-8.261049153241995E-4</v>
      </c>
      <c r="K867" s="484">
        <f t="shared" si="53"/>
        <v>-2.4417330420904992E-3</v>
      </c>
    </row>
    <row r="868" spans="1:11" x14ac:dyDescent="0.35">
      <c r="A868" s="490">
        <v>44028</v>
      </c>
      <c r="B868" s="491">
        <v>241.9</v>
      </c>
      <c r="C868" s="483">
        <f t="shared" si="54"/>
        <v>-8.261049153241995E-4</v>
      </c>
      <c r="E868" s="492">
        <v>44028</v>
      </c>
      <c r="F868" s="493">
        <v>4069.11</v>
      </c>
      <c r="G868" s="484">
        <f t="shared" si="55"/>
        <v>-2.4417330420904992E-3</v>
      </c>
      <c r="J868" s="483">
        <f t="shared" si="52"/>
        <v>1.2547051442910906E-2</v>
      </c>
      <c r="K868" s="484">
        <f t="shared" si="53"/>
        <v>-7.5205651937459983E-4</v>
      </c>
    </row>
    <row r="869" spans="1:11" x14ac:dyDescent="0.35">
      <c r="A869" s="490">
        <v>44027</v>
      </c>
      <c r="B869" s="491">
        <v>242.1</v>
      </c>
      <c r="C869" s="483">
        <f t="shared" si="54"/>
        <v>1.2547051442910906E-2</v>
      </c>
      <c r="E869" s="492">
        <v>44027</v>
      </c>
      <c r="F869" s="493">
        <v>4079.07</v>
      </c>
      <c r="G869" s="484">
        <f t="shared" si="55"/>
        <v>-7.5205651937459983E-4</v>
      </c>
      <c r="J869" s="483">
        <f t="shared" si="52"/>
        <v>-3.3347228011672003E-3</v>
      </c>
      <c r="K869" s="484">
        <f t="shared" si="53"/>
        <v>-1.802171898344862E-3</v>
      </c>
    </row>
    <row r="870" spans="1:11" x14ac:dyDescent="0.35">
      <c r="A870" s="490">
        <v>44026</v>
      </c>
      <c r="B870" s="491">
        <v>239.1</v>
      </c>
      <c r="C870" s="483">
        <f t="shared" si="54"/>
        <v>-3.3347228011672003E-3</v>
      </c>
      <c r="E870" s="492">
        <v>44026</v>
      </c>
      <c r="F870" s="493">
        <v>4082.14</v>
      </c>
      <c r="G870" s="484">
        <f t="shared" si="55"/>
        <v>-1.802171898344862E-3</v>
      </c>
      <c r="J870" s="483">
        <f t="shared" si="52"/>
        <v>-1.760851760851756E-2</v>
      </c>
      <c r="K870" s="484">
        <f t="shared" si="53"/>
        <v>-2.4174151465329308E-3</v>
      </c>
    </row>
    <row r="871" spans="1:11" x14ac:dyDescent="0.35">
      <c r="A871" s="490">
        <v>44025</v>
      </c>
      <c r="B871" s="491">
        <v>239.9</v>
      </c>
      <c r="C871" s="483">
        <f t="shared" si="54"/>
        <v>-1.760851760851756E-2</v>
      </c>
      <c r="E871" s="492">
        <v>44025</v>
      </c>
      <c r="F871" s="493">
        <v>4089.51</v>
      </c>
      <c r="G871" s="484">
        <f t="shared" si="55"/>
        <v>-2.4174151465329308E-3</v>
      </c>
      <c r="J871" s="483">
        <f t="shared" si="52"/>
        <v>1.8348623853210899E-2</v>
      </c>
      <c r="K871" s="484">
        <f t="shared" si="53"/>
        <v>9.3215414766740778E-3</v>
      </c>
    </row>
    <row r="872" spans="1:11" x14ac:dyDescent="0.35">
      <c r="A872" s="490">
        <v>44024</v>
      </c>
      <c r="B872" s="491">
        <v>244.2</v>
      </c>
      <c r="C872" s="483">
        <f t="shared" si="54"/>
        <v>1.8348623853210899E-2</v>
      </c>
      <c r="E872" s="492">
        <v>44024</v>
      </c>
      <c r="F872" s="493">
        <v>4099.42</v>
      </c>
      <c r="G872" s="484">
        <f t="shared" si="55"/>
        <v>9.3215414766740778E-3</v>
      </c>
      <c r="J872" s="483">
        <f t="shared" si="52"/>
        <v>4.1876046901172526E-3</v>
      </c>
      <c r="K872" s="484">
        <f t="shared" si="53"/>
        <v>2.6657566795581511E-2</v>
      </c>
    </row>
    <row r="873" spans="1:11" x14ac:dyDescent="0.35">
      <c r="A873" s="490">
        <v>44021</v>
      </c>
      <c r="B873" s="491">
        <v>239.8</v>
      </c>
      <c r="C873" s="483">
        <f t="shared" si="54"/>
        <v>4.1876046901172526E-3</v>
      </c>
      <c r="E873" s="492">
        <v>44021</v>
      </c>
      <c r="F873" s="493">
        <v>4061.56</v>
      </c>
      <c r="G873" s="484">
        <f t="shared" si="55"/>
        <v>2.6657566795581511E-2</v>
      </c>
      <c r="J873" s="483">
        <f t="shared" si="52"/>
        <v>-4.1858518208448547E-4</v>
      </c>
      <c r="K873" s="484">
        <f t="shared" si="53"/>
        <v>-1.3656408793617514E-3</v>
      </c>
    </row>
    <row r="874" spans="1:11" x14ac:dyDescent="0.35">
      <c r="A874" s="490">
        <v>43990</v>
      </c>
      <c r="B874" s="491">
        <v>238.8</v>
      </c>
      <c r="C874" s="483">
        <f t="shared" si="54"/>
        <v>-4.1858518208448547E-4</v>
      </c>
      <c r="E874" s="492">
        <v>43990</v>
      </c>
      <c r="F874" s="493">
        <v>3956.1</v>
      </c>
      <c r="G874" s="484">
        <f t="shared" si="55"/>
        <v>-1.3656408793617514E-3</v>
      </c>
      <c r="J874" s="483">
        <f t="shared" si="52"/>
        <v>-4.1841004184095532E-4</v>
      </c>
      <c r="K874" s="484">
        <f t="shared" si="53"/>
        <v>2.056468136126588E-3</v>
      </c>
    </row>
    <row r="875" spans="1:11" x14ac:dyDescent="0.35">
      <c r="A875" s="490">
        <v>43989</v>
      </c>
      <c r="B875" s="491">
        <v>238.9</v>
      </c>
      <c r="C875" s="483">
        <f t="shared" si="54"/>
        <v>-4.1841004184095532E-4</v>
      </c>
      <c r="E875" s="492">
        <v>43989</v>
      </c>
      <c r="F875" s="493">
        <v>3961.51</v>
      </c>
      <c r="G875" s="484">
        <f t="shared" si="55"/>
        <v>2.056468136126588E-3</v>
      </c>
      <c r="J875" s="483">
        <f t="shared" si="52"/>
        <v>4.185851820845965E-4</v>
      </c>
      <c r="K875" s="484">
        <f t="shared" si="53"/>
        <v>-2.5281324115657977E-3</v>
      </c>
    </row>
    <row r="876" spans="1:11" x14ac:dyDescent="0.35">
      <c r="A876" s="490">
        <v>43986</v>
      </c>
      <c r="B876" s="491">
        <v>239</v>
      </c>
      <c r="C876" s="483">
        <f t="shared" si="54"/>
        <v>4.185851820845965E-4</v>
      </c>
      <c r="E876" s="492">
        <v>43986</v>
      </c>
      <c r="F876" s="493">
        <v>3953.38</v>
      </c>
      <c r="G876" s="484">
        <f t="shared" si="55"/>
        <v>-2.5281324115657977E-3</v>
      </c>
      <c r="J876" s="483">
        <f t="shared" si="52"/>
        <v>-4.5833333333332726E-3</v>
      </c>
      <c r="K876" s="484">
        <f t="shared" si="53"/>
        <v>-1.5568397664236233E-3</v>
      </c>
    </row>
    <row r="877" spans="1:11" x14ac:dyDescent="0.35">
      <c r="A877" s="490">
        <v>43985</v>
      </c>
      <c r="B877" s="491">
        <v>238.9</v>
      </c>
      <c r="C877" s="483">
        <f t="shared" si="54"/>
        <v>-4.5833333333332726E-3</v>
      </c>
      <c r="E877" s="492">
        <v>43985</v>
      </c>
      <c r="F877" s="493">
        <v>3963.4</v>
      </c>
      <c r="G877" s="484">
        <f t="shared" si="55"/>
        <v>-1.5568397664236233E-3</v>
      </c>
      <c r="J877" s="483">
        <f t="shared" si="52"/>
        <v>-1.4373716632443578E-2</v>
      </c>
      <c r="K877" s="484">
        <f t="shared" si="53"/>
        <v>-7.4784535028216137E-3</v>
      </c>
    </row>
    <row r="878" spans="1:11" x14ac:dyDescent="0.35">
      <c r="A878" s="490">
        <v>43984</v>
      </c>
      <c r="B878" s="491">
        <v>240</v>
      </c>
      <c r="C878" s="483">
        <f t="shared" si="54"/>
        <v>-1.4373716632443578E-2</v>
      </c>
      <c r="E878" s="492">
        <v>43984</v>
      </c>
      <c r="F878" s="493">
        <v>3969.58</v>
      </c>
      <c r="G878" s="484">
        <f t="shared" si="55"/>
        <v>-7.4784535028216137E-3</v>
      </c>
      <c r="J878" s="483">
        <f t="shared" si="52"/>
        <v>-4.8456428292301679E-2</v>
      </c>
      <c r="K878" s="484">
        <f t="shared" si="53"/>
        <v>-1.5010688496813196E-2</v>
      </c>
    </row>
    <row r="879" spans="1:11" x14ac:dyDescent="0.35">
      <c r="A879" s="490">
        <v>43983</v>
      </c>
      <c r="B879" s="491">
        <v>243.5</v>
      </c>
      <c r="C879" s="483">
        <f t="shared" si="54"/>
        <v>-4.8456428292301679E-2</v>
      </c>
      <c r="E879" s="492">
        <v>43983</v>
      </c>
      <c r="F879" s="493">
        <v>3999.49</v>
      </c>
      <c r="G879" s="484">
        <f t="shared" si="55"/>
        <v>-1.5010688496813196E-2</v>
      </c>
      <c r="J879" s="483">
        <f t="shared" si="52"/>
        <v>7.1608040201005085E-2</v>
      </c>
      <c r="K879" s="484">
        <f t="shared" si="53"/>
        <v>2.5319620117318253E-2</v>
      </c>
    </row>
    <row r="880" spans="1:11" x14ac:dyDescent="0.35">
      <c r="A880" s="490">
        <v>43982</v>
      </c>
      <c r="B880" s="491">
        <v>255.9</v>
      </c>
      <c r="C880" s="483">
        <f t="shared" si="54"/>
        <v>7.1608040201005085E-2</v>
      </c>
      <c r="E880" s="492">
        <v>43982</v>
      </c>
      <c r="F880" s="493">
        <v>4060.44</v>
      </c>
      <c r="G880" s="484">
        <f t="shared" si="55"/>
        <v>2.5319620117318253E-2</v>
      </c>
      <c r="J880" s="483">
        <f t="shared" si="52"/>
        <v>1.4012738853503182E-2</v>
      </c>
      <c r="K880" s="484">
        <f t="shared" si="53"/>
        <v>-3.720792158914743E-3</v>
      </c>
    </row>
    <row r="881" spans="1:11" x14ac:dyDescent="0.35">
      <c r="A881" s="490">
        <v>43912</v>
      </c>
      <c r="B881" s="491">
        <v>238.8</v>
      </c>
      <c r="C881" s="483">
        <f t="shared" si="54"/>
        <v>1.4012738853503182E-2</v>
      </c>
      <c r="E881" s="492">
        <v>43912</v>
      </c>
      <c r="F881" s="493">
        <v>3960.17</v>
      </c>
      <c r="G881" s="484">
        <f t="shared" si="55"/>
        <v>-3.720792158914743E-3</v>
      </c>
      <c r="J881" s="483">
        <f t="shared" si="52"/>
        <v>7.2892938496583071E-2</v>
      </c>
      <c r="K881" s="484">
        <f t="shared" si="53"/>
        <v>0.1029453793754076</v>
      </c>
    </row>
    <row r="882" spans="1:11" x14ac:dyDescent="0.35">
      <c r="A882" s="490">
        <v>43909</v>
      </c>
      <c r="B882" s="491">
        <v>235.5</v>
      </c>
      <c r="C882" s="483">
        <f t="shared" si="54"/>
        <v>7.2892938496583071E-2</v>
      </c>
      <c r="E882" s="492">
        <v>43909</v>
      </c>
      <c r="F882" s="493">
        <v>3974.96</v>
      </c>
      <c r="G882" s="484">
        <f t="shared" si="55"/>
        <v>0.1029453793754076</v>
      </c>
      <c r="J882" s="483">
        <f t="shared" si="52"/>
        <v>-4.4821583986074942E-2</v>
      </c>
      <c r="K882" s="484">
        <f t="shared" si="53"/>
        <v>-4.4691256577116367E-2</v>
      </c>
    </row>
    <row r="883" spans="1:11" x14ac:dyDescent="0.35">
      <c r="A883" s="490">
        <v>43908</v>
      </c>
      <c r="B883" s="491">
        <v>219.5</v>
      </c>
      <c r="C883" s="483">
        <f t="shared" si="54"/>
        <v>-4.4821583986074942E-2</v>
      </c>
      <c r="E883" s="492">
        <v>43908</v>
      </c>
      <c r="F883" s="493">
        <v>3603.95</v>
      </c>
      <c r="G883" s="484">
        <f t="shared" si="55"/>
        <v>-4.4691256577116367E-2</v>
      </c>
      <c r="J883" s="483">
        <f t="shared" si="52"/>
        <v>-4.7263681592039752E-2</v>
      </c>
      <c r="K883" s="484">
        <f t="shared" si="53"/>
        <v>-4.9570328344220926E-2</v>
      </c>
    </row>
    <row r="884" spans="1:11" x14ac:dyDescent="0.35">
      <c r="A884" s="490">
        <v>43906</v>
      </c>
      <c r="B884" s="491">
        <v>229.8</v>
      </c>
      <c r="C884" s="483">
        <f t="shared" si="54"/>
        <v>-4.7263681592039752E-2</v>
      </c>
      <c r="E884" s="492">
        <v>43906</v>
      </c>
      <c r="F884" s="493">
        <v>3772.55</v>
      </c>
      <c r="G884" s="484">
        <f t="shared" si="55"/>
        <v>-4.9570328344220926E-2</v>
      </c>
      <c r="J884" s="483">
        <f t="shared" si="52"/>
        <v>-2.741935483870972E-2</v>
      </c>
      <c r="K884" s="484">
        <f t="shared" si="53"/>
        <v>-3.8898681827426951E-2</v>
      </c>
    </row>
    <row r="885" spans="1:11" x14ac:dyDescent="0.35">
      <c r="A885" s="490">
        <v>43905</v>
      </c>
      <c r="B885" s="491">
        <v>241.2</v>
      </c>
      <c r="C885" s="483">
        <f t="shared" si="54"/>
        <v>-2.741935483870972E-2</v>
      </c>
      <c r="E885" s="492">
        <v>43905</v>
      </c>
      <c r="F885" s="493">
        <v>3969.31</v>
      </c>
      <c r="G885" s="484">
        <f t="shared" si="55"/>
        <v>-3.8898681827426951E-2</v>
      </c>
      <c r="J885" s="483">
        <f t="shared" si="52"/>
        <v>-2.9354207436399271E-2</v>
      </c>
      <c r="K885" s="484">
        <f t="shared" si="53"/>
        <v>-2.3991605773866276E-2</v>
      </c>
    </row>
    <row r="886" spans="1:11" x14ac:dyDescent="0.35">
      <c r="A886" s="490">
        <v>43902</v>
      </c>
      <c r="B886" s="491">
        <v>248</v>
      </c>
      <c r="C886" s="483">
        <f t="shared" si="54"/>
        <v>-2.9354207436399271E-2</v>
      </c>
      <c r="E886" s="492">
        <v>43902</v>
      </c>
      <c r="F886" s="493">
        <v>4129.96</v>
      </c>
      <c r="G886" s="484">
        <f t="shared" si="55"/>
        <v>-2.3991605773866276E-2</v>
      </c>
      <c r="J886" s="483">
        <f t="shared" si="52"/>
        <v>8.6853533359652069E-3</v>
      </c>
      <c r="K886" s="484">
        <f t="shared" si="53"/>
        <v>1.8083304461639083E-2</v>
      </c>
    </row>
    <row r="887" spans="1:11" x14ac:dyDescent="0.35">
      <c r="A887" s="490">
        <v>43901</v>
      </c>
      <c r="B887" s="491">
        <v>255.5</v>
      </c>
      <c r="C887" s="483">
        <f t="shared" si="54"/>
        <v>8.6853533359652069E-3</v>
      </c>
      <c r="E887" s="492">
        <v>43901</v>
      </c>
      <c r="F887" s="493">
        <v>4231.4799999999996</v>
      </c>
      <c r="G887" s="484">
        <f t="shared" si="55"/>
        <v>1.8083304461639083E-2</v>
      </c>
      <c r="J887" s="483">
        <f t="shared" si="52"/>
        <v>1.2794882047181266E-2</v>
      </c>
      <c r="K887" s="484">
        <f t="shared" si="53"/>
        <v>3.6993051483888539E-2</v>
      </c>
    </row>
    <row r="888" spans="1:11" x14ac:dyDescent="0.35">
      <c r="A888" s="490">
        <v>43900</v>
      </c>
      <c r="B888" s="491">
        <v>253.3</v>
      </c>
      <c r="C888" s="483">
        <f t="shared" si="54"/>
        <v>1.2794882047181266E-2</v>
      </c>
      <c r="E888" s="492">
        <v>43900</v>
      </c>
      <c r="F888" s="493">
        <v>4156.32</v>
      </c>
      <c r="G888" s="484">
        <f t="shared" si="55"/>
        <v>3.6993051483888539E-2</v>
      </c>
      <c r="J888" s="483">
        <f t="shared" si="52"/>
        <v>-5.8712834023334604E-2</v>
      </c>
      <c r="K888" s="484">
        <f t="shared" si="53"/>
        <v>-6.5151677714594958E-2</v>
      </c>
    </row>
    <row r="889" spans="1:11" x14ac:dyDescent="0.35">
      <c r="A889" s="490">
        <v>43899</v>
      </c>
      <c r="B889" s="491">
        <v>250.1</v>
      </c>
      <c r="C889" s="483">
        <f t="shared" si="54"/>
        <v>-5.8712834023334604E-2</v>
      </c>
      <c r="E889" s="492">
        <v>43899</v>
      </c>
      <c r="F889" s="493">
        <v>4008.05</v>
      </c>
      <c r="G889" s="484">
        <f t="shared" si="55"/>
        <v>-6.5151677714594958E-2</v>
      </c>
      <c r="J889" s="483">
        <f t="shared" si="52"/>
        <v>7.2024260803638107E-3</v>
      </c>
      <c r="K889" s="484">
        <f t="shared" si="53"/>
        <v>-2.2146297850600183E-2</v>
      </c>
    </row>
    <row r="890" spans="1:11" x14ac:dyDescent="0.35">
      <c r="A890" s="490">
        <v>43898</v>
      </c>
      <c r="B890" s="491">
        <v>265.7</v>
      </c>
      <c r="C890" s="483">
        <f t="shared" si="54"/>
        <v>7.2024260803638107E-3</v>
      </c>
      <c r="E890" s="492">
        <v>43898</v>
      </c>
      <c r="F890" s="493">
        <v>4287.38</v>
      </c>
      <c r="G890" s="484">
        <f t="shared" si="55"/>
        <v>-2.2146297850600183E-2</v>
      </c>
      <c r="J890" s="483">
        <f t="shared" si="52"/>
        <v>-2.2600963319747924E-2</v>
      </c>
      <c r="K890" s="484">
        <f t="shared" si="53"/>
        <v>-5.7011715295196552E-3</v>
      </c>
    </row>
    <row r="891" spans="1:11" x14ac:dyDescent="0.35">
      <c r="A891" s="490">
        <v>43895</v>
      </c>
      <c r="B891" s="491">
        <v>263.8</v>
      </c>
      <c r="C891" s="483">
        <f t="shared" si="54"/>
        <v>-2.2600963319747924E-2</v>
      </c>
      <c r="E891" s="492">
        <v>43895</v>
      </c>
      <c r="F891" s="493">
        <v>4384.4799999999996</v>
      </c>
      <c r="G891" s="484">
        <f t="shared" si="55"/>
        <v>-5.7011715295196552E-3</v>
      </c>
      <c r="J891" s="483">
        <f t="shared" si="52"/>
        <v>5.2141527001861032E-3</v>
      </c>
      <c r="K891" s="484">
        <f t="shared" si="53"/>
        <v>-1.2639748145461205E-2</v>
      </c>
    </row>
    <row r="892" spans="1:11" x14ac:dyDescent="0.35">
      <c r="A892" s="490">
        <v>43894</v>
      </c>
      <c r="B892" s="491">
        <v>269.89999999999998</v>
      </c>
      <c r="C892" s="483">
        <f t="shared" si="54"/>
        <v>5.2141527001861032E-3</v>
      </c>
      <c r="E892" s="492">
        <v>43894</v>
      </c>
      <c r="F892" s="493">
        <v>4409.62</v>
      </c>
      <c r="G892" s="484">
        <f t="shared" si="55"/>
        <v>-1.2639748145461205E-2</v>
      </c>
      <c r="J892" s="483">
        <f t="shared" si="52"/>
        <v>-1.0685335298452392E-2</v>
      </c>
      <c r="K892" s="484">
        <f t="shared" si="53"/>
        <v>7.0487799928293793E-3</v>
      </c>
    </row>
    <row r="893" spans="1:11" x14ac:dyDescent="0.35">
      <c r="A893" s="490">
        <v>43893</v>
      </c>
      <c r="B893" s="491">
        <v>268.5</v>
      </c>
      <c r="C893" s="483">
        <f t="shared" si="54"/>
        <v>-1.0685335298452392E-2</v>
      </c>
      <c r="E893" s="492">
        <v>43893</v>
      </c>
      <c r="F893" s="493">
        <v>4466.07</v>
      </c>
      <c r="G893" s="484">
        <f t="shared" si="55"/>
        <v>7.0487799928293793E-3</v>
      </c>
      <c r="J893" s="483">
        <f t="shared" si="52"/>
        <v>3.3271719038816538E-3</v>
      </c>
      <c r="K893" s="484">
        <f t="shared" si="53"/>
        <v>5.6463737355185728E-3</v>
      </c>
    </row>
    <row r="894" spans="1:11" x14ac:dyDescent="0.35">
      <c r="A894" s="490">
        <v>43892</v>
      </c>
      <c r="B894" s="491">
        <v>271.39999999999998</v>
      </c>
      <c r="C894" s="483">
        <f t="shared" si="54"/>
        <v>3.3271719038816538E-3</v>
      </c>
      <c r="E894" s="492">
        <v>43892</v>
      </c>
      <c r="F894" s="493">
        <v>4434.8100000000004</v>
      </c>
      <c r="G894" s="484">
        <f t="shared" si="55"/>
        <v>5.6463737355185728E-3</v>
      </c>
      <c r="J894" s="483">
        <f t="shared" si="52"/>
        <v>-1.4212827988338117E-2</v>
      </c>
      <c r="K894" s="484">
        <f t="shared" si="53"/>
        <v>-1.5693425769270353E-2</v>
      </c>
    </row>
    <row r="895" spans="1:11" x14ac:dyDescent="0.35">
      <c r="A895" s="490">
        <v>43891</v>
      </c>
      <c r="B895" s="491">
        <v>270.5</v>
      </c>
      <c r="C895" s="483">
        <f t="shared" si="54"/>
        <v>-1.4212827988338117E-2</v>
      </c>
      <c r="E895" s="492">
        <v>43891</v>
      </c>
      <c r="F895" s="493">
        <v>4409.91</v>
      </c>
      <c r="G895" s="484">
        <f t="shared" si="55"/>
        <v>-1.5693425769270353E-2</v>
      </c>
      <c r="J895" s="483">
        <f t="shared" si="52"/>
        <v>-4.7552933009371912E-2</v>
      </c>
      <c r="K895" s="484">
        <f t="shared" si="53"/>
        <v>-1.5143621499589921E-2</v>
      </c>
    </row>
    <row r="896" spans="1:11" x14ac:dyDescent="0.35">
      <c r="A896" s="490">
        <v>43888</v>
      </c>
      <c r="B896" s="491">
        <v>274.39999999999998</v>
      </c>
      <c r="C896" s="483">
        <f t="shared" si="54"/>
        <v>-4.7552933009371912E-2</v>
      </c>
      <c r="E896" s="492">
        <v>43888</v>
      </c>
      <c r="F896" s="493">
        <v>4480.22</v>
      </c>
      <c r="G896" s="484">
        <f t="shared" si="55"/>
        <v>-1.5143621499589921E-2</v>
      </c>
      <c r="J896" s="483">
        <f t="shared" si="52"/>
        <v>-1.4705882352941013E-2</v>
      </c>
      <c r="K896" s="484">
        <f t="shared" si="53"/>
        <v>-1.5597714008729335E-2</v>
      </c>
    </row>
    <row r="897" spans="1:11" x14ac:dyDescent="0.35">
      <c r="A897" s="490">
        <v>43887</v>
      </c>
      <c r="B897" s="491">
        <v>288.10000000000002</v>
      </c>
      <c r="C897" s="483">
        <f t="shared" si="54"/>
        <v>-1.4705882352941013E-2</v>
      </c>
      <c r="E897" s="492">
        <v>43887</v>
      </c>
      <c r="F897" s="493">
        <v>4549.1099999999997</v>
      </c>
      <c r="G897" s="484">
        <f t="shared" si="55"/>
        <v>-1.5597714008729335E-2</v>
      </c>
      <c r="J897" s="483">
        <f t="shared" si="52"/>
        <v>-2.0107238605898137E-2</v>
      </c>
      <c r="K897" s="484">
        <f t="shared" si="53"/>
        <v>-6.3858745315413801E-3</v>
      </c>
    </row>
    <row r="898" spans="1:11" x14ac:dyDescent="0.35">
      <c r="A898" s="490">
        <v>43886</v>
      </c>
      <c r="B898" s="491">
        <v>292.39999999999998</v>
      </c>
      <c r="C898" s="483">
        <f t="shared" si="54"/>
        <v>-2.0107238605898137E-2</v>
      </c>
      <c r="E898" s="492">
        <v>43886</v>
      </c>
      <c r="F898" s="493">
        <v>4621.1899999999996</v>
      </c>
      <c r="G898" s="484">
        <f t="shared" si="55"/>
        <v>-6.3858745315413801E-3</v>
      </c>
      <c r="J898" s="483">
        <f t="shared" si="52"/>
        <v>-6.6332916145181664E-2</v>
      </c>
      <c r="K898" s="484">
        <f t="shared" si="53"/>
        <v>-1.0215178478321429E-2</v>
      </c>
    </row>
    <row r="899" spans="1:11" x14ac:dyDescent="0.35">
      <c r="A899" s="490">
        <v>43885</v>
      </c>
      <c r="B899" s="491">
        <v>298.39999999999998</v>
      </c>
      <c r="C899" s="483">
        <f t="shared" si="54"/>
        <v>-6.6332916145181664E-2</v>
      </c>
      <c r="E899" s="492">
        <v>43885</v>
      </c>
      <c r="F899" s="493">
        <v>4650.8900000000003</v>
      </c>
      <c r="G899" s="484">
        <f t="shared" si="55"/>
        <v>-1.0215178478321429E-2</v>
      </c>
      <c r="J899" s="483">
        <f t="shared" ref="J899:J962" si="56">(B900/B901)-1</f>
        <v>8.1190798376183926E-2</v>
      </c>
      <c r="K899" s="484">
        <f t="shared" ref="K899:K962" si="57">(F900/F901)-1</f>
        <v>-7.2362110565079574E-3</v>
      </c>
    </row>
    <row r="900" spans="1:11" x14ac:dyDescent="0.35">
      <c r="A900" s="490">
        <v>43884</v>
      </c>
      <c r="B900" s="491">
        <v>319.60000000000002</v>
      </c>
      <c r="C900" s="483">
        <f t="shared" ref="C900:C963" si="58">(B900/B901)-1</f>
        <v>8.1190798376183926E-2</v>
      </c>
      <c r="E900" s="492">
        <v>43884</v>
      </c>
      <c r="F900" s="493">
        <v>4698.8900000000003</v>
      </c>
      <c r="G900" s="484">
        <f t="shared" ref="G900:G963" si="59">(F900/F901)-1</f>
        <v>-7.2362110565079574E-3</v>
      </c>
      <c r="J900" s="483">
        <f t="shared" si="56"/>
        <v>3.7557037557037765E-2</v>
      </c>
      <c r="K900" s="484">
        <f t="shared" si="57"/>
        <v>-5.2248844052121823E-3</v>
      </c>
    </row>
    <row r="901" spans="1:11" x14ac:dyDescent="0.35">
      <c r="A901" s="490">
        <v>43881</v>
      </c>
      <c r="B901" s="491">
        <v>295.60000000000002</v>
      </c>
      <c r="C901" s="483">
        <f t="shared" si="58"/>
        <v>3.7557037557037765E-2</v>
      </c>
      <c r="E901" s="492">
        <v>43881</v>
      </c>
      <c r="F901" s="493">
        <v>4733.1400000000003</v>
      </c>
      <c r="G901" s="484">
        <f t="shared" si="59"/>
        <v>-5.2248844052121823E-3</v>
      </c>
      <c r="J901" s="483">
        <f t="shared" si="56"/>
        <v>7.7126654064272104E-2</v>
      </c>
      <c r="K901" s="484">
        <f t="shared" si="57"/>
        <v>3.7127668551177884E-3</v>
      </c>
    </row>
    <row r="902" spans="1:11" x14ac:dyDescent="0.35">
      <c r="A902" s="490">
        <v>43880</v>
      </c>
      <c r="B902" s="491">
        <v>284.89999999999998</v>
      </c>
      <c r="C902" s="483">
        <f t="shared" si="58"/>
        <v>7.7126654064272104E-2</v>
      </c>
      <c r="E902" s="492">
        <v>43880</v>
      </c>
      <c r="F902" s="493">
        <v>4758</v>
      </c>
      <c r="G902" s="484">
        <f t="shared" si="59"/>
        <v>3.7127668551177884E-3</v>
      </c>
      <c r="J902" s="483">
        <f t="shared" si="56"/>
        <v>9.5419847328244156E-3</v>
      </c>
      <c r="K902" s="484">
        <f t="shared" si="57"/>
        <v>1.3201947551302329E-3</v>
      </c>
    </row>
    <row r="903" spans="1:11" x14ac:dyDescent="0.35">
      <c r="A903" s="490">
        <v>43879</v>
      </c>
      <c r="B903" s="491">
        <v>264.5</v>
      </c>
      <c r="C903" s="483">
        <f t="shared" si="58"/>
        <v>9.5419847328244156E-3</v>
      </c>
      <c r="E903" s="492">
        <v>43879</v>
      </c>
      <c r="F903" s="493">
        <v>4740.3999999999996</v>
      </c>
      <c r="G903" s="484">
        <f t="shared" si="59"/>
        <v>1.3201947551302329E-3</v>
      </c>
      <c r="J903" s="483">
        <f t="shared" si="56"/>
        <v>1.2364760432766575E-2</v>
      </c>
      <c r="K903" s="484">
        <f t="shared" si="57"/>
        <v>3.7142275024591331E-2</v>
      </c>
    </row>
    <row r="904" spans="1:11" x14ac:dyDescent="0.35">
      <c r="A904" s="490">
        <v>43877</v>
      </c>
      <c r="B904" s="491">
        <v>262</v>
      </c>
      <c r="C904" s="483">
        <f t="shared" si="58"/>
        <v>1.2364760432766575E-2</v>
      </c>
      <c r="E904" s="492">
        <v>43877</v>
      </c>
      <c r="F904" s="493">
        <v>4734.1499999999996</v>
      </c>
      <c r="G904" s="484">
        <f t="shared" si="59"/>
        <v>3.7142275024591331E-2</v>
      </c>
      <c r="J904" s="483">
        <f t="shared" si="56"/>
        <v>1.5479876160993111E-3</v>
      </c>
      <c r="K904" s="484">
        <f t="shared" si="57"/>
        <v>1.8697428824570483E-2</v>
      </c>
    </row>
    <row r="905" spans="1:11" x14ac:dyDescent="0.35">
      <c r="A905" s="490">
        <v>43874</v>
      </c>
      <c r="B905" s="491">
        <v>258.8</v>
      </c>
      <c r="C905" s="483">
        <f t="shared" si="58"/>
        <v>1.5479876160993111E-3</v>
      </c>
      <c r="E905" s="492">
        <v>43874</v>
      </c>
      <c r="F905" s="493">
        <v>4564.6099999999997</v>
      </c>
      <c r="G905" s="484">
        <f t="shared" si="59"/>
        <v>1.8697428824570483E-2</v>
      </c>
      <c r="J905" s="483">
        <f t="shared" si="56"/>
        <v>-9.5822154082023658E-3</v>
      </c>
      <c r="K905" s="484">
        <f t="shared" si="57"/>
        <v>2.0843070908931338E-3</v>
      </c>
    </row>
    <row r="906" spans="1:11" x14ac:dyDescent="0.35">
      <c r="A906" s="490">
        <v>43873</v>
      </c>
      <c r="B906" s="491">
        <v>258.39999999999998</v>
      </c>
      <c r="C906" s="483">
        <f t="shared" si="58"/>
        <v>-9.5822154082023658E-3</v>
      </c>
      <c r="E906" s="492">
        <v>43873</v>
      </c>
      <c r="F906" s="493">
        <v>4480.83</v>
      </c>
      <c r="G906" s="484">
        <f t="shared" si="59"/>
        <v>2.0843070908931338E-3</v>
      </c>
      <c r="J906" s="483">
        <f t="shared" si="56"/>
        <v>1.8345042935206779E-2</v>
      </c>
      <c r="K906" s="484">
        <f t="shared" si="57"/>
        <v>1.9603059144369883E-2</v>
      </c>
    </row>
    <row r="907" spans="1:11" x14ac:dyDescent="0.35">
      <c r="A907" s="490">
        <v>43872</v>
      </c>
      <c r="B907" s="491">
        <v>260.89999999999998</v>
      </c>
      <c r="C907" s="483">
        <f t="shared" si="58"/>
        <v>1.8345042935206779E-2</v>
      </c>
      <c r="E907" s="492">
        <v>43872</v>
      </c>
      <c r="F907" s="493">
        <v>4471.51</v>
      </c>
      <c r="G907" s="484">
        <f t="shared" si="59"/>
        <v>1.9603059144369883E-2</v>
      </c>
      <c r="J907" s="483">
        <f t="shared" si="56"/>
        <v>-8.8974854932302172E-3</v>
      </c>
      <c r="K907" s="484">
        <f t="shared" si="57"/>
        <v>-7.3141555112499201E-4</v>
      </c>
    </row>
    <row r="908" spans="1:11" x14ac:dyDescent="0.35">
      <c r="A908" s="490">
        <v>43871</v>
      </c>
      <c r="B908" s="491">
        <v>256.2</v>
      </c>
      <c r="C908" s="483">
        <f t="shared" si="58"/>
        <v>-8.8974854932302172E-3</v>
      </c>
      <c r="E908" s="492">
        <v>43871</v>
      </c>
      <c r="F908" s="493">
        <v>4385.54</v>
      </c>
      <c r="G908" s="484">
        <f t="shared" si="59"/>
        <v>-7.3141555112499201E-4</v>
      </c>
      <c r="J908" s="483">
        <f t="shared" si="56"/>
        <v>-8.4388185654008518E-3</v>
      </c>
      <c r="K908" s="484">
        <f t="shared" si="57"/>
        <v>-1.4419622004239852E-2</v>
      </c>
    </row>
    <row r="909" spans="1:11" x14ac:dyDescent="0.35">
      <c r="A909" s="490">
        <v>43870</v>
      </c>
      <c r="B909" s="491">
        <v>258.5</v>
      </c>
      <c r="C909" s="483">
        <f t="shared" si="58"/>
        <v>-8.4388185654008518E-3</v>
      </c>
      <c r="E909" s="492">
        <v>43870</v>
      </c>
      <c r="F909" s="493">
        <v>4388.75</v>
      </c>
      <c r="G909" s="484">
        <f t="shared" si="59"/>
        <v>-1.4419622004239852E-2</v>
      </c>
      <c r="J909" s="483">
        <f t="shared" si="56"/>
        <v>-7.9908675799087447E-3</v>
      </c>
      <c r="K909" s="484">
        <f t="shared" si="57"/>
        <v>-2.8952795523401464E-3</v>
      </c>
    </row>
    <row r="910" spans="1:11" x14ac:dyDescent="0.35">
      <c r="A910" s="490">
        <v>43867</v>
      </c>
      <c r="B910" s="491">
        <v>260.7</v>
      </c>
      <c r="C910" s="483">
        <f t="shared" si="58"/>
        <v>-7.9908675799087447E-3</v>
      </c>
      <c r="E910" s="492">
        <v>43867</v>
      </c>
      <c r="F910" s="493">
        <v>4452.96</v>
      </c>
      <c r="G910" s="484">
        <f t="shared" si="59"/>
        <v>-2.8952795523401464E-3</v>
      </c>
      <c r="J910" s="483">
        <f t="shared" si="56"/>
        <v>-2.0134228187919434E-2</v>
      </c>
      <c r="K910" s="484">
        <f t="shared" si="57"/>
        <v>-3.0160289324461242E-3</v>
      </c>
    </row>
    <row r="911" spans="1:11" x14ac:dyDescent="0.35">
      <c r="A911" s="490">
        <v>43866</v>
      </c>
      <c r="B911" s="491">
        <v>262.8</v>
      </c>
      <c r="C911" s="483">
        <f t="shared" si="58"/>
        <v>-2.0134228187919434E-2</v>
      </c>
      <c r="E911" s="492">
        <v>43866</v>
      </c>
      <c r="F911" s="493">
        <v>4465.8900000000003</v>
      </c>
      <c r="G911" s="484">
        <f t="shared" si="59"/>
        <v>-3.0160289324461242E-3</v>
      </c>
      <c r="J911" s="483">
        <f t="shared" si="56"/>
        <v>-1.6501650165016479E-2</v>
      </c>
      <c r="K911" s="484">
        <f t="shared" si="57"/>
        <v>-6.0951391986012737E-3</v>
      </c>
    </row>
    <row r="912" spans="1:11" x14ac:dyDescent="0.35">
      <c r="A912" s="490">
        <v>43865</v>
      </c>
      <c r="B912" s="491">
        <v>268.2</v>
      </c>
      <c r="C912" s="483">
        <f t="shared" si="58"/>
        <v>-1.6501650165016479E-2</v>
      </c>
      <c r="E912" s="492">
        <v>43865</v>
      </c>
      <c r="F912" s="493">
        <v>4479.3999999999996</v>
      </c>
      <c r="G912" s="484">
        <f t="shared" si="59"/>
        <v>-6.0951391986012737E-3</v>
      </c>
      <c r="J912" s="483">
        <f t="shared" si="56"/>
        <v>5.8618012422360088E-2</v>
      </c>
      <c r="K912" s="484">
        <f t="shared" si="57"/>
        <v>5.6588069646168471E-3</v>
      </c>
    </row>
    <row r="913" spans="1:11" x14ac:dyDescent="0.35">
      <c r="A913" s="490">
        <v>43864</v>
      </c>
      <c r="B913" s="491">
        <v>272.7</v>
      </c>
      <c r="C913" s="483">
        <f t="shared" si="58"/>
        <v>5.8618012422360088E-2</v>
      </c>
      <c r="E913" s="492">
        <v>43864</v>
      </c>
      <c r="F913" s="493">
        <v>4506.87</v>
      </c>
      <c r="G913" s="484">
        <f t="shared" si="59"/>
        <v>5.6588069646168471E-3</v>
      </c>
      <c r="J913" s="483">
        <f t="shared" si="56"/>
        <v>-7.7579519006976128E-4</v>
      </c>
      <c r="K913" s="484">
        <f t="shared" si="57"/>
        <v>2.6534516125424901E-3</v>
      </c>
    </row>
    <row r="914" spans="1:11" x14ac:dyDescent="0.35">
      <c r="A914" s="490">
        <v>43863</v>
      </c>
      <c r="B914" s="491">
        <v>257.60000000000002</v>
      </c>
      <c r="C914" s="483">
        <f t="shared" si="58"/>
        <v>-7.7579519006976128E-4</v>
      </c>
      <c r="E914" s="492">
        <v>43863</v>
      </c>
      <c r="F914" s="493">
        <v>4481.51</v>
      </c>
      <c r="G914" s="484">
        <f t="shared" si="59"/>
        <v>2.6534516125424901E-3</v>
      </c>
      <c r="J914" s="483">
        <f t="shared" si="56"/>
        <v>-1.2638835695136019E-2</v>
      </c>
      <c r="K914" s="484">
        <f t="shared" si="57"/>
        <v>-2.7087391421731777E-3</v>
      </c>
    </row>
    <row r="915" spans="1:11" x14ac:dyDescent="0.35">
      <c r="A915" s="490">
        <v>43860</v>
      </c>
      <c r="B915" s="491">
        <v>257.8</v>
      </c>
      <c r="C915" s="483">
        <f t="shared" si="58"/>
        <v>-1.2638835695136019E-2</v>
      </c>
      <c r="E915" s="492">
        <v>43860</v>
      </c>
      <c r="F915" s="493">
        <v>4469.6499999999996</v>
      </c>
      <c r="G915" s="484">
        <f t="shared" si="59"/>
        <v>-2.7087391421731777E-3</v>
      </c>
      <c r="J915" s="483">
        <f t="shared" si="56"/>
        <v>-1.989489489489471E-2</v>
      </c>
      <c r="K915" s="484">
        <f t="shared" si="57"/>
        <v>-6.4246237338637657E-3</v>
      </c>
    </row>
    <row r="916" spans="1:11" x14ac:dyDescent="0.35">
      <c r="A916" s="490">
        <v>43859</v>
      </c>
      <c r="B916" s="491">
        <v>261.10000000000002</v>
      </c>
      <c r="C916" s="483">
        <f t="shared" si="58"/>
        <v>-1.989489489489471E-2</v>
      </c>
      <c r="E916" s="492">
        <v>43859</v>
      </c>
      <c r="F916" s="493">
        <v>4481.79</v>
      </c>
      <c r="G916" s="484">
        <f t="shared" si="59"/>
        <v>-6.4246237338637657E-3</v>
      </c>
      <c r="J916" s="483">
        <f t="shared" si="56"/>
        <v>-1.8422991893883522E-2</v>
      </c>
      <c r="K916" s="484">
        <f t="shared" si="57"/>
        <v>3.9528066930631933E-3</v>
      </c>
    </row>
    <row r="917" spans="1:11" x14ac:dyDescent="0.35">
      <c r="A917" s="490">
        <v>43858</v>
      </c>
      <c r="B917" s="491">
        <v>266.39999999999998</v>
      </c>
      <c r="C917" s="483">
        <f t="shared" si="58"/>
        <v>-1.8422991893883522E-2</v>
      </c>
      <c r="E917" s="492">
        <v>43858</v>
      </c>
      <c r="F917" s="493">
        <v>4510.7700000000004</v>
      </c>
      <c r="G917" s="484">
        <f t="shared" si="59"/>
        <v>3.9528066930631933E-3</v>
      </c>
      <c r="J917" s="483">
        <f t="shared" si="56"/>
        <v>1.4958863126402377E-2</v>
      </c>
      <c r="K917" s="484">
        <f t="shared" si="57"/>
        <v>-7.7712998542466272E-3</v>
      </c>
    </row>
    <row r="918" spans="1:11" x14ac:dyDescent="0.35">
      <c r="A918" s="490">
        <v>43857</v>
      </c>
      <c r="B918" s="491">
        <v>271.39999999999998</v>
      </c>
      <c r="C918" s="483">
        <f t="shared" si="58"/>
        <v>1.4958863126402377E-2</v>
      </c>
      <c r="E918" s="492">
        <v>43857</v>
      </c>
      <c r="F918" s="493">
        <v>4493.01</v>
      </c>
      <c r="G918" s="484">
        <f t="shared" si="59"/>
        <v>-7.7712998542466272E-3</v>
      </c>
      <c r="J918" s="483">
        <f t="shared" si="56"/>
        <v>-1.6911764705882404E-2</v>
      </c>
      <c r="K918" s="484">
        <f t="shared" si="57"/>
        <v>3.1702146042547064E-3</v>
      </c>
    </row>
    <row r="919" spans="1:11" x14ac:dyDescent="0.35">
      <c r="A919" s="490">
        <v>43856</v>
      </c>
      <c r="B919" s="491">
        <v>267.39999999999998</v>
      </c>
      <c r="C919" s="483">
        <f t="shared" si="58"/>
        <v>-1.6911764705882404E-2</v>
      </c>
      <c r="E919" s="492">
        <v>43856</v>
      </c>
      <c r="F919" s="493">
        <v>4528.2</v>
      </c>
      <c r="G919" s="484">
        <f t="shared" si="59"/>
        <v>3.1702146042547064E-3</v>
      </c>
      <c r="J919" s="483">
        <f t="shared" si="56"/>
        <v>1.0025993316004511E-2</v>
      </c>
      <c r="K919" s="484">
        <f t="shared" si="57"/>
        <v>1.6575493942963204E-2</v>
      </c>
    </row>
    <row r="920" spans="1:11" x14ac:dyDescent="0.35">
      <c r="A920" s="490">
        <v>43853</v>
      </c>
      <c r="B920" s="491">
        <v>272</v>
      </c>
      <c r="C920" s="483">
        <f t="shared" si="58"/>
        <v>1.0025993316004511E-2</v>
      </c>
      <c r="E920" s="492">
        <v>43853</v>
      </c>
      <c r="F920" s="493">
        <v>4513.8900000000003</v>
      </c>
      <c r="G920" s="484">
        <f t="shared" si="59"/>
        <v>1.6575493942963204E-2</v>
      </c>
      <c r="J920" s="483">
        <f t="shared" si="56"/>
        <v>-1.2829912023460399E-2</v>
      </c>
      <c r="K920" s="484">
        <f t="shared" si="57"/>
        <v>7.3024659150200399E-3</v>
      </c>
    </row>
    <row r="921" spans="1:11" x14ac:dyDescent="0.35">
      <c r="A921" s="490">
        <v>43852</v>
      </c>
      <c r="B921" s="491">
        <v>269.3</v>
      </c>
      <c r="C921" s="483">
        <f t="shared" si="58"/>
        <v>-1.2829912023460399E-2</v>
      </c>
      <c r="E921" s="492">
        <v>43852</v>
      </c>
      <c r="F921" s="493">
        <v>4440.29</v>
      </c>
      <c r="G921" s="484">
        <f t="shared" si="59"/>
        <v>7.3024659150200399E-3</v>
      </c>
      <c r="J921" s="483">
        <f t="shared" si="56"/>
        <v>-2.0818377602297211E-2</v>
      </c>
      <c r="K921" s="484">
        <f t="shared" si="57"/>
        <v>-6.4663867345534642E-3</v>
      </c>
    </row>
    <row r="922" spans="1:11" x14ac:dyDescent="0.35">
      <c r="A922" s="490">
        <v>43851</v>
      </c>
      <c r="B922" s="491">
        <v>272.8</v>
      </c>
      <c r="C922" s="483">
        <f t="shared" si="58"/>
        <v>-2.0818377602297211E-2</v>
      </c>
      <c r="E922" s="492">
        <v>43851</v>
      </c>
      <c r="F922" s="493">
        <v>4408.1000000000004</v>
      </c>
      <c r="G922" s="484">
        <f t="shared" si="59"/>
        <v>-6.4663867345534642E-3</v>
      </c>
      <c r="J922" s="483">
        <f t="shared" si="56"/>
        <v>5.8108621344473921E-2</v>
      </c>
      <c r="K922" s="484">
        <f t="shared" si="57"/>
        <v>1.248955970479626E-2</v>
      </c>
    </row>
    <row r="923" spans="1:11" x14ac:dyDescent="0.35">
      <c r="A923" s="490">
        <v>43850</v>
      </c>
      <c r="B923" s="491">
        <v>278.60000000000002</v>
      </c>
      <c r="C923" s="483">
        <f t="shared" si="58"/>
        <v>5.8108621344473921E-2</v>
      </c>
      <c r="E923" s="492">
        <v>43850</v>
      </c>
      <c r="F923" s="493">
        <v>4436.79</v>
      </c>
      <c r="G923" s="484">
        <f t="shared" si="59"/>
        <v>1.248955970479626E-2</v>
      </c>
      <c r="J923" s="483">
        <f t="shared" si="56"/>
        <v>8.7118084227910897E-2</v>
      </c>
      <c r="K923" s="484">
        <f t="shared" si="57"/>
        <v>5.5963873131846809E-2</v>
      </c>
    </row>
    <row r="924" spans="1:11" x14ac:dyDescent="0.35">
      <c r="A924" s="490">
        <v>43849</v>
      </c>
      <c r="B924" s="491">
        <v>263.3</v>
      </c>
      <c r="C924" s="483">
        <f t="shared" si="58"/>
        <v>8.7118084227910897E-2</v>
      </c>
      <c r="E924" s="492">
        <v>43849</v>
      </c>
      <c r="F924" s="493">
        <v>4382.0600000000004</v>
      </c>
      <c r="G924" s="484">
        <f t="shared" si="59"/>
        <v>5.5963873131846809E-2</v>
      </c>
      <c r="J924" s="483">
        <f t="shared" si="56"/>
        <v>4.6672428694900514E-2</v>
      </c>
      <c r="K924" s="484">
        <f t="shared" si="57"/>
        <v>2.0062927093063232E-2</v>
      </c>
    </row>
    <row r="925" spans="1:11" x14ac:dyDescent="0.35">
      <c r="A925" s="490">
        <v>43846</v>
      </c>
      <c r="B925" s="491">
        <v>242.2</v>
      </c>
      <c r="C925" s="483">
        <f t="shared" si="58"/>
        <v>4.6672428694900514E-2</v>
      </c>
      <c r="E925" s="492">
        <v>43846</v>
      </c>
      <c r="F925" s="493">
        <v>4149.82</v>
      </c>
      <c r="G925" s="484">
        <f t="shared" si="59"/>
        <v>2.0062927093063232E-2</v>
      </c>
      <c r="J925" s="483">
        <f t="shared" si="56"/>
        <v>-1.1955593509820561E-2</v>
      </c>
      <c r="K925" s="484">
        <f t="shared" si="57"/>
        <v>7.9207577367987891E-3</v>
      </c>
    </row>
    <row r="926" spans="1:11" x14ac:dyDescent="0.35">
      <c r="A926" s="490">
        <v>43845</v>
      </c>
      <c r="B926" s="491">
        <v>231.4</v>
      </c>
      <c r="C926" s="483">
        <f t="shared" si="58"/>
        <v>-1.1955593509820561E-2</v>
      </c>
      <c r="E926" s="492">
        <v>43845</v>
      </c>
      <c r="F926" s="493">
        <v>4068.2</v>
      </c>
      <c r="G926" s="484">
        <f t="shared" si="59"/>
        <v>7.9207577367987891E-3</v>
      </c>
      <c r="J926" s="483">
        <f t="shared" si="56"/>
        <v>-2.9021558872305175E-2</v>
      </c>
      <c r="K926" s="484">
        <f t="shared" si="57"/>
        <v>-2.1159312037405176E-2</v>
      </c>
    </row>
    <row r="927" spans="1:11" x14ac:dyDescent="0.35">
      <c r="A927" s="490">
        <v>43844</v>
      </c>
      <c r="B927" s="491">
        <v>234.2</v>
      </c>
      <c r="C927" s="483">
        <f t="shared" si="58"/>
        <v>-2.9021558872305175E-2</v>
      </c>
      <c r="E927" s="492">
        <v>43844</v>
      </c>
      <c r="F927" s="493">
        <v>4036.23</v>
      </c>
      <c r="G927" s="484">
        <f t="shared" si="59"/>
        <v>-2.1159312037405176E-2</v>
      </c>
      <c r="J927" s="483">
        <f t="shared" si="56"/>
        <v>-4.6640316205533661E-2</v>
      </c>
      <c r="K927" s="484">
        <f t="shared" si="57"/>
        <v>-2.111840168643353E-2</v>
      </c>
    </row>
    <row r="928" spans="1:11" x14ac:dyDescent="0.35">
      <c r="A928" s="490">
        <v>43843</v>
      </c>
      <c r="B928" s="491">
        <v>241.2</v>
      </c>
      <c r="C928" s="483">
        <f t="shared" si="58"/>
        <v>-4.6640316205533661E-2</v>
      </c>
      <c r="E928" s="492">
        <v>43843</v>
      </c>
      <c r="F928" s="493">
        <v>4123.4799999999996</v>
      </c>
      <c r="G928" s="484">
        <f t="shared" si="59"/>
        <v>-2.111840168643353E-2</v>
      </c>
      <c r="J928" s="483">
        <f t="shared" si="56"/>
        <v>8.7719298245614308E-3</v>
      </c>
      <c r="K928" s="484">
        <f t="shared" si="57"/>
        <v>3.5855615036961552E-3</v>
      </c>
    </row>
    <row r="929" spans="1:11" x14ac:dyDescent="0.35">
      <c r="A929" s="490">
        <v>43842</v>
      </c>
      <c r="B929" s="491">
        <v>253</v>
      </c>
      <c r="C929" s="483">
        <f t="shared" si="58"/>
        <v>8.7719298245614308E-3</v>
      </c>
      <c r="E929" s="492">
        <v>43842</v>
      </c>
      <c r="F929" s="493">
        <v>4212.4399999999996</v>
      </c>
      <c r="G929" s="484">
        <f t="shared" si="59"/>
        <v>3.5855615036961552E-3</v>
      </c>
      <c r="J929" s="483">
        <f t="shared" si="56"/>
        <v>-3.4270311898344175E-2</v>
      </c>
      <c r="K929" s="484">
        <f t="shared" si="57"/>
        <v>-7.3243527041215728E-3</v>
      </c>
    </row>
    <row r="930" spans="1:11" x14ac:dyDescent="0.35">
      <c r="A930" s="490">
        <v>43839</v>
      </c>
      <c r="B930" s="491">
        <v>250.8</v>
      </c>
      <c r="C930" s="483">
        <f t="shared" si="58"/>
        <v>-3.4270311898344175E-2</v>
      </c>
      <c r="E930" s="492">
        <v>43839</v>
      </c>
      <c r="F930" s="493">
        <v>4197.3900000000003</v>
      </c>
      <c r="G930" s="484">
        <f t="shared" si="59"/>
        <v>-7.3243527041215728E-3</v>
      </c>
      <c r="J930" s="483">
        <f t="shared" si="56"/>
        <v>-4.5220588235294179E-2</v>
      </c>
      <c r="K930" s="484">
        <f t="shared" si="57"/>
        <v>-1.239539125946254E-2</v>
      </c>
    </row>
    <row r="931" spans="1:11" x14ac:dyDescent="0.35">
      <c r="A931" s="490">
        <v>43838</v>
      </c>
      <c r="B931" s="491">
        <v>259.7</v>
      </c>
      <c r="C931" s="483">
        <f t="shared" si="58"/>
        <v>-4.5220588235294179E-2</v>
      </c>
      <c r="E931" s="492">
        <v>43838</v>
      </c>
      <c r="F931" s="493">
        <v>4228.3599999999997</v>
      </c>
      <c r="G931" s="484">
        <f t="shared" si="59"/>
        <v>-1.239539125946254E-2</v>
      </c>
      <c r="J931" s="483">
        <f t="shared" si="56"/>
        <v>-1.0909090909090868E-2</v>
      </c>
      <c r="K931" s="484">
        <f t="shared" si="57"/>
        <v>-1.1662184466579628E-2</v>
      </c>
    </row>
    <row r="932" spans="1:11" x14ac:dyDescent="0.35">
      <c r="A932" s="490">
        <v>43837</v>
      </c>
      <c r="B932" s="491">
        <v>272</v>
      </c>
      <c r="C932" s="483">
        <f t="shared" si="58"/>
        <v>-1.0909090909090868E-2</v>
      </c>
      <c r="E932" s="492">
        <v>43837</v>
      </c>
      <c r="F932" s="493">
        <v>4281.43</v>
      </c>
      <c r="G932" s="484">
        <f t="shared" si="59"/>
        <v>-1.1662184466579628E-2</v>
      </c>
      <c r="J932" s="483">
        <f t="shared" si="56"/>
        <v>-2.6203966005665658E-2</v>
      </c>
      <c r="K932" s="484">
        <f t="shared" si="57"/>
        <v>-1.5497234178912578E-2</v>
      </c>
    </row>
    <row r="933" spans="1:11" x14ac:dyDescent="0.35">
      <c r="A933" s="490">
        <v>43836</v>
      </c>
      <c r="B933" s="491">
        <v>275</v>
      </c>
      <c r="C933" s="483">
        <f t="shared" si="58"/>
        <v>-2.6203966005665658E-2</v>
      </c>
      <c r="E933" s="492">
        <v>43836</v>
      </c>
      <c r="F933" s="493">
        <v>4331.95</v>
      </c>
      <c r="G933" s="484">
        <f t="shared" si="59"/>
        <v>-1.5497234178912578E-2</v>
      </c>
      <c r="J933" s="483">
        <f t="shared" si="56"/>
        <v>-1.7674089784376346E-3</v>
      </c>
      <c r="K933" s="484">
        <f t="shared" si="57"/>
        <v>-1.3264443442790097E-2</v>
      </c>
    </row>
    <row r="934" spans="1:11" x14ac:dyDescent="0.35">
      <c r="A934" s="490">
        <v>43835</v>
      </c>
      <c r="B934" s="491">
        <v>282.39999999999998</v>
      </c>
      <c r="C934" s="483">
        <f t="shared" si="58"/>
        <v>-1.7674089784376346E-3</v>
      </c>
      <c r="E934" s="492">
        <v>43835</v>
      </c>
      <c r="F934" s="493">
        <v>4400.1400000000003</v>
      </c>
      <c r="G934" s="484">
        <f t="shared" si="59"/>
        <v>-1.3264443442790097E-2</v>
      </c>
      <c r="J934" s="483">
        <f t="shared" si="56"/>
        <v>5.3304904051172386E-3</v>
      </c>
      <c r="K934" s="484">
        <f t="shared" si="57"/>
        <v>1.3473184993566534E-3</v>
      </c>
    </row>
    <row r="935" spans="1:11" x14ac:dyDescent="0.35">
      <c r="A935" s="490">
        <v>43832</v>
      </c>
      <c r="B935" s="491">
        <v>282.89999999999998</v>
      </c>
      <c r="C935" s="483">
        <f t="shared" si="58"/>
        <v>5.3304904051172386E-3</v>
      </c>
      <c r="E935" s="492">
        <v>43832</v>
      </c>
      <c r="F935" s="493">
        <v>4459.29</v>
      </c>
      <c r="G935" s="484">
        <f t="shared" si="59"/>
        <v>1.3473184993566534E-3</v>
      </c>
      <c r="J935" s="483">
        <f t="shared" si="56"/>
        <v>-1.5395381385584495E-2</v>
      </c>
      <c r="K935" s="484">
        <f t="shared" si="57"/>
        <v>4.3640644663662798E-3</v>
      </c>
    </row>
    <row r="936" spans="1:11" x14ac:dyDescent="0.35">
      <c r="A936" s="490">
        <v>43831</v>
      </c>
      <c r="B936" s="491">
        <v>281.39999999999998</v>
      </c>
      <c r="C936" s="483">
        <f t="shared" si="58"/>
        <v>-1.5395381385584495E-2</v>
      </c>
      <c r="E936" s="492">
        <v>43831</v>
      </c>
      <c r="F936" s="493">
        <v>4453.29</v>
      </c>
      <c r="G936" s="484">
        <f t="shared" si="59"/>
        <v>4.3640644663662798E-3</v>
      </c>
      <c r="J936" s="483">
        <f t="shared" si="56"/>
        <v>-3.8340885325895968E-3</v>
      </c>
      <c r="K936" s="484">
        <f t="shared" si="57"/>
        <v>3.4194571866308365E-3</v>
      </c>
    </row>
    <row r="937" spans="1:11" x14ac:dyDescent="0.35">
      <c r="A937" s="490">
        <v>43828</v>
      </c>
      <c r="B937" s="491">
        <v>285.8</v>
      </c>
      <c r="C937" s="483">
        <f t="shared" si="58"/>
        <v>-3.8340885325895968E-3</v>
      </c>
      <c r="E937" s="492">
        <v>43828</v>
      </c>
      <c r="F937" s="493">
        <v>4433.9399999999996</v>
      </c>
      <c r="G937" s="484">
        <f t="shared" si="59"/>
        <v>3.4194571866308365E-3</v>
      </c>
      <c r="J937" s="483">
        <f t="shared" si="56"/>
        <v>-1.0445682451253324E-3</v>
      </c>
      <c r="K937" s="484">
        <f t="shared" si="57"/>
        <v>6.4135997467356098E-3</v>
      </c>
    </row>
    <row r="938" spans="1:11" x14ac:dyDescent="0.35">
      <c r="A938" s="490">
        <v>43825</v>
      </c>
      <c r="B938" s="491">
        <v>286.89999999999998</v>
      </c>
      <c r="C938" s="483">
        <f t="shared" si="58"/>
        <v>-1.0445682451253324E-3</v>
      </c>
      <c r="E938" s="492">
        <v>43825</v>
      </c>
      <c r="F938" s="493">
        <v>4418.83</v>
      </c>
      <c r="G938" s="484">
        <f t="shared" si="59"/>
        <v>6.4135997467356098E-3</v>
      </c>
      <c r="J938" s="483">
        <f t="shared" si="56"/>
        <v>-5.5401662049862077E-3</v>
      </c>
      <c r="K938" s="484">
        <f t="shared" si="57"/>
        <v>-8.579022583080631E-4</v>
      </c>
    </row>
    <row r="939" spans="1:11" x14ac:dyDescent="0.35">
      <c r="A939" s="490">
        <v>43823</v>
      </c>
      <c r="B939" s="491">
        <v>287.2</v>
      </c>
      <c r="C939" s="483">
        <f t="shared" si="58"/>
        <v>-5.5401662049862077E-3</v>
      </c>
      <c r="E939" s="492">
        <v>43823</v>
      </c>
      <c r="F939" s="493">
        <v>4390.67</v>
      </c>
      <c r="G939" s="484">
        <f t="shared" si="59"/>
        <v>-8.579022583080631E-4</v>
      </c>
      <c r="J939" s="483">
        <f t="shared" si="56"/>
        <v>1.6185784658691249E-2</v>
      </c>
      <c r="K939" s="484">
        <f t="shared" si="57"/>
        <v>-8.2397679955765746E-3</v>
      </c>
    </row>
    <row r="940" spans="1:11" x14ac:dyDescent="0.35">
      <c r="A940" s="490">
        <v>43822</v>
      </c>
      <c r="B940" s="491">
        <v>288.8</v>
      </c>
      <c r="C940" s="483">
        <f t="shared" si="58"/>
        <v>1.6185784658691249E-2</v>
      </c>
      <c r="E940" s="492">
        <v>43822</v>
      </c>
      <c r="F940" s="493">
        <v>4394.4399999999996</v>
      </c>
      <c r="G940" s="484">
        <f t="shared" si="59"/>
        <v>-8.2397679955765746E-3</v>
      </c>
      <c r="J940" s="483">
        <f t="shared" si="56"/>
        <v>-3.1026252983293645E-2</v>
      </c>
      <c r="K940" s="484">
        <f t="shared" si="57"/>
        <v>-5.8068178503555279E-3</v>
      </c>
    </row>
    <row r="941" spans="1:11" x14ac:dyDescent="0.35">
      <c r="A941" s="490">
        <v>43821</v>
      </c>
      <c r="B941" s="491">
        <v>284.2</v>
      </c>
      <c r="C941" s="483">
        <f t="shared" si="58"/>
        <v>-3.1026252983293645E-2</v>
      </c>
      <c r="E941" s="492">
        <v>43821</v>
      </c>
      <c r="F941" s="493">
        <v>4430.95</v>
      </c>
      <c r="G941" s="484">
        <f t="shared" si="59"/>
        <v>-5.8068178503555279E-3</v>
      </c>
      <c r="J941" s="483">
        <f t="shared" si="56"/>
        <v>1.1379310344827642E-2</v>
      </c>
      <c r="K941" s="484">
        <f t="shared" si="57"/>
        <v>8.8004617526229456E-3</v>
      </c>
    </row>
    <row r="942" spans="1:11" x14ac:dyDescent="0.35">
      <c r="A942" s="490">
        <v>43818</v>
      </c>
      <c r="B942" s="491">
        <v>293.3</v>
      </c>
      <c r="C942" s="483">
        <f t="shared" si="58"/>
        <v>1.1379310344827642E-2</v>
      </c>
      <c r="E942" s="492">
        <v>43818</v>
      </c>
      <c r="F942" s="493">
        <v>4456.83</v>
      </c>
      <c r="G942" s="484">
        <f t="shared" si="59"/>
        <v>8.8004617526229456E-3</v>
      </c>
      <c r="J942" s="483">
        <f t="shared" si="56"/>
        <v>-3.7787701820680697E-3</v>
      </c>
      <c r="K942" s="484">
        <f t="shared" si="57"/>
        <v>-4.2309415315555654E-4</v>
      </c>
    </row>
    <row r="943" spans="1:11" x14ac:dyDescent="0.35">
      <c r="A943" s="490">
        <v>43817</v>
      </c>
      <c r="B943" s="491">
        <v>290</v>
      </c>
      <c r="C943" s="483">
        <f t="shared" si="58"/>
        <v>-3.7787701820680697E-3</v>
      </c>
      <c r="E943" s="492">
        <v>43817</v>
      </c>
      <c r="F943" s="493">
        <v>4417.95</v>
      </c>
      <c r="G943" s="484">
        <f t="shared" si="59"/>
        <v>-4.2309415315555654E-4</v>
      </c>
      <c r="J943" s="483">
        <f t="shared" si="56"/>
        <v>-2.9666666666666619E-2</v>
      </c>
      <c r="K943" s="484">
        <f t="shared" si="57"/>
        <v>-1.7488090448128157E-2</v>
      </c>
    </row>
    <row r="944" spans="1:11" x14ac:dyDescent="0.35">
      <c r="A944" s="490">
        <v>43816</v>
      </c>
      <c r="B944" s="491">
        <v>291.10000000000002</v>
      </c>
      <c r="C944" s="483">
        <f t="shared" si="58"/>
        <v>-2.9666666666666619E-2</v>
      </c>
      <c r="E944" s="492">
        <v>43816</v>
      </c>
      <c r="F944" s="493">
        <v>4419.82</v>
      </c>
      <c r="G944" s="484">
        <f t="shared" si="59"/>
        <v>-1.7488090448128157E-2</v>
      </c>
      <c r="J944" s="483">
        <f t="shared" si="56"/>
        <v>1.044122600202102E-2</v>
      </c>
      <c r="K944" s="484">
        <f t="shared" si="57"/>
        <v>-3.5331070963396938E-3</v>
      </c>
    </row>
    <row r="945" spans="1:11" x14ac:dyDescent="0.35">
      <c r="A945" s="490">
        <v>43814</v>
      </c>
      <c r="B945" s="491">
        <v>300</v>
      </c>
      <c r="C945" s="483">
        <f t="shared" si="58"/>
        <v>1.044122600202102E-2</v>
      </c>
      <c r="E945" s="492">
        <v>43814</v>
      </c>
      <c r="F945" s="493">
        <v>4498.49</v>
      </c>
      <c r="G945" s="484">
        <f t="shared" si="59"/>
        <v>-3.5331070963396938E-3</v>
      </c>
      <c r="J945" s="483">
        <f t="shared" si="56"/>
        <v>-7.0234113712375201E-3</v>
      </c>
      <c r="K945" s="484">
        <f t="shared" si="57"/>
        <v>4.5430470327234573E-4</v>
      </c>
    </row>
    <row r="946" spans="1:11" x14ac:dyDescent="0.35">
      <c r="A946" s="490">
        <v>43811</v>
      </c>
      <c r="B946" s="491">
        <v>296.89999999999998</v>
      </c>
      <c r="C946" s="483">
        <f t="shared" si="58"/>
        <v>-7.0234113712375201E-3</v>
      </c>
      <c r="E946" s="492">
        <v>43811</v>
      </c>
      <c r="F946" s="493">
        <v>4514.4399999999996</v>
      </c>
      <c r="G946" s="484">
        <f t="shared" si="59"/>
        <v>4.5430470327234573E-4</v>
      </c>
      <c r="J946" s="483">
        <f t="shared" si="56"/>
        <v>-3.3433634236046395E-4</v>
      </c>
      <c r="K946" s="484">
        <f t="shared" si="57"/>
        <v>1.2114676731167506E-3</v>
      </c>
    </row>
    <row r="947" spans="1:11" x14ac:dyDescent="0.35">
      <c r="A947" s="490">
        <v>43810</v>
      </c>
      <c r="B947" s="491">
        <v>299</v>
      </c>
      <c r="C947" s="483">
        <f t="shared" si="58"/>
        <v>-3.3433634236046395E-4</v>
      </c>
      <c r="E947" s="492">
        <v>43810</v>
      </c>
      <c r="F947" s="493">
        <v>4512.3900000000003</v>
      </c>
      <c r="G947" s="484">
        <f t="shared" si="59"/>
        <v>1.2114676731167506E-3</v>
      </c>
      <c r="J947" s="483">
        <f t="shared" si="56"/>
        <v>-1.156642432253796E-2</v>
      </c>
      <c r="K947" s="484">
        <f t="shared" si="57"/>
        <v>-5.9156327543423703E-3</v>
      </c>
    </row>
    <row r="948" spans="1:11" x14ac:dyDescent="0.35">
      <c r="A948" s="490">
        <v>43809</v>
      </c>
      <c r="B948" s="491">
        <v>299.10000000000002</v>
      </c>
      <c r="C948" s="483">
        <f t="shared" si="58"/>
        <v>-1.156642432253796E-2</v>
      </c>
      <c r="E948" s="492">
        <v>43809</v>
      </c>
      <c r="F948" s="493">
        <v>4506.93</v>
      </c>
      <c r="G948" s="484">
        <f t="shared" si="59"/>
        <v>-5.9156327543423703E-3</v>
      </c>
      <c r="J948" s="483">
        <f t="shared" si="56"/>
        <v>-1.078783916312509E-2</v>
      </c>
      <c r="K948" s="484">
        <f t="shared" si="57"/>
        <v>-1.3544386422976507E-2</v>
      </c>
    </row>
    <row r="949" spans="1:11" x14ac:dyDescent="0.35">
      <c r="A949" s="490">
        <v>43808</v>
      </c>
      <c r="B949" s="491">
        <v>302.60000000000002</v>
      </c>
      <c r="C949" s="483">
        <f t="shared" si="58"/>
        <v>-1.078783916312509E-2</v>
      </c>
      <c r="E949" s="492">
        <v>43808</v>
      </c>
      <c r="F949" s="493">
        <v>4533.75</v>
      </c>
      <c r="G949" s="484">
        <f t="shared" si="59"/>
        <v>-1.3544386422976507E-2</v>
      </c>
      <c r="J949" s="483">
        <f t="shared" si="56"/>
        <v>-4.8796356538711727E-3</v>
      </c>
      <c r="K949" s="484">
        <f t="shared" si="57"/>
        <v>-1.6126028347387078E-2</v>
      </c>
    </row>
    <row r="950" spans="1:11" x14ac:dyDescent="0.35">
      <c r="A950" s="490">
        <v>43807</v>
      </c>
      <c r="B950" s="491">
        <v>305.89999999999998</v>
      </c>
      <c r="C950" s="483">
        <f t="shared" si="58"/>
        <v>-4.8796356538711727E-3</v>
      </c>
      <c r="E950" s="492">
        <v>43807</v>
      </c>
      <c r="F950" s="493">
        <v>4596</v>
      </c>
      <c r="G950" s="484">
        <f t="shared" si="59"/>
        <v>-1.6126028347387078E-2</v>
      </c>
      <c r="J950" s="483">
        <f t="shared" si="56"/>
        <v>1.3029315960910726E-3</v>
      </c>
      <c r="K950" s="484">
        <f t="shared" si="57"/>
        <v>-6.7297755890944888E-3</v>
      </c>
    </row>
    <row r="951" spans="1:11" x14ac:dyDescent="0.35">
      <c r="A951" s="490">
        <v>43804</v>
      </c>
      <c r="B951" s="491">
        <v>307.39999999999998</v>
      </c>
      <c r="C951" s="483">
        <f t="shared" si="58"/>
        <v>1.3029315960910726E-3</v>
      </c>
      <c r="E951" s="492">
        <v>43804</v>
      </c>
      <c r="F951" s="493">
        <v>4671.33</v>
      </c>
      <c r="G951" s="484">
        <f t="shared" si="59"/>
        <v>-6.7297755890944888E-3</v>
      </c>
      <c r="J951" s="483">
        <f t="shared" si="56"/>
        <v>-9.7624471200785656E-4</v>
      </c>
      <c r="K951" s="484">
        <f t="shared" si="57"/>
        <v>1.1985481175553758E-3</v>
      </c>
    </row>
    <row r="952" spans="1:11" x14ac:dyDescent="0.35">
      <c r="A952" s="490">
        <v>43803</v>
      </c>
      <c r="B952" s="491">
        <v>307</v>
      </c>
      <c r="C952" s="483">
        <f t="shared" si="58"/>
        <v>-9.7624471200785656E-4</v>
      </c>
      <c r="E952" s="492">
        <v>43803</v>
      </c>
      <c r="F952" s="493">
        <v>4702.9799999999996</v>
      </c>
      <c r="G952" s="484">
        <f t="shared" si="59"/>
        <v>1.1985481175553758E-3</v>
      </c>
      <c r="J952" s="483">
        <f t="shared" si="56"/>
        <v>-1.2532133676092516E-2</v>
      </c>
      <c r="K952" s="484">
        <f t="shared" si="57"/>
        <v>-7.8655173943255052E-3</v>
      </c>
    </row>
    <row r="953" spans="1:11" x14ac:dyDescent="0.35">
      <c r="A953" s="490">
        <v>43802</v>
      </c>
      <c r="B953" s="491">
        <v>307.3</v>
      </c>
      <c r="C953" s="483">
        <f t="shared" si="58"/>
        <v>-1.2532133676092516E-2</v>
      </c>
      <c r="E953" s="492">
        <v>43802</v>
      </c>
      <c r="F953" s="493">
        <v>4697.3500000000004</v>
      </c>
      <c r="G953" s="484">
        <f t="shared" si="59"/>
        <v>-7.8655173943255052E-3</v>
      </c>
      <c r="J953" s="483">
        <f t="shared" si="56"/>
        <v>-6.4226075786766312E-4</v>
      </c>
      <c r="K953" s="484">
        <f t="shared" si="57"/>
        <v>-5.0895076710354425E-3</v>
      </c>
    </row>
    <row r="954" spans="1:11" x14ac:dyDescent="0.35">
      <c r="A954" s="490">
        <v>43801</v>
      </c>
      <c r="B954" s="491">
        <v>311.2</v>
      </c>
      <c r="C954" s="483">
        <f t="shared" si="58"/>
        <v>-6.4226075786766312E-4</v>
      </c>
      <c r="E954" s="492">
        <v>43801</v>
      </c>
      <c r="F954" s="493">
        <v>4734.59</v>
      </c>
      <c r="G954" s="484">
        <f t="shared" si="59"/>
        <v>-5.0895076710354425E-3</v>
      </c>
      <c r="J954" s="483">
        <f t="shared" si="56"/>
        <v>-2.1370207416719134E-2</v>
      </c>
      <c r="K954" s="484">
        <f t="shared" si="57"/>
        <v>5.7868340015598818E-3</v>
      </c>
    </row>
    <row r="955" spans="1:11" x14ac:dyDescent="0.35">
      <c r="A955" s="490">
        <v>43800</v>
      </c>
      <c r="B955" s="491">
        <v>311.39999999999998</v>
      </c>
      <c r="C955" s="483">
        <f t="shared" si="58"/>
        <v>-2.1370207416719134E-2</v>
      </c>
      <c r="E955" s="492">
        <v>43800</v>
      </c>
      <c r="F955" s="493">
        <v>4758.8100000000004</v>
      </c>
      <c r="G955" s="484">
        <f t="shared" si="59"/>
        <v>5.7868340015598818E-3</v>
      </c>
      <c r="J955" s="483">
        <f t="shared" si="56"/>
        <v>-5.3141606752109549E-3</v>
      </c>
      <c r="K955" s="484">
        <f t="shared" si="57"/>
        <v>2.3042741113754595E-4</v>
      </c>
    </row>
    <row r="956" spans="1:11" x14ac:dyDescent="0.35">
      <c r="A956" s="490">
        <v>43797</v>
      </c>
      <c r="B956" s="491">
        <v>318.2</v>
      </c>
      <c r="C956" s="483">
        <f t="shared" si="58"/>
        <v>-5.3141606752109549E-3</v>
      </c>
      <c r="E956" s="492">
        <v>43797</v>
      </c>
      <c r="F956" s="493">
        <v>4731.43</v>
      </c>
      <c r="G956" s="484">
        <f t="shared" si="59"/>
        <v>2.3042741113754595E-4</v>
      </c>
      <c r="J956" s="483">
        <f t="shared" si="56"/>
        <v>4.4741998693664131E-2</v>
      </c>
      <c r="K956" s="484">
        <f t="shared" si="57"/>
        <v>1.7025601931262013E-3</v>
      </c>
    </row>
    <row r="957" spans="1:11" x14ac:dyDescent="0.35">
      <c r="A957" s="490">
        <v>43796</v>
      </c>
      <c r="B957" s="491">
        <v>319.89999999999998</v>
      </c>
      <c r="C957" s="483">
        <f t="shared" si="58"/>
        <v>4.4741998693664131E-2</v>
      </c>
      <c r="E957" s="492">
        <v>43796</v>
      </c>
      <c r="F957" s="493">
        <v>4730.34</v>
      </c>
      <c r="G957" s="484">
        <f t="shared" si="59"/>
        <v>1.7025601931262013E-3</v>
      </c>
      <c r="J957" s="483">
        <f t="shared" si="56"/>
        <v>-5.1981806367772387E-3</v>
      </c>
      <c r="K957" s="484">
        <f t="shared" si="57"/>
        <v>6.1104222327330593E-3</v>
      </c>
    </row>
    <row r="958" spans="1:11" x14ac:dyDescent="0.35">
      <c r="A958" s="490">
        <v>43795</v>
      </c>
      <c r="B958" s="491">
        <v>306.2</v>
      </c>
      <c r="C958" s="483">
        <f t="shared" si="58"/>
        <v>-5.1981806367772387E-3</v>
      </c>
      <c r="E958" s="492">
        <v>43795</v>
      </c>
      <c r="F958" s="493">
        <v>4722.3</v>
      </c>
      <c r="G958" s="484">
        <f t="shared" si="59"/>
        <v>6.1104222327330593E-3</v>
      </c>
      <c r="J958" s="483">
        <f t="shared" si="56"/>
        <v>-1.3461538461538414E-2</v>
      </c>
      <c r="K958" s="484">
        <f t="shared" si="57"/>
        <v>1.1091156509015487E-3</v>
      </c>
    </row>
    <row r="959" spans="1:11" x14ac:dyDescent="0.35">
      <c r="A959" s="490">
        <v>43794</v>
      </c>
      <c r="B959" s="491">
        <v>307.8</v>
      </c>
      <c r="C959" s="483">
        <f t="shared" si="58"/>
        <v>-1.3461538461538414E-2</v>
      </c>
      <c r="E959" s="492">
        <v>43794</v>
      </c>
      <c r="F959" s="493">
        <v>4693.62</v>
      </c>
      <c r="G959" s="484">
        <f t="shared" si="59"/>
        <v>1.1091156509015487E-3</v>
      </c>
      <c r="J959" s="483">
        <f t="shared" si="56"/>
        <v>-5.3110773899848307E-2</v>
      </c>
      <c r="K959" s="484">
        <f t="shared" si="57"/>
        <v>-3.8753595968266108E-3</v>
      </c>
    </row>
    <row r="960" spans="1:11" x14ac:dyDescent="0.35">
      <c r="A960" s="490">
        <v>43793</v>
      </c>
      <c r="B960" s="491">
        <v>312</v>
      </c>
      <c r="C960" s="483">
        <f t="shared" si="58"/>
        <v>-5.3110773899848307E-2</v>
      </c>
      <c r="E960" s="492">
        <v>43793</v>
      </c>
      <c r="F960" s="493">
        <v>4688.42</v>
      </c>
      <c r="G960" s="484">
        <f t="shared" si="59"/>
        <v>-3.8753595968266108E-3</v>
      </c>
      <c r="J960" s="483">
        <f t="shared" si="56"/>
        <v>1.9808108944599168E-2</v>
      </c>
      <c r="K960" s="484">
        <f t="shared" si="57"/>
        <v>3.1394330264944426E-3</v>
      </c>
    </row>
    <row r="961" spans="1:11" x14ac:dyDescent="0.35">
      <c r="A961" s="490">
        <v>43790</v>
      </c>
      <c r="B961" s="491">
        <v>329.5</v>
      </c>
      <c r="C961" s="483">
        <f t="shared" si="58"/>
        <v>1.9808108944599168E-2</v>
      </c>
      <c r="E961" s="492">
        <v>43790</v>
      </c>
      <c r="F961" s="493">
        <v>4706.66</v>
      </c>
      <c r="G961" s="484">
        <f t="shared" si="59"/>
        <v>3.1394330264944426E-3</v>
      </c>
      <c r="J961" s="483">
        <f t="shared" si="56"/>
        <v>3.0959752321990663E-4</v>
      </c>
      <c r="K961" s="484">
        <f t="shared" si="57"/>
        <v>-6.4459159278072997E-3</v>
      </c>
    </row>
    <row r="962" spans="1:11" x14ac:dyDescent="0.35">
      <c r="A962" s="490">
        <v>43789</v>
      </c>
      <c r="B962" s="491">
        <v>323.10000000000002</v>
      </c>
      <c r="C962" s="483">
        <f t="shared" si="58"/>
        <v>3.0959752321990663E-4</v>
      </c>
      <c r="E962" s="492">
        <v>43789</v>
      </c>
      <c r="F962" s="493">
        <v>4691.93</v>
      </c>
      <c r="G962" s="484">
        <f t="shared" si="59"/>
        <v>-6.4459159278072997E-3</v>
      </c>
      <c r="J962" s="483">
        <f t="shared" si="56"/>
        <v>4.0257648953301084E-2</v>
      </c>
      <c r="K962" s="484">
        <f t="shared" si="57"/>
        <v>7.6238720375432223E-5</v>
      </c>
    </row>
    <row r="963" spans="1:11" x14ac:dyDescent="0.35">
      <c r="A963" s="490">
        <v>43788</v>
      </c>
      <c r="B963" s="491">
        <v>323</v>
      </c>
      <c r="C963" s="483">
        <f t="shared" si="58"/>
        <v>4.0257648953301084E-2</v>
      </c>
      <c r="E963" s="492">
        <v>43788</v>
      </c>
      <c r="F963" s="493">
        <v>4722.37</v>
      </c>
      <c r="G963" s="484">
        <f t="shared" si="59"/>
        <v>7.6238720375432223E-5</v>
      </c>
      <c r="J963" s="483">
        <f t="shared" ref="J963:J1026" si="60">(B964/B965)-1</f>
        <v>1.2899064817799566E-3</v>
      </c>
      <c r="K963" s="484">
        <f t="shared" ref="K963:K1026" si="61">(F964/F965)-1</f>
        <v>9.7935510949898053E-4</v>
      </c>
    </row>
    <row r="964" spans="1:11" x14ac:dyDescent="0.35">
      <c r="A964" s="490">
        <v>43787</v>
      </c>
      <c r="B964" s="491">
        <v>310.5</v>
      </c>
      <c r="C964" s="483">
        <f t="shared" ref="C964:C1027" si="62">(B964/B965)-1</f>
        <v>1.2899064817799566E-3</v>
      </c>
      <c r="E964" s="492">
        <v>43787</v>
      </c>
      <c r="F964" s="493">
        <v>4722.01</v>
      </c>
      <c r="G964" s="484">
        <f t="shared" ref="G964:G1027" si="63">(F964/F965)-1</f>
        <v>9.7935510949898053E-4</v>
      </c>
      <c r="J964" s="483">
        <f t="shared" si="60"/>
        <v>1.2736773350751296E-2</v>
      </c>
      <c r="K964" s="484">
        <f t="shared" si="61"/>
        <v>1.4924549291350786E-3</v>
      </c>
    </row>
    <row r="965" spans="1:11" x14ac:dyDescent="0.35">
      <c r="A965" s="490">
        <v>43786</v>
      </c>
      <c r="B965" s="491">
        <v>310.10000000000002</v>
      </c>
      <c r="C965" s="483">
        <f t="shared" si="62"/>
        <v>1.2736773350751296E-2</v>
      </c>
      <c r="E965" s="492">
        <v>43786</v>
      </c>
      <c r="F965" s="493">
        <v>4717.3900000000003</v>
      </c>
      <c r="G965" s="484">
        <f t="shared" si="63"/>
        <v>1.4924549291350786E-3</v>
      </c>
      <c r="J965" s="483">
        <f t="shared" si="60"/>
        <v>-1.2576588197355854E-2</v>
      </c>
      <c r="K965" s="484">
        <f t="shared" si="61"/>
        <v>-5.6594971259212867E-3</v>
      </c>
    </row>
    <row r="966" spans="1:11" x14ac:dyDescent="0.35">
      <c r="A966" s="490">
        <v>43783</v>
      </c>
      <c r="B966" s="491">
        <v>306.2</v>
      </c>
      <c r="C966" s="483">
        <f t="shared" si="62"/>
        <v>-1.2576588197355854E-2</v>
      </c>
      <c r="E966" s="492">
        <v>43783</v>
      </c>
      <c r="F966" s="493">
        <v>4710.3599999999997</v>
      </c>
      <c r="G966" s="484">
        <f t="shared" si="63"/>
        <v>-5.6594971259212867E-3</v>
      </c>
      <c r="J966" s="483">
        <f t="shared" si="60"/>
        <v>-1.5867978419549345E-2</v>
      </c>
      <c r="K966" s="484">
        <f t="shared" si="61"/>
        <v>-8.7902108729950301E-3</v>
      </c>
    </row>
    <row r="967" spans="1:11" x14ac:dyDescent="0.35">
      <c r="A967" s="490">
        <v>43782</v>
      </c>
      <c r="B967" s="491">
        <v>310.10000000000002</v>
      </c>
      <c r="C967" s="483">
        <f t="shared" si="62"/>
        <v>-1.5867978419549345E-2</v>
      </c>
      <c r="E967" s="492">
        <v>43782</v>
      </c>
      <c r="F967" s="493">
        <v>4737.17</v>
      </c>
      <c r="G967" s="484">
        <f t="shared" si="63"/>
        <v>-8.7902108729950301E-3</v>
      </c>
      <c r="J967" s="483">
        <f t="shared" si="60"/>
        <v>3.822873526601045E-3</v>
      </c>
      <c r="K967" s="484">
        <f t="shared" si="61"/>
        <v>-4.7893221122374818E-4</v>
      </c>
    </row>
    <row r="968" spans="1:11" x14ac:dyDescent="0.35">
      <c r="A968" s="490">
        <v>43781</v>
      </c>
      <c r="B968" s="491">
        <v>315.10000000000002</v>
      </c>
      <c r="C968" s="483">
        <f t="shared" si="62"/>
        <v>3.822873526601045E-3</v>
      </c>
      <c r="E968" s="492">
        <v>43781</v>
      </c>
      <c r="F968" s="493">
        <v>4779.18</v>
      </c>
      <c r="G968" s="484">
        <f t="shared" si="63"/>
        <v>-4.7893221122374818E-4</v>
      </c>
      <c r="J968" s="483">
        <f t="shared" si="60"/>
        <v>1.9150973507819913E-3</v>
      </c>
      <c r="K968" s="484">
        <f t="shared" si="61"/>
        <v>2.0033906758509801E-3</v>
      </c>
    </row>
    <row r="969" spans="1:11" x14ac:dyDescent="0.35">
      <c r="A969" s="490">
        <v>43780</v>
      </c>
      <c r="B969" s="491">
        <v>313.89999999999998</v>
      </c>
      <c r="C969" s="483">
        <f t="shared" si="62"/>
        <v>1.9150973507819913E-3</v>
      </c>
      <c r="E969" s="492">
        <v>43780</v>
      </c>
      <c r="F969" s="493">
        <v>4781.47</v>
      </c>
      <c r="G969" s="484">
        <f t="shared" si="63"/>
        <v>2.0033906758509801E-3</v>
      </c>
      <c r="J969" s="483">
        <f t="shared" si="60"/>
        <v>1.2783636944710963E-3</v>
      </c>
      <c r="K969" s="484">
        <f t="shared" si="61"/>
        <v>3.6216872183045812E-3</v>
      </c>
    </row>
    <row r="970" spans="1:11" x14ac:dyDescent="0.35">
      <c r="A970" s="490">
        <v>43776</v>
      </c>
      <c r="B970" s="491">
        <v>313.3</v>
      </c>
      <c r="C970" s="483">
        <f t="shared" si="62"/>
        <v>1.2783636944710963E-3</v>
      </c>
      <c r="E970" s="492">
        <v>43776</v>
      </c>
      <c r="F970" s="493">
        <v>4771.91</v>
      </c>
      <c r="G970" s="484">
        <f t="shared" si="63"/>
        <v>3.6216872183045812E-3</v>
      </c>
      <c r="J970" s="483">
        <f t="shared" si="60"/>
        <v>-6.3877355477492959E-4</v>
      </c>
      <c r="K970" s="484">
        <f t="shared" si="61"/>
        <v>1.084040223653715E-2</v>
      </c>
    </row>
    <row r="971" spans="1:11" x14ac:dyDescent="0.35">
      <c r="A971" s="490">
        <v>43775</v>
      </c>
      <c r="B971" s="491">
        <v>312.89999999999998</v>
      </c>
      <c r="C971" s="483">
        <f t="shared" si="62"/>
        <v>-6.3877355477492959E-4</v>
      </c>
      <c r="E971" s="492">
        <v>43775</v>
      </c>
      <c r="F971" s="493">
        <v>4754.6899999999996</v>
      </c>
      <c r="G971" s="484">
        <f t="shared" si="63"/>
        <v>1.084040223653715E-2</v>
      </c>
      <c r="J971" s="483">
        <f t="shared" si="60"/>
        <v>-4.4515103338631512E-3</v>
      </c>
      <c r="K971" s="484">
        <f t="shared" si="61"/>
        <v>5.4164279790354097E-3</v>
      </c>
    </row>
    <row r="972" spans="1:11" x14ac:dyDescent="0.35">
      <c r="A972" s="490">
        <v>43774</v>
      </c>
      <c r="B972" s="491">
        <v>313.10000000000002</v>
      </c>
      <c r="C972" s="483">
        <f t="shared" si="62"/>
        <v>-4.4515103338631512E-3</v>
      </c>
      <c r="E972" s="492">
        <v>43774</v>
      </c>
      <c r="F972" s="493">
        <v>4703.7</v>
      </c>
      <c r="G972" s="484">
        <f t="shared" si="63"/>
        <v>5.4164279790354097E-3</v>
      </c>
      <c r="J972" s="483">
        <f t="shared" si="60"/>
        <v>-6.3191153238546516E-3</v>
      </c>
      <c r="K972" s="484">
        <f t="shared" si="61"/>
        <v>-7.1560754486341693E-3</v>
      </c>
    </row>
    <row r="973" spans="1:11" x14ac:dyDescent="0.35">
      <c r="A973" s="490">
        <v>43773</v>
      </c>
      <c r="B973" s="491">
        <v>314.5</v>
      </c>
      <c r="C973" s="483">
        <f t="shared" si="62"/>
        <v>-6.3191153238546516E-3</v>
      </c>
      <c r="E973" s="492">
        <v>43773</v>
      </c>
      <c r="F973" s="493">
        <v>4678.3599999999997</v>
      </c>
      <c r="G973" s="484">
        <f t="shared" si="63"/>
        <v>-7.1560754486341693E-3</v>
      </c>
      <c r="J973" s="483">
        <f t="shared" si="60"/>
        <v>-3.1496062992125706E-3</v>
      </c>
      <c r="K973" s="484">
        <f t="shared" si="61"/>
        <v>6.2311815328108811E-3</v>
      </c>
    </row>
    <row r="974" spans="1:11" x14ac:dyDescent="0.35">
      <c r="A974" s="490">
        <v>43772</v>
      </c>
      <c r="B974" s="491">
        <v>316.5</v>
      </c>
      <c r="C974" s="483">
        <f t="shared" si="62"/>
        <v>-3.1496062992125706E-3</v>
      </c>
      <c r="E974" s="492">
        <v>43772</v>
      </c>
      <c r="F974" s="493">
        <v>4712.08</v>
      </c>
      <c r="G974" s="484">
        <f t="shared" si="63"/>
        <v>6.2311815328108811E-3</v>
      </c>
      <c r="J974" s="483">
        <f t="shared" si="60"/>
        <v>-6.5707133917397575E-3</v>
      </c>
      <c r="K974" s="484">
        <f t="shared" si="61"/>
        <v>-6.4058763238894478E-5</v>
      </c>
    </row>
    <row r="975" spans="1:11" x14ac:dyDescent="0.35">
      <c r="A975" s="490">
        <v>43769</v>
      </c>
      <c r="B975" s="491">
        <v>317.5</v>
      </c>
      <c r="C975" s="483">
        <f t="shared" si="62"/>
        <v>-6.5707133917397575E-3</v>
      </c>
      <c r="E975" s="492">
        <v>43769</v>
      </c>
      <c r="F975" s="493">
        <v>4682.8999999999996</v>
      </c>
      <c r="G975" s="484">
        <f t="shared" si="63"/>
        <v>-6.4058763238894478E-5</v>
      </c>
      <c r="J975" s="483">
        <f t="shared" si="60"/>
        <v>-7.7615647314498437E-3</v>
      </c>
      <c r="K975" s="484">
        <f t="shared" si="61"/>
        <v>2.667671503873148E-3</v>
      </c>
    </row>
    <row r="976" spans="1:11" x14ac:dyDescent="0.35">
      <c r="A976" s="490">
        <v>43768</v>
      </c>
      <c r="B976" s="491">
        <v>319.60000000000002</v>
      </c>
      <c r="C976" s="483">
        <f t="shared" si="62"/>
        <v>-7.7615647314498437E-3</v>
      </c>
      <c r="E976" s="492">
        <v>43768</v>
      </c>
      <c r="F976" s="493">
        <v>4683.2</v>
      </c>
      <c r="G976" s="484">
        <f t="shared" si="63"/>
        <v>2.667671503873148E-3</v>
      </c>
      <c r="J976" s="483">
        <f t="shared" si="60"/>
        <v>-2.1685254027261625E-3</v>
      </c>
      <c r="K976" s="484">
        <f t="shared" si="61"/>
        <v>-6.0605802665124608E-3</v>
      </c>
    </row>
    <row r="977" spans="1:11" x14ac:dyDescent="0.35">
      <c r="A977" s="490">
        <v>43767</v>
      </c>
      <c r="B977" s="491">
        <v>322.10000000000002</v>
      </c>
      <c r="C977" s="483">
        <f t="shared" si="62"/>
        <v>-2.1685254027261625E-3</v>
      </c>
      <c r="E977" s="492">
        <v>43767</v>
      </c>
      <c r="F977" s="493">
        <v>4670.74</v>
      </c>
      <c r="G977" s="484">
        <f t="shared" si="63"/>
        <v>-6.0605802665124608E-3</v>
      </c>
      <c r="J977" s="483">
        <f t="shared" si="60"/>
        <v>-4.9321824907520018E-3</v>
      </c>
      <c r="K977" s="484">
        <f t="shared" si="61"/>
        <v>-1.1240068677619175E-2</v>
      </c>
    </row>
    <row r="978" spans="1:11" x14ac:dyDescent="0.35">
      <c r="A978" s="490">
        <v>43766</v>
      </c>
      <c r="B978" s="491">
        <v>322.8</v>
      </c>
      <c r="C978" s="483">
        <f t="shared" si="62"/>
        <v>-4.9321824907520018E-3</v>
      </c>
      <c r="E978" s="492">
        <v>43766</v>
      </c>
      <c r="F978" s="493">
        <v>4699.22</v>
      </c>
      <c r="G978" s="484">
        <f t="shared" si="63"/>
        <v>-1.1240068677619175E-2</v>
      </c>
      <c r="J978" s="483">
        <f t="shared" si="60"/>
        <v>-9.7680097680099554E-3</v>
      </c>
      <c r="K978" s="484">
        <f t="shared" si="61"/>
        <v>-4.0569991617769308E-3</v>
      </c>
    </row>
    <row r="979" spans="1:11" x14ac:dyDescent="0.35">
      <c r="A979" s="490">
        <v>43765</v>
      </c>
      <c r="B979" s="491">
        <v>324.39999999999998</v>
      </c>
      <c r="C979" s="483">
        <f t="shared" si="62"/>
        <v>-9.7680097680099554E-3</v>
      </c>
      <c r="E979" s="492">
        <v>43765</v>
      </c>
      <c r="F979" s="493">
        <v>4752.6400000000003</v>
      </c>
      <c r="G979" s="484">
        <f t="shared" si="63"/>
        <v>-4.0569991617769308E-3</v>
      </c>
      <c r="J979" s="483">
        <f t="shared" si="60"/>
        <v>1.518438177874204E-2</v>
      </c>
      <c r="K979" s="484">
        <f t="shared" si="61"/>
        <v>9.6009410530146777E-3</v>
      </c>
    </row>
    <row r="980" spans="1:11" x14ac:dyDescent="0.35">
      <c r="A980" s="490">
        <v>43762</v>
      </c>
      <c r="B980" s="491">
        <v>327.60000000000002</v>
      </c>
      <c r="C980" s="483">
        <f t="shared" si="62"/>
        <v>1.518438177874204E-2</v>
      </c>
      <c r="E980" s="492">
        <v>43762</v>
      </c>
      <c r="F980" s="493">
        <v>4772</v>
      </c>
      <c r="G980" s="484">
        <f t="shared" si="63"/>
        <v>9.6009410530146777E-3</v>
      </c>
      <c r="J980" s="483">
        <f t="shared" si="60"/>
        <v>3.4203980099500875E-3</v>
      </c>
      <c r="K980" s="484">
        <f t="shared" si="61"/>
        <v>3.8099849639388061E-3</v>
      </c>
    </row>
    <row r="981" spans="1:11" x14ac:dyDescent="0.35">
      <c r="A981" s="490">
        <v>43761</v>
      </c>
      <c r="B981" s="491">
        <v>322.7</v>
      </c>
      <c r="C981" s="483">
        <f t="shared" si="62"/>
        <v>3.4203980099500875E-3</v>
      </c>
      <c r="E981" s="492">
        <v>43761</v>
      </c>
      <c r="F981" s="493">
        <v>4726.62</v>
      </c>
      <c r="G981" s="484">
        <f t="shared" si="63"/>
        <v>3.8099849639388061E-3</v>
      </c>
      <c r="J981" s="483">
        <f t="shared" si="60"/>
        <v>1.9657577679137672E-2</v>
      </c>
      <c r="K981" s="484">
        <f t="shared" si="61"/>
        <v>-1.10765275905087E-2</v>
      </c>
    </row>
    <row r="982" spans="1:11" x14ac:dyDescent="0.35">
      <c r="A982" s="490">
        <v>43760</v>
      </c>
      <c r="B982" s="491">
        <v>321.60000000000002</v>
      </c>
      <c r="C982" s="483">
        <f t="shared" si="62"/>
        <v>1.9657577679137672E-2</v>
      </c>
      <c r="E982" s="492">
        <v>43760</v>
      </c>
      <c r="F982" s="493">
        <v>4708.68</v>
      </c>
      <c r="G982" s="484">
        <f t="shared" si="63"/>
        <v>-1.10765275905087E-2</v>
      </c>
      <c r="J982" s="483">
        <f t="shared" si="60"/>
        <v>-1.0354565422027062E-2</v>
      </c>
      <c r="K982" s="484">
        <f t="shared" si="61"/>
        <v>-4.3223778724365003E-3</v>
      </c>
    </row>
    <row r="983" spans="1:11" x14ac:dyDescent="0.35">
      <c r="A983" s="490">
        <v>43759</v>
      </c>
      <c r="B983" s="491">
        <v>315.39999999999998</v>
      </c>
      <c r="C983" s="483">
        <f t="shared" si="62"/>
        <v>-1.0354565422027062E-2</v>
      </c>
      <c r="E983" s="492">
        <v>43759</v>
      </c>
      <c r="F983" s="493">
        <v>4761.42</v>
      </c>
      <c r="G983" s="484">
        <f t="shared" si="63"/>
        <v>-4.3223778724365003E-3</v>
      </c>
      <c r="J983" s="483">
        <f t="shared" si="60"/>
        <v>2.8319697923222531E-3</v>
      </c>
      <c r="K983" s="484">
        <f t="shared" si="61"/>
        <v>2.3265611539744491E-3</v>
      </c>
    </row>
    <row r="984" spans="1:11" x14ac:dyDescent="0.35">
      <c r="A984" s="490">
        <v>43758</v>
      </c>
      <c r="B984" s="491">
        <v>318.7</v>
      </c>
      <c r="C984" s="483">
        <f t="shared" si="62"/>
        <v>2.8319697923222531E-3</v>
      </c>
      <c r="E984" s="492">
        <v>43758</v>
      </c>
      <c r="F984" s="493">
        <v>4782.09</v>
      </c>
      <c r="G984" s="484">
        <f t="shared" si="63"/>
        <v>2.3265611539744491E-3</v>
      </c>
      <c r="J984" s="483">
        <f t="shared" si="60"/>
        <v>-3.1392868028040311E-2</v>
      </c>
      <c r="K984" s="484">
        <f t="shared" si="61"/>
        <v>-2.2230959381966953E-3</v>
      </c>
    </row>
    <row r="985" spans="1:11" x14ac:dyDescent="0.35">
      <c r="A985" s="490">
        <v>43755</v>
      </c>
      <c r="B985" s="491">
        <v>317.8</v>
      </c>
      <c r="C985" s="483">
        <f t="shared" si="62"/>
        <v>-3.1392868028040311E-2</v>
      </c>
      <c r="E985" s="492">
        <v>43755</v>
      </c>
      <c r="F985" s="493">
        <v>4770.99</v>
      </c>
      <c r="G985" s="484">
        <f t="shared" si="63"/>
        <v>-2.2230959381966953E-3</v>
      </c>
      <c r="J985" s="483">
        <f t="shared" si="60"/>
        <v>-1.2044564890093312E-2</v>
      </c>
      <c r="K985" s="484">
        <f t="shared" si="61"/>
        <v>-8.3000804705454234E-3</v>
      </c>
    </row>
    <row r="986" spans="1:11" x14ac:dyDescent="0.35">
      <c r="A986" s="490">
        <v>43754</v>
      </c>
      <c r="B986" s="491">
        <v>328.1</v>
      </c>
      <c r="C986" s="483">
        <f t="shared" si="62"/>
        <v>-1.2044564890093312E-2</v>
      </c>
      <c r="E986" s="492">
        <v>43754</v>
      </c>
      <c r="F986" s="493">
        <v>4781.62</v>
      </c>
      <c r="G986" s="484">
        <f t="shared" si="63"/>
        <v>-8.3000804705454234E-3</v>
      </c>
      <c r="J986" s="483">
        <f t="shared" si="60"/>
        <v>4.9289099526066416E-2</v>
      </c>
      <c r="K986" s="484">
        <f t="shared" si="61"/>
        <v>2.3420287394137596E-2</v>
      </c>
    </row>
    <row r="987" spans="1:11" x14ac:dyDescent="0.35">
      <c r="A987" s="490">
        <v>43753</v>
      </c>
      <c r="B987" s="491">
        <v>332.1</v>
      </c>
      <c r="C987" s="483">
        <f t="shared" si="62"/>
        <v>4.9289099526066416E-2</v>
      </c>
      <c r="E987" s="492">
        <v>43753</v>
      </c>
      <c r="F987" s="493">
        <v>4821.6400000000003</v>
      </c>
      <c r="G987" s="484">
        <f t="shared" si="63"/>
        <v>2.3420287394137596E-2</v>
      </c>
      <c r="J987" s="483">
        <f t="shared" si="60"/>
        <v>-2.7350952673632412E-2</v>
      </c>
      <c r="K987" s="484">
        <f t="shared" si="61"/>
        <v>-1.0619777524375817E-2</v>
      </c>
    </row>
    <row r="988" spans="1:11" x14ac:dyDescent="0.35">
      <c r="A988" s="490">
        <v>43752</v>
      </c>
      <c r="B988" s="491">
        <v>316.5</v>
      </c>
      <c r="C988" s="483">
        <f t="shared" si="62"/>
        <v>-2.7350952673632412E-2</v>
      </c>
      <c r="E988" s="492">
        <v>43752</v>
      </c>
      <c r="F988" s="493">
        <v>4711.3</v>
      </c>
      <c r="G988" s="484">
        <f t="shared" si="63"/>
        <v>-1.0619777524375817E-2</v>
      </c>
      <c r="J988" s="483">
        <f t="shared" si="60"/>
        <v>-2.2822822822822886E-2</v>
      </c>
      <c r="K988" s="484">
        <f t="shared" si="61"/>
        <v>-1.0049457300201015E-2</v>
      </c>
    </row>
    <row r="989" spans="1:11" x14ac:dyDescent="0.35">
      <c r="A989" s="490">
        <v>43751</v>
      </c>
      <c r="B989" s="491">
        <v>325.39999999999998</v>
      </c>
      <c r="C989" s="483">
        <f t="shared" si="62"/>
        <v>-2.2822822822822886E-2</v>
      </c>
      <c r="E989" s="492">
        <v>43751</v>
      </c>
      <c r="F989" s="493">
        <v>4761.87</v>
      </c>
      <c r="G989" s="484">
        <f t="shared" si="63"/>
        <v>-1.0049457300201015E-2</v>
      </c>
      <c r="J989" s="483">
        <f t="shared" si="60"/>
        <v>-8.9285714285713969E-3</v>
      </c>
      <c r="K989" s="484">
        <f t="shared" si="61"/>
        <v>-1.0702863900457604E-2</v>
      </c>
    </row>
    <row r="990" spans="1:11" x14ac:dyDescent="0.35">
      <c r="A990" s="490">
        <v>43748</v>
      </c>
      <c r="B990" s="491">
        <v>333</v>
      </c>
      <c r="C990" s="483">
        <f t="shared" si="62"/>
        <v>-8.9285714285713969E-3</v>
      </c>
      <c r="E990" s="492">
        <v>43748</v>
      </c>
      <c r="F990" s="493">
        <v>4810.21</v>
      </c>
      <c r="G990" s="484">
        <f t="shared" si="63"/>
        <v>-1.0702863900457604E-2</v>
      </c>
      <c r="J990" s="483">
        <f t="shared" si="60"/>
        <v>-1.4373716632443467E-2</v>
      </c>
      <c r="K990" s="484">
        <f t="shared" si="61"/>
        <v>-6.5504637017271827E-3</v>
      </c>
    </row>
    <row r="991" spans="1:11" x14ac:dyDescent="0.35">
      <c r="A991" s="490">
        <v>43747</v>
      </c>
      <c r="B991" s="491">
        <v>336</v>
      </c>
      <c r="C991" s="483">
        <f t="shared" si="62"/>
        <v>-1.4373716632443467E-2</v>
      </c>
      <c r="E991" s="492">
        <v>43747</v>
      </c>
      <c r="F991" s="493">
        <v>4862.25</v>
      </c>
      <c r="G991" s="484">
        <f t="shared" si="63"/>
        <v>-6.5504637017271827E-3</v>
      </c>
      <c r="J991" s="483">
        <f t="shared" si="60"/>
        <v>-1.2170385395537608E-2</v>
      </c>
      <c r="K991" s="484">
        <f t="shared" si="61"/>
        <v>-8.8115808190657452E-3</v>
      </c>
    </row>
    <row r="992" spans="1:11" x14ac:dyDescent="0.35">
      <c r="A992" s="490">
        <v>43745</v>
      </c>
      <c r="B992" s="491">
        <v>340.9</v>
      </c>
      <c r="C992" s="483">
        <f t="shared" si="62"/>
        <v>-1.2170385395537608E-2</v>
      </c>
      <c r="E992" s="492">
        <v>43745</v>
      </c>
      <c r="F992" s="493">
        <v>4894.3100000000004</v>
      </c>
      <c r="G992" s="484">
        <f t="shared" si="63"/>
        <v>-8.8115808190657452E-3</v>
      </c>
      <c r="J992" s="483">
        <f t="shared" si="60"/>
        <v>1.1604293588629577E-3</v>
      </c>
      <c r="K992" s="484">
        <f t="shared" si="61"/>
        <v>2.9373811120314564E-4</v>
      </c>
    </row>
    <row r="993" spans="1:11" x14ac:dyDescent="0.35">
      <c r="A993" s="490">
        <v>43741</v>
      </c>
      <c r="B993" s="491">
        <v>345.1</v>
      </c>
      <c r="C993" s="483">
        <f t="shared" si="62"/>
        <v>1.1604293588629577E-3</v>
      </c>
      <c r="E993" s="492">
        <v>43741</v>
      </c>
      <c r="F993" s="493">
        <v>4937.82</v>
      </c>
      <c r="G993" s="484">
        <f t="shared" si="63"/>
        <v>2.9373811120314564E-4</v>
      </c>
      <c r="J993" s="483">
        <f t="shared" si="60"/>
        <v>-1.2037833190025715E-2</v>
      </c>
      <c r="K993" s="484">
        <f t="shared" si="61"/>
        <v>-2.6306272086056293E-3</v>
      </c>
    </row>
    <row r="994" spans="1:11" x14ac:dyDescent="0.35">
      <c r="A994" s="490">
        <v>43740</v>
      </c>
      <c r="B994" s="491">
        <v>344.7</v>
      </c>
      <c r="C994" s="483">
        <f t="shared" si="62"/>
        <v>-1.2037833190025715E-2</v>
      </c>
      <c r="E994" s="492">
        <v>43740</v>
      </c>
      <c r="F994" s="493">
        <v>4936.37</v>
      </c>
      <c r="G994" s="484">
        <f t="shared" si="63"/>
        <v>-2.6306272086056293E-3</v>
      </c>
      <c r="J994" s="483">
        <f t="shared" si="60"/>
        <v>-9.9318955732122793E-3</v>
      </c>
      <c r="K994" s="484">
        <f t="shared" si="61"/>
        <v>3.5572587279175671E-4</v>
      </c>
    </row>
    <row r="995" spans="1:11" x14ac:dyDescent="0.35">
      <c r="A995" s="490">
        <v>43739</v>
      </c>
      <c r="B995" s="491">
        <v>348.9</v>
      </c>
      <c r="C995" s="483">
        <f t="shared" si="62"/>
        <v>-9.9318955732122793E-3</v>
      </c>
      <c r="E995" s="492">
        <v>43739</v>
      </c>
      <c r="F995" s="493">
        <v>4949.3900000000003</v>
      </c>
      <c r="G995" s="484">
        <f t="shared" si="63"/>
        <v>3.5572587279175671E-4</v>
      </c>
      <c r="J995" s="483">
        <f t="shared" si="60"/>
        <v>-1.2608573830204528E-2</v>
      </c>
      <c r="K995" s="484">
        <f t="shared" si="61"/>
        <v>-5.6474125404712971E-3</v>
      </c>
    </row>
    <row r="996" spans="1:11" x14ac:dyDescent="0.35">
      <c r="A996" s="490">
        <v>43738</v>
      </c>
      <c r="B996" s="491">
        <v>352.4</v>
      </c>
      <c r="C996" s="483">
        <f t="shared" si="62"/>
        <v>-1.2608573830204528E-2</v>
      </c>
      <c r="E996" s="492">
        <v>43738</v>
      </c>
      <c r="F996" s="493">
        <v>4947.63</v>
      </c>
      <c r="G996" s="484">
        <f t="shared" si="63"/>
        <v>-5.6474125404712971E-3</v>
      </c>
      <c r="J996" s="483">
        <f t="shared" si="60"/>
        <v>-6.9560378408458634E-3</v>
      </c>
      <c r="K996" s="484">
        <f t="shared" si="61"/>
        <v>1.4632300551880029E-3</v>
      </c>
    </row>
    <row r="997" spans="1:11" x14ac:dyDescent="0.35">
      <c r="A997" s="490">
        <v>43737</v>
      </c>
      <c r="B997" s="491">
        <v>356.9</v>
      </c>
      <c r="C997" s="483">
        <f t="shared" si="62"/>
        <v>-6.9560378408458634E-3</v>
      </c>
      <c r="E997" s="492">
        <v>43737</v>
      </c>
      <c r="F997" s="493">
        <v>4975.7299999999996</v>
      </c>
      <c r="G997" s="484">
        <f t="shared" si="63"/>
        <v>1.4632300551880029E-3</v>
      </c>
      <c r="J997" s="483">
        <f t="shared" si="60"/>
        <v>1.2109264995775693E-2</v>
      </c>
      <c r="K997" s="484">
        <f t="shared" si="61"/>
        <v>3.3786171701608581E-3</v>
      </c>
    </row>
    <row r="998" spans="1:11" x14ac:dyDescent="0.35">
      <c r="A998" s="490">
        <v>43734</v>
      </c>
      <c r="B998" s="491">
        <v>359.4</v>
      </c>
      <c r="C998" s="483">
        <f t="shared" si="62"/>
        <v>1.2109264995775693E-2</v>
      </c>
      <c r="E998" s="492">
        <v>43734</v>
      </c>
      <c r="F998" s="493">
        <v>4968.46</v>
      </c>
      <c r="G998" s="484">
        <f t="shared" si="63"/>
        <v>3.3786171701608581E-3</v>
      </c>
      <c r="J998" s="483">
        <f t="shared" si="60"/>
        <v>-9.2075892857141906E-3</v>
      </c>
      <c r="K998" s="484">
        <f t="shared" si="61"/>
        <v>-1.4096379710895057E-3</v>
      </c>
    </row>
    <row r="999" spans="1:11" x14ac:dyDescent="0.35">
      <c r="A999" s="490">
        <v>43733</v>
      </c>
      <c r="B999" s="491">
        <v>355.1</v>
      </c>
      <c r="C999" s="483">
        <f t="shared" si="62"/>
        <v>-9.2075892857141906E-3</v>
      </c>
      <c r="E999" s="492">
        <v>43733</v>
      </c>
      <c r="F999" s="493">
        <v>4951.7299999999996</v>
      </c>
      <c r="G999" s="484">
        <f t="shared" si="63"/>
        <v>-1.4096379710895057E-3</v>
      </c>
      <c r="J999" s="483">
        <f t="shared" si="60"/>
        <v>-1.2127894156560237E-2</v>
      </c>
      <c r="K999" s="484">
        <f t="shared" si="61"/>
        <v>-8.3016181255660682E-3</v>
      </c>
    </row>
    <row r="1000" spans="1:11" x14ac:dyDescent="0.35">
      <c r="A1000" s="490">
        <v>43732</v>
      </c>
      <c r="B1000" s="491">
        <v>358.4</v>
      </c>
      <c r="C1000" s="483">
        <f t="shared" si="62"/>
        <v>-1.2127894156560237E-2</v>
      </c>
      <c r="E1000" s="492">
        <v>43732</v>
      </c>
      <c r="F1000" s="493">
        <v>4958.72</v>
      </c>
      <c r="G1000" s="484">
        <f t="shared" si="63"/>
        <v>-8.3016181255660682E-3</v>
      </c>
      <c r="J1000" s="483">
        <f t="shared" si="60"/>
        <v>6.3800277392511706E-3</v>
      </c>
      <c r="K1000" s="484">
        <f t="shared" si="61"/>
        <v>1.6108645467550975E-2</v>
      </c>
    </row>
    <row r="1001" spans="1:11" x14ac:dyDescent="0.35">
      <c r="A1001" s="490">
        <v>43731</v>
      </c>
      <c r="B1001" s="491">
        <v>362.8</v>
      </c>
      <c r="C1001" s="483">
        <f t="shared" si="62"/>
        <v>6.3800277392511706E-3</v>
      </c>
      <c r="E1001" s="492">
        <v>43731</v>
      </c>
      <c r="F1001" s="493">
        <v>5000.2299999999996</v>
      </c>
      <c r="G1001" s="484">
        <f t="shared" si="63"/>
        <v>1.6108645467550975E-2</v>
      </c>
      <c r="J1001" s="483">
        <f t="shared" si="60"/>
        <v>7.5156576200417602E-2</v>
      </c>
      <c r="K1001" s="484">
        <f t="shared" si="61"/>
        <v>1.3381438968035342E-2</v>
      </c>
    </row>
    <row r="1002" spans="1:11" x14ac:dyDescent="0.35">
      <c r="A1002" s="490">
        <v>43730</v>
      </c>
      <c r="B1002" s="491">
        <v>360.5</v>
      </c>
      <c r="C1002" s="483">
        <f t="shared" si="62"/>
        <v>7.5156576200417602E-2</v>
      </c>
      <c r="E1002" s="492">
        <v>43730</v>
      </c>
      <c r="F1002" s="493">
        <v>4920.96</v>
      </c>
      <c r="G1002" s="484">
        <f t="shared" si="63"/>
        <v>1.3381438968035342E-2</v>
      </c>
      <c r="J1002" s="483">
        <f t="shared" si="60"/>
        <v>8.7224383916991055E-2</v>
      </c>
      <c r="K1002" s="484">
        <f t="shared" si="61"/>
        <v>-6.5527689182306448E-3</v>
      </c>
    </row>
    <row r="1003" spans="1:11" x14ac:dyDescent="0.35">
      <c r="A1003" s="490">
        <v>43727</v>
      </c>
      <c r="B1003" s="491">
        <v>335.3</v>
      </c>
      <c r="C1003" s="483">
        <f t="shared" si="62"/>
        <v>8.7224383916991055E-2</v>
      </c>
      <c r="E1003" s="492">
        <v>43727</v>
      </c>
      <c r="F1003" s="493">
        <v>4855.9799999999996</v>
      </c>
      <c r="G1003" s="484">
        <f t="shared" si="63"/>
        <v>-6.5527689182306448E-3</v>
      </c>
      <c r="J1003" s="483">
        <f t="shared" si="60"/>
        <v>-1.343570057581589E-2</v>
      </c>
      <c r="K1003" s="484">
        <f t="shared" si="61"/>
        <v>-8.3120645650822667E-3</v>
      </c>
    </row>
    <row r="1004" spans="1:11" x14ac:dyDescent="0.35">
      <c r="A1004" s="490">
        <v>43726</v>
      </c>
      <c r="B1004" s="491">
        <v>308.39999999999998</v>
      </c>
      <c r="C1004" s="483">
        <f t="shared" si="62"/>
        <v>-1.343570057581589E-2</v>
      </c>
      <c r="E1004" s="492">
        <v>43726</v>
      </c>
      <c r="F1004" s="493">
        <v>4888.01</v>
      </c>
      <c r="G1004" s="484">
        <f t="shared" si="63"/>
        <v>-8.3120645650822667E-3</v>
      </c>
      <c r="J1004" s="483">
        <f t="shared" si="60"/>
        <v>1.4276443867618616E-2</v>
      </c>
      <c r="K1004" s="484">
        <f t="shared" si="61"/>
        <v>-6.1999342706154925E-3</v>
      </c>
    </row>
    <row r="1005" spans="1:11" x14ac:dyDescent="0.35">
      <c r="A1005" s="490">
        <v>43725</v>
      </c>
      <c r="B1005" s="491">
        <v>312.60000000000002</v>
      </c>
      <c r="C1005" s="483">
        <f t="shared" si="62"/>
        <v>1.4276443867618616E-2</v>
      </c>
      <c r="E1005" s="492">
        <v>43725</v>
      </c>
      <c r="F1005" s="493">
        <v>4928.9799999999996</v>
      </c>
      <c r="G1005" s="484">
        <f t="shared" si="63"/>
        <v>-6.1999342706154925E-3</v>
      </c>
      <c r="J1005" s="483">
        <f t="shared" si="60"/>
        <v>6.8605031035608999E-3</v>
      </c>
      <c r="K1005" s="484">
        <f t="shared" si="61"/>
        <v>3.5409116937090701E-3</v>
      </c>
    </row>
    <row r="1006" spans="1:11" x14ac:dyDescent="0.35">
      <c r="A1006" s="490">
        <v>43724</v>
      </c>
      <c r="B1006" s="491">
        <v>308.2</v>
      </c>
      <c r="C1006" s="483">
        <f t="shared" si="62"/>
        <v>6.8605031035608999E-3</v>
      </c>
      <c r="E1006" s="492">
        <v>43724</v>
      </c>
      <c r="F1006" s="493">
        <v>4959.7299999999996</v>
      </c>
      <c r="G1006" s="484">
        <f t="shared" si="63"/>
        <v>3.5409116937090701E-3</v>
      </c>
      <c r="J1006" s="483">
        <f t="shared" si="60"/>
        <v>6.5767839526471583E-3</v>
      </c>
      <c r="K1006" s="484">
        <f t="shared" si="61"/>
        <v>1.6903498051232813E-3</v>
      </c>
    </row>
    <row r="1007" spans="1:11" x14ac:dyDescent="0.35">
      <c r="A1007" s="490">
        <v>43723</v>
      </c>
      <c r="B1007" s="491">
        <v>306.10000000000002</v>
      </c>
      <c r="C1007" s="483">
        <f t="shared" si="62"/>
        <v>6.5767839526471583E-3</v>
      </c>
      <c r="E1007" s="492">
        <v>43723</v>
      </c>
      <c r="F1007" s="493">
        <v>4942.2299999999996</v>
      </c>
      <c r="G1007" s="484">
        <f t="shared" si="63"/>
        <v>1.6903498051232813E-3</v>
      </c>
      <c r="J1007" s="483">
        <f t="shared" si="60"/>
        <v>-3.2776138970829205E-3</v>
      </c>
      <c r="K1007" s="484">
        <f t="shared" si="61"/>
        <v>1.4595077810009016E-4</v>
      </c>
    </row>
    <row r="1008" spans="1:11" x14ac:dyDescent="0.35">
      <c r="A1008" s="490">
        <v>43720</v>
      </c>
      <c r="B1008" s="491">
        <v>304.10000000000002</v>
      </c>
      <c r="C1008" s="483">
        <f t="shared" si="62"/>
        <v>-3.2776138970829205E-3</v>
      </c>
      <c r="E1008" s="492">
        <v>43720</v>
      </c>
      <c r="F1008" s="493">
        <v>4933.8900000000003</v>
      </c>
      <c r="G1008" s="484">
        <f t="shared" si="63"/>
        <v>1.4595077810009016E-4</v>
      </c>
      <c r="J1008" s="483">
        <f t="shared" si="60"/>
        <v>-9.4155844155843216E-3</v>
      </c>
      <c r="K1008" s="484">
        <f t="shared" si="61"/>
        <v>-1.5130885453267684E-2</v>
      </c>
    </row>
    <row r="1009" spans="1:11" x14ac:dyDescent="0.35">
      <c r="A1009" s="490">
        <v>43719</v>
      </c>
      <c r="B1009" s="491">
        <v>305.10000000000002</v>
      </c>
      <c r="C1009" s="483">
        <f t="shared" si="62"/>
        <v>-9.4155844155843216E-3</v>
      </c>
      <c r="E1009" s="492">
        <v>43719</v>
      </c>
      <c r="F1009" s="493">
        <v>4933.17</v>
      </c>
      <c r="G1009" s="484">
        <f t="shared" si="63"/>
        <v>-1.5130885453267684E-2</v>
      </c>
      <c r="J1009" s="483">
        <f t="shared" si="60"/>
        <v>2.941176470588247E-2</v>
      </c>
      <c r="K1009" s="484">
        <f t="shared" si="61"/>
        <v>-4.9326650495947755E-3</v>
      </c>
    </row>
    <row r="1010" spans="1:11" x14ac:dyDescent="0.35">
      <c r="A1010" s="490">
        <v>43717</v>
      </c>
      <c r="B1010" s="491">
        <v>308</v>
      </c>
      <c r="C1010" s="483">
        <f t="shared" si="62"/>
        <v>2.941176470588247E-2</v>
      </c>
      <c r="E1010" s="492">
        <v>43717</v>
      </c>
      <c r="F1010" s="493">
        <v>5008.96</v>
      </c>
      <c r="G1010" s="484">
        <f t="shared" si="63"/>
        <v>-4.9326650495947755E-3</v>
      </c>
      <c r="J1010" s="483">
        <f t="shared" si="60"/>
        <v>1.2521150592216479E-2</v>
      </c>
      <c r="K1010" s="484">
        <f t="shared" si="61"/>
        <v>4.1452141527744679E-3</v>
      </c>
    </row>
    <row r="1011" spans="1:11" x14ac:dyDescent="0.35">
      <c r="A1011" s="490">
        <v>43716</v>
      </c>
      <c r="B1011" s="491">
        <v>299.2</v>
      </c>
      <c r="C1011" s="483">
        <f t="shared" si="62"/>
        <v>1.2521150592216479E-2</v>
      </c>
      <c r="E1011" s="492">
        <v>43716</v>
      </c>
      <c r="F1011" s="493">
        <v>5033.79</v>
      </c>
      <c r="G1011" s="484">
        <f t="shared" si="63"/>
        <v>4.1452141527744679E-3</v>
      </c>
      <c r="J1011" s="483">
        <f t="shared" si="60"/>
        <v>2.1078092605390619E-2</v>
      </c>
      <c r="K1011" s="484">
        <f t="shared" si="61"/>
        <v>5.3425638289978927E-3</v>
      </c>
    </row>
    <row r="1012" spans="1:11" x14ac:dyDescent="0.35">
      <c r="A1012" s="490">
        <v>43713</v>
      </c>
      <c r="B1012" s="491">
        <v>295.5</v>
      </c>
      <c r="C1012" s="483">
        <f t="shared" si="62"/>
        <v>2.1078092605390619E-2</v>
      </c>
      <c r="E1012" s="492">
        <v>43713</v>
      </c>
      <c r="F1012" s="493">
        <v>5013.01</v>
      </c>
      <c r="G1012" s="484">
        <f t="shared" si="63"/>
        <v>5.3425638289978927E-3</v>
      </c>
      <c r="J1012" s="483">
        <f t="shared" si="60"/>
        <v>-1.798439090600612E-2</v>
      </c>
      <c r="K1012" s="484">
        <f t="shared" si="61"/>
        <v>-4.1301764512038375E-3</v>
      </c>
    </row>
    <row r="1013" spans="1:11" x14ac:dyDescent="0.35">
      <c r="A1013" s="490">
        <v>43712</v>
      </c>
      <c r="B1013" s="491">
        <v>289.39999999999998</v>
      </c>
      <c r="C1013" s="483">
        <f t="shared" si="62"/>
        <v>-1.798439090600612E-2</v>
      </c>
      <c r="E1013" s="492">
        <v>43712</v>
      </c>
      <c r="F1013" s="493">
        <v>4986.37</v>
      </c>
      <c r="G1013" s="484">
        <f t="shared" si="63"/>
        <v>-4.1301764512038375E-3</v>
      </c>
      <c r="J1013" s="483">
        <f t="shared" si="60"/>
        <v>-3.0910884577441733E-2</v>
      </c>
      <c r="K1013" s="484">
        <f t="shared" si="61"/>
        <v>-5.2607216009439295E-3</v>
      </c>
    </row>
    <row r="1014" spans="1:11" x14ac:dyDescent="0.35">
      <c r="A1014" s="490">
        <v>43711</v>
      </c>
      <c r="B1014" s="491">
        <v>294.7</v>
      </c>
      <c r="C1014" s="483">
        <f t="shared" si="62"/>
        <v>-3.0910884577441733E-2</v>
      </c>
      <c r="E1014" s="492">
        <v>43711</v>
      </c>
      <c r="F1014" s="493">
        <v>5007.05</v>
      </c>
      <c r="G1014" s="484">
        <f t="shared" si="63"/>
        <v>-5.2607216009439295E-3</v>
      </c>
      <c r="J1014" s="483">
        <f t="shared" si="60"/>
        <v>-1.9032258064516028E-2</v>
      </c>
      <c r="K1014" s="484">
        <f t="shared" si="61"/>
        <v>-7.3264335355417431E-3</v>
      </c>
    </row>
    <row r="1015" spans="1:11" x14ac:dyDescent="0.35">
      <c r="A1015" s="490">
        <v>43710</v>
      </c>
      <c r="B1015" s="491">
        <v>304.10000000000002</v>
      </c>
      <c r="C1015" s="483">
        <f t="shared" si="62"/>
        <v>-1.9032258064516028E-2</v>
      </c>
      <c r="E1015" s="492">
        <v>43710</v>
      </c>
      <c r="F1015" s="493">
        <v>5033.53</v>
      </c>
      <c r="G1015" s="484">
        <f t="shared" si="63"/>
        <v>-7.3264335355417431E-3</v>
      </c>
      <c r="J1015" s="483">
        <f t="shared" si="60"/>
        <v>-6.4102564102563875E-3</v>
      </c>
      <c r="K1015" s="484">
        <f t="shared" si="61"/>
        <v>-4.9236916108851281E-3</v>
      </c>
    </row>
    <row r="1016" spans="1:11" x14ac:dyDescent="0.35">
      <c r="A1016" s="490">
        <v>43709</v>
      </c>
      <c r="B1016" s="491">
        <v>310</v>
      </c>
      <c r="C1016" s="483">
        <f t="shared" si="62"/>
        <v>-6.4102564102563875E-3</v>
      </c>
      <c r="E1016" s="492">
        <v>43709</v>
      </c>
      <c r="F1016" s="493">
        <v>5070.68</v>
      </c>
      <c r="G1016" s="484">
        <f t="shared" si="63"/>
        <v>-4.9236916108851281E-3</v>
      </c>
      <c r="J1016" s="483">
        <f t="shared" si="60"/>
        <v>-1.5151515151515138E-2</v>
      </c>
      <c r="K1016" s="484">
        <f t="shared" si="61"/>
        <v>-8.6031295780729655E-3</v>
      </c>
    </row>
    <row r="1017" spans="1:11" x14ac:dyDescent="0.35">
      <c r="A1017" s="490">
        <v>43706</v>
      </c>
      <c r="B1017" s="491">
        <v>312</v>
      </c>
      <c r="C1017" s="483">
        <f t="shared" si="62"/>
        <v>-1.5151515151515138E-2</v>
      </c>
      <c r="E1017" s="492">
        <v>43706</v>
      </c>
      <c r="F1017" s="493">
        <v>5095.7700000000004</v>
      </c>
      <c r="G1017" s="484">
        <f t="shared" si="63"/>
        <v>-8.6031295780729655E-3</v>
      </c>
      <c r="J1017" s="483">
        <f t="shared" si="60"/>
        <v>-1.0309278350515538E-2</v>
      </c>
      <c r="K1017" s="484">
        <f t="shared" si="61"/>
        <v>-7.4748489003031438E-3</v>
      </c>
    </row>
    <row r="1018" spans="1:11" x14ac:dyDescent="0.35">
      <c r="A1018" s="490">
        <v>43705</v>
      </c>
      <c r="B1018" s="491">
        <v>316.8</v>
      </c>
      <c r="C1018" s="483">
        <f t="shared" si="62"/>
        <v>-1.0309278350515538E-2</v>
      </c>
      <c r="E1018" s="492">
        <v>43705</v>
      </c>
      <c r="F1018" s="493">
        <v>5139.99</v>
      </c>
      <c r="G1018" s="484">
        <f t="shared" si="63"/>
        <v>-7.4748489003031438E-3</v>
      </c>
      <c r="J1018" s="483">
        <f t="shared" si="60"/>
        <v>2.1052631578947434E-2</v>
      </c>
      <c r="K1018" s="484">
        <f t="shared" si="61"/>
        <v>2.5049557083565155E-3</v>
      </c>
    </row>
    <row r="1019" spans="1:11" x14ac:dyDescent="0.35">
      <c r="A1019" s="490">
        <v>43704</v>
      </c>
      <c r="B1019" s="491">
        <v>320.10000000000002</v>
      </c>
      <c r="C1019" s="483">
        <f t="shared" si="62"/>
        <v>2.1052631578947434E-2</v>
      </c>
      <c r="E1019" s="492">
        <v>43704</v>
      </c>
      <c r="F1019" s="493">
        <v>5178.7</v>
      </c>
      <c r="G1019" s="484">
        <f t="shared" si="63"/>
        <v>2.5049557083565155E-3</v>
      </c>
      <c r="J1019" s="483">
        <f t="shared" si="60"/>
        <v>-1.0416666666666741E-2</v>
      </c>
      <c r="K1019" s="484">
        <f t="shared" si="61"/>
        <v>-1.1095541108635198E-2</v>
      </c>
    </row>
    <row r="1020" spans="1:11" x14ac:dyDescent="0.35">
      <c r="A1020" s="490">
        <v>43703</v>
      </c>
      <c r="B1020" s="491">
        <v>313.5</v>
      </c>
      <c r="C1020" s="483">
        <f t="shared" si="62"/>
        <v>-1.0416666666666741E-2</v>
      </c>
      <c r="E1020" s="492">
        <v>43703</v>
      </c>
      <c r="F1020" s="493">
        <v>5165.76</v>
      </c>
      <c r="G1020" s="484">
        <f t="shared" si="63"/>
        <v>-1.1095541108635198E-2</v>
      </c>
      <c r="J1020" s="483">
        <f t="shared" si="60"/>
        <v>-9.0710040663121161E-3</v>
      </c>
      <c r="K1020" s="484">
        <f t="shared" si="61"/>
        <v>-2.5072324011572444E-3</v>
      </c>
    </row>
    <row r="1021" spans="1:11" x14ac:dyDescent="0.35">
      <c r="A1021" s="490">
        <v>43702</v>
      </c>
      <c r="B1021" s="491">
        <v>316.8</v>
      </c>
      <c r="C1021" s="483">
        <f t="shared" si="62"/>
        <v>-9.0710040663121161E-3</v>
      </c>
      <c r="E1021" s="492">
        <v>43702</v>
      </c>
      <c r="F1021" s="493">
        <v>5223.72</v>
      </c>
      <c r="G1021" s="484">
        <f t="shared" si="63"/>
        <v>-2.5072324011572444E-3</v>
      </c>
      <c r="J1021" s="483">
        <f t="shared" si="60"/>
        <v>-1.1135168574079923E-2</v>
      </c>
      <c r="K1021" s="484">
        <f t="shared" si="61"/>
        <v>2.5730317934071767E-3</v>
      </c>
    </row>
    <row r="1022" spans="1:11" x14ac:dyDescent="0.35">
      <c r="A1022" s="490">
        <v>43699</v>
      </c>
      <c r="B1022" s="491">
        <v>319.7</v>
      </c>
      <c r="C1022" s="483">
        <f t="shared" si="62"/>
        <v>-1.1135168574079923E-2</v>
      </c>
      <c r="E1022" s="492">
        <v>43699</v>
      </c>
      <c r="F1022" s="493">
        <v>5236.8500000000004</v>
      </c>
      <c r="G1022" s="484">
        <f t="shared" si="63"/>
        <v>2.5730317934071767E-3</v>
      </c>
      <c r="J1022" s="483">
        <f t="shared" si="60"/>
        <v>-1.0104102878138455E-2</v>
      </c>
      <c r="K1022" s="484">
        <f t="shared" si="61"/>
        <v>-7.8048929792307042E-4</v>
      </c>
    </row>
    <row r="1023" spans="1:11" x14ac:dyDescent="0.35">
      <c r="A1023" s="490">
        <v>43698</v>
      </c>
      <c r="B1023" s="491">
        <v>323.3</v>
      </c>
      <c r="C1023" s="483">
        <f t="shared" si="62"/>
        <v>-1.0104102878138455E-2</v>
      </c>
      <c r="E1023" s="492">
        <v>43698</v>
      </c>
      <c r="F1023" s="493">
        <v>5223.41</v>
      </c>
      <c r="G1023" s="484">
        <f t="shared" si="63"/>
        <v>-7.8048929792307042E-4</v>
      </c>
      <c r="J1023" s="483">
        <f t="shared" si="60"/>
        <v>8.3359061438716964E-3</v>
      </c>
      <c r="K1023" s="484">
        <f t="shared" si="61"/>
        <v>4.4000107130681698E-5</v>
      </c>
    </row>
    <row r="1024" spans="1:11" x14ac:dyDescent="0.35">
      <c r="A1024" s="490">
        <v>43697</v>
      </c>
      <c r="B1024" s="491">
        <v>326.60000000000002</v>
      </c>
      <c r="C1024" s="483">
        <f t="shared" si="62"/>
        <v>8.3359061438716964E-3</v>
      </c>
      <c r="E1024" s="492">
        <v>43697</v>
      </c>
      <c r="F1024" s="493">
        <v>5227.49</v>
      </c>
      <c r="G1024" s="484">
        <f t="shared" si="63"/>
        <v>4.4000107130681698E-5</v>
      </c>
      <c r="J1024" s="483">
        <f t="shared" si="60"/>
        <v>2.1766561514195537E-2</v>
      </c>
      <c r="K1024" s="484">
        <f t="shared" si="61"/>
        <v>2.0569228970217512E-3</v>
      </c>
    </row>
    <row r="1025" spans="1:11" x14ac:dyDescent="0.35">
      <c r="A1025" s="490">
        <v>43696</v>
      </c>
      <c r="B1025" s="491">
        <v>323.89999999999998</v>
      </c>
      <c r="C1025" s="483">
        <f t="shared" si="62"/>
        <v>2.1766561514195537E-2</v>
      </c>
      <c r="E1025" s="492">
        <v>43696</v>
      </c>
      <c r="F1025" s="493">
        <v>5227.26</v>
      </c>
      <c r="G1025" s="484">
        <f t="shared" si="63"/>
        <v>2.0569228970217512E-3</v>
      </c>
      <c r="J1025" s="483">
        <f t="shared" si="60"/>
        <v>-2.2033364809568301E-3</v>
      </c>
      <c r="K1025" s="484">
        <f t="shared" si="61"/>
        <v>2.90497594887551E-3</v>
      </c>
    </row>
    <row r="1026" spans="1:11" x14ac:dyDescent="0.35">
      <c r="A1026" s="490">
        <v>43695</v>
      </c>
      <c r="B1026" s="491">
        <v>317</v>
      </c>
      <c r="C1026" s="483">
        <f t="shared" si="62"/>
        <v>-2.2033364809568301E-3</v>
      </c>
      <c r="E1026" s="492">
        <v>43695</v>
      </c>
      <c r="F1026" s="493">
        <v>5216.53</v>
      </c>
      <c r="G1026" s="484">
        <f t="shared" si="63"/>
        <v>2.90497594887551E-3</v>
      </c>
      <c r="J1026" s="483">
        <f t="shared" si="60"/>
        <v>-3.4504391468005435E-3</v>
      </c>
      <c r="K1026" s="484">
        <f t="shared" si="61"/>
        <v>2.741363355953208E-3</v>
      </c>
    </row>
    <row r="1027" spans="1:11" x14ac:dyDescent="0.35">
      <c r="A1027" s="490">
        <v>43685</v>
      </c>
      <c r="B1027" s="491">
        <v>317.7</v>
      </c>
      <c r="C1027" s="483">
        <f t="shared" si="62"/>
        <v>-3.4504391468005435E-3</v>
      </c>
      <c r="E1027" s="492">
        <v>43685</v>
      </c>
      <c r="F1027" s="493">
        <v>5201.42</v>
      </c>
      <c r="G1027" s="484">
        <f t="shared" si="63"/>
        <v>2.741363355953208E-3</v>
      </c>
      <c r="J1027" s="483">
        <f t="shared" ref="J1027:J1090" si="64">(B1028/B1029)-1</f>
        <v>-1.0552451893233949E-2</v>
      </c>
      <c r="K1027" s="484">
        <f t="shared" ref="K1027:K1090" si="65">(F1028/F1029)-1</f>
        <v>-1.7350099955848464E-5</v>
      </c>
    </row>
    <row r="1028" spans="1:11" x14ac:dyDescent="0.35">
      <c r="A1028" s="490">
        <v>43684</v>
      </c>
      <c r="B1028" s="491">
        <v>318.8</v>
      </c>
      <c r="C1028" s="483">
        <f t="shared" ref="C1028:C1091" si="66">(B1028/B1029)-1</f>
        <v>-1.0552451893233949E-2</v>
      </c>
      <c r="E1028" s="492">
        <v>43684</v>
      </c>
      <c r="F1028" s="493">
        <v>5187.2</v>
      </c>
      <c r="G1028" s="484">
        <f t="shared" ref="G1028:G1091" si="67">(F1028/F1029)-1</f>
        <v>-1.7350099955848464E-5</v>
      </c>
      <c r="J1028" s="483">
        <f t="shared" si="64"/>
        <v>2.4891101431239182E-3</v>
      </c>
      <c r="K1028" s="484">
        <f t="shared" si="65"/>
        <v>5.2166801992881151E-3</v>
      </c>
    </row>
    <row r="1029" spans="1:11" x14ac:dyDescent="0.35">
      <c r="A1029" s="490">
        <v>43683</v>
      </c>
      <c r="B1029" s="491">
        <v>322.2</v>
      </c>
      <c r="C1029" s="483">
        <f t="shared" si="66"/>
        <v>2.4891101431239182E-3</v>
      </c>
      <c r="E1029" s="492">
        <v>43683</v>
      </c>
      <c r="F1029" s="493">
        <v>5187.29</v>
      </c>
      <c r="G1029" s="484">
        <f t="shared" si="67"/>
        <v>5.2166801992881151E-3</v>
      </c>
      <c r="J1029" s="483">
        <f t="shared" si="64"/>
        <v>-4.6573716997923564E-2</v>
      </c>
      <c r="K1029" s="484">
        <f t="shared" si="65"/>
        <v>-1.8105394285581333E-3</v>
      </c>
    </row>
    <row r="1030" spans="1:11" x14ac:dyDescent="0.35">
      <c r="A1030" s="490">
        <v>43682</v>
      </c>
      <c r="B1030" s="491">
        <v>321.39999999999998</v>
      </c>
      <c r="C1030" s="483">
        <f t="shared" si="66"/>
        <v>-4.6573716997923564E-2</v>
      </c>
      <c r="E1030" s="492">
        <v>43682</v>
      </c>
      <c r="F1030" s="493">
        <v>5160.37</v>
      </c>
      <c r="G1030" s="484">
        <f t="shared" si="67"/>
        <v>-1.8105394285581333E-3</v>
      </c>
      <c r="J1030" s="483">
        <f t="shared" si="64"/>
        <v>1.4139590854392425E-2</v>
      </c>
      <c r="K1030" s="484">
        <f t="shared" si="65"/>
        <v>6.0208726178729854E-3</v>
      </c>
    </row>
    <row r="1031" spans="1:11" x14ac:dyDescent="0.35">
      <c r="A1031" s="490">
        <v>43678</v>
      </c>
      <c r="B1031" s="491">
        <v>337.1</v>
      </c>
      <c r="C1031" s="483">
        <f t="shared" si="66"/>
        <v>1.4139590854392425E-2</v>
      </c>
      <c r="E1031" s="492">
        <v>43678</v>
      </c>
      <c r="F1031" s="493">
        <v>5169.7299999999996</v>
      </c>
      <c r="G1031" s="484">
        <f t="shared" si="67"/>
        <v>6.0208726178729854E-3</v>
      </c>
      <c r="J1031" s="483">
        <f t="shared" si="64"/>
        <v>2.0571077678845473E-2</v>
      </c>
      <c r="K1031" s="484">
        <f t="shared" si="65"/>
        <v>2.6868187831461388E-3</v>
      </c>
    </row>
    <row r="1032" spans="1:11" x14ac:dyDescent="0.35">
      <c r="A1032" s="490">
        <v>43677</v>
      </c>
      <c r="B1032" s="491">
        <v>332.4</v>
      </c>
      <c r="C1032" s="483">
        <f t="shared" si="66"/>
        <v>2.0571077678845473E-2</v>
      </c>
      <c r="E1032" s="492">
        <v>43677</v>
      </c>
      <c r="F1032" s="493">
        <v>5138.79</v>
      </c>
      <c r="G1032" s="484">
        <f t="shared" si="67"/>
        <v>2.6868187831461388E-3</v>
      </c>
      <c r="J1032" s="483">
        <f t="shared" si="64"/>
        <v>-4.8884815154293104E-3</v>
      </c>
      <c r="K1032" s="484">
        <f t="shared" si="65"/>
        <v>-6.921488003658216E-3</v>
      </c>
    </row>
    <row r="1033" spans="1:11" x14ac:dyDescent="0.35">
      <c r="A1033" s="490">
        <v>43676</v>
      </c>
      <c r="B1033" s="491">
        <v>325.7</v>
      </c>
      <c r="C1033" s="483">
        <f t="shared" si="66"/>
        <v>-4.8884815154293104E-3</v>
      </c>
      <c r="E1033" s="492">
        <v>43676</v>
      </c>
      <c r="F1033" s="493">
        <v>5125.0200000000004</v>
      </c>
      <c r="G1033" s="484">
        <f t="shared" si="67"/>
        <v>-6.921488003658216E-3</v>
      </c>
      <c r="J1033" s="483">
        <f t="shared" si="64"/>
        <v>7.6970443349753115E-3</v>
      </c>
      <c r="K1033" s="484">
        <f t="shared" si="65"/>
        <v>5.2221202860185389E-3</v>
      </c>
    </row>
    <row r="1034" spans="1:11" x14ac:dyDescent="0.35">
      <c r="A1034" s="490">
        <v>43675</v>
      </c>
      <c r="B1034" s="491">
        <v>327.3</v>
      </c>
      <c r="C1034" s="483">
        <f t="shared" si="66"/>
        <v>7.6970443349753115E-3</v>
      </c>
      <c r="E1034" s="492">
        <v>43675</v>
      </c>
      <c r="F1034" s="493">
        <v>5160.74</v>
      </c>
      <c r="G1034" s="484">
        <f t="shared" si="67"/>
        <v>5.2221202860185389E-3</v>
      </c>
      <c r="J1034" s="483">
        <f t="shared" si="64"/>
        <v>3.0797659377901354E-4</v>
      </c>
      <c r="K1034" s="484">
        <f t="shared" si="65"/>
        <v>1.3246968294944317E-4</v>
      </c>
    </row>
    <row r="1035" spans="1:11" x14ac:dyDescent="0.35">
      <c r="A1035" s="490">
        <v>43674</v>
      </c>
      <c r="B1035" s="491">
        <v>324.8</v>
      </c>
      <c r="C1035" s="483">
        <f t="shared" si="66"/>
        <v>3.0797659377901354E-4</v>
      </c>
      <c r="E1035" s="492">
        <v>43674</v>
      </c>
      <c r="F1035" s="493">
        <v>5133.93</v>
      </c>
      <c r="G1035" s="484">
        <f t="shared" si="67"/>
        <v>1.3246968294944317E-4</v>
      </c>
      <c r="J1035" s="483">
        <f t="shared" si="64"/>
        <v>1.3420724094881376E-2</v>
      </c>
      <c r="K1035" s="484">
        <f t="shared" si="65"/>
        <v>1.102361894557724E-2</v>
      </c>
    </row>
    <row r="1036" spans="1:11" x14ac:dyDescent="0.35">
      <c r="A1036" s="490">
        <v>43671</v>
      </c>
      <c r="B1036" s="491">
        <v>324.7</v>
      </c>
      <c r="C1036" s="483">
        <f t="shared" si="66"/>
        <v>1.3420724094881376E-2</v>
      </c>
      <c r="E1036" s="492">
        <v>43671</v>
      </c>
      <c r="F1036" s="493">
        <v>5133.25</v>
      </c>
      <c r="G1036" s="484">
        <f t="shared" si="67"/>
        <v>1.102361894557724E-2</v>
      </c>
      <c r="J1036" s="483">
        <f t="shared" si="64"/>
        <v>-8.6633663366336711E-3</v>
      </c>
      <c r="K1036" s="484">
        <f t="shared" si="65"/>
        <v>-9.2560681404174616E-5</v>
      </c>
    </row>
    <row r="1037" spans="1:11" x14ac:dyDescent="0.35">
      <c r="A1037" s="490">
        <v>43670</v>
      </c>
      <c r="B1037" s="491">
        <v>320.39999999999998</v>
      </c>
      <c r="C1037" s="483">
        <f t="shared" si="66"/>
        <v>-8.6633663366336711E-3</v>
      </c>
      <c r="E1037" s="492">
        <v>43670</v>
      </c>
      <c r="F1037" s="493">
        <v>5077.28</v>
      </c>
      <c r="G1037" s="484">
        <f t="shared" si="67"/>
        <v>-9.2560681404174616E-5</v>
      </c>
      <c r="J1037" s="483">
        <f t="shared" si="64"/>
        <v>2.1705426356588564E-3</v>
      </c>
      <c r="K1037" s="484">
        <f t="shared" si="65"/>
        <v>2.2412432245230152E-2</v>
      </c>
    </row>
    <row r="1038" spans="1:11" x14ac:dyDescent="0.35">
      <c r="A1038" s="490">
        <v>43669</v>
      </c>
      <c r="B1038" s="491">
        <v>323.2</v>
      </c>
      <c r="C1038" s="483">
        <f t="shared" si="66"/>
        <v>2.1705426356588564E-3</v>
      </c>
      <c r="E1038" s="492">
        <v>43669</v>
      </c>
      <c r="F1038" s="493">
        <v>5077.75</v>
      </c>
      <c r="G1038" s="484">
        <f t="shared" si="67"/>
        <v>2.2412432245230152E-2</v>
      </c>
      <c r="J1038" s="483">
        <f t="shared" si="64"/>
        <v>-8.6074392868121796E-3</v>
      </c>
      <c r="K1038" s="484">
        <f t="shared" si="65"/>
        <v>-1.3369780719703517E-2</v>
      </c>
    </row>
    <row r="1039" spans="1:11" x14ac:dyDescent="0.35">
      <c r="A1039" s="490">
        <v>43668</v>
      </c>
      <c r="B1039" s="491">
        <v>322.5</v>
      </c>
      <c r="C1039" s="483">
        <f t="shared" si="66"/>
        <v>-8.6074392868121796E-3</v>
      </c>
      <c r="E1039" s="492">
        <v>43668</v>
      </c>
      <c r="F1039" s="493">
        <v>4966.4399999999996</v>
      </c>
      <c r="G1039" s="484">
        <f t="shared" si="67"/>
        <v>-1.3369780719703517E-2</v>
      </c>
      <c r="J1039" s="483">
        <f t="shared" si="64"/>
        <v>-1.5137753557372124E-2</v>
      </c>
      <c r="K1039" s="484">
        <f t="shared" si="65"/>
        <v>-1.889609389770186E-2</v>
      </c>
    </row>
    <row r="1040" spans="1:11" x14ac:dyDescent="0.35">
      <c r="A1040" s="490">
        <v>43667</v>
      </c>
      <c r="B1040" s="491">
        <v>325.3</v>
      </c>
      <c r="C1040" s="483">
        <f t="shared" si="66"/>
        <v>-1.5137753557372124E-2</v>
      </c>
      <c r="E1040" s="492">
        <v>43667</v>
      </c>
      <c r="F1040" s="493">
        <v>5033.74</v>
      </c>
      <c r="G1040" s="484">
        <f t="shared" si="67"/>
        <v>-1.889609389770186E-2</v>
      </c>
      <c r="J1040" s="483">
        <f t="shared" si="64"/>
        <v>1.3190184049079789E-2</v>
      </c>
      <c r="K1040" s="484">
        <f t="shared" si="65"/>
        <v>-4.7534350386613244E-4</v>
      </c>
    </row>
    <row r="1041" spans="1:11" x14ac:dyDescent="0.35">
      <c r="A1041" s="490">
        <v>43664</v>
      </c>
      <c r="B1041" s="491">
        <v>330.3</v>
      </c>
      <c r="C1041" s="483">
        <f t="shared" si="66"/>
        <v>1.3190184049079789E-2</v>
      </c>
      <c r="E1041" s="492">
        <v>43664</v>
      </c>
      <c r="F1041" s="493">
        <v>5130.6899999999996</v>
      </c>
      <c r="G1041" s="484">
        <f t="shared" si="67"/>
        <v>-4.7534350386613244E-4</v>
      </c>
      <c r="J1041" s="483">
        <f t="shared" si="64"/>
        <v>-6.0975609756097615E-3</v>
      </c>
      <c r="K1041" s="484">
        <f t="shared" si="65"/>
        <v>1.6957950527278776E-3</v>
      </c>
    </row>
    <row r="1042" spans="1:11" x14ac:dyDescent="0.35">
      <c r="A1042" s="490">
        <v>43663</v>
      </c>
      <c r="B1042" s="491">
        <v>326</v>
      </c>
      <c r="C1042" s="483">
        <f t="shared" si="66"/>
        <v>-6.0975609756097615E-3</v>
      </c>
      <c r="E1042" s="492">
        <v>43663</v>
      </c>
      <c r="F1042" s="493">
        <v>5133.13</v>
      </c>
      <c r="G1042" s="484">
        <f t="shared" si="67"/>
        <v>1.6957950527278776E-3</v>
      </c>
      <c r="J1042" s="483">
        <f t="shared" si="64"/>
        <v>1.1097410604192337E-2</v>
      </c>
      <c r="K1042" s="484">
        <f t="shared" si="65"/>
        <v>6.4735597507994402E-3</v>
      </c>
    </row>
    <row r="1043" spans="1:11" x14ac:dyDescent="0.35">
      <c r="A1043" s="490">
        <v>43662</v>
      </c>
      <c r="B1043" s="491">
        <v>328</v>
      </c>
      <c r="C1043" s="483">
        <f t="shared" si="66"/>
        <v>1.1097410604192337E-2</v>
      </c>
      <c r="E1043" s="492">
        <v>43662</v>
      </c>
      <c r="F1043" s="493">
        <v>5124.4399999999996</v>
      </c>
      <c r="G1043" s="484">
        <f t="shared" si="67"/>
        <v>6.4735597507994402E-3</v>
      </c>
      <c r="J1043" s="483">
        <f t="shared" si="64"/>
        <v>-5.8891789962286056E-2</v>
      </c>
      <c r="K1043" s="484">
        <f t="shared" si="65"/>
        <v>-1.69920204498899E-2</v>
      </c>
    </row>
    <row r="1044" spans="1:11" x14ac:dyDescent="0.35">
      <c r="A1044" s="490">
        <v>43661</v>
      </c>
      <c r="B1044" s="491">
        <v>324.39999999999998</v>
      </c>
      <c r="C1044" s="483">
        <f t="shared" si="66"/>
        <v>-5.8891789962286056E-2</v>
      </c>
      <c r="E1044" s="492">
        <v>43661</v>
      </c>
      <c r="F1044" s="493">
        <v>5091.4799999999996</v>
      </c>
      <c r="G1044" s="484">
        <f t="shared" si="67"/>
        <v>-1.69920204498899E-2</v>
      </c>
      <c r="J1044" s="483">
        <f t="shared" si="64"/>
        <v>3.9505428226779049E-2</v>
      </c>
      <c r="K1044" s="484">
        <f t="shared" si="65"/>
        <v>-8.1975374834843961E-3</v>
      </c>
    </row>
    <row r="1045" spans="1:11" x14ac:dyDescent="0.35">
      <c r="A1045" s="490">
        <v>43660</v>
      </c>
      <c r="B1045" s="491">
        <v>344.7</v>
      </c>
      <c r="C1045" s="483">
        <f t="shared" si="66"/>
        <v>3.9505428226779049E-2</v>
      </c>
      <c r="E1045" s="492">
        <v>43660</v>
      </c>
      <c r="F1045" s="493">
        <v>5179.49</v>
      </c>
      <c r="G1045" s="484">
        <f t="shared" si="67"/>
        <v>-8.1975374834843961E-3</v>
      </c>
      <c r="J1045" s="483">
        <f t="shared" si="64"/>
        <v>-7.4827895839568725E-3</v>
      </c>
      <c r="K1045" s="484">
        <f t="shared" si="65"/>
        <v>-1.5925423897312774E-3</v>
      </c>
    </row>
    <row r="1046" spans="1:11" x14ac:dyDescent="0.35">
      <c r="A1046" s="490">
        <v>43657</v>
      </c>
      <c r="B1046" s="491">
        <v>331.6</v>
      </c>
      <c r="C1046" s="483">
        <f t="shared" si="66"/>
        <v>-7.4827895839568725E-3</v>
      </c>
      <c r="E1046" s="492">
        <v>43657</v>
      </c>
      <c r="F1046" s="493">
        <v>5222.3</v>
      </c>
      <c r="G1046" s="484">
        <f t="shared" si="67"/>
        <v>-1.5925423897312774E-3</v>
      </c>
      <c r="J1046" s="483">
        <f t="shared" si="64"/>
        <v>-1.9659624413145504E-2</v>
      </c>
      <c r="K1046" s="484">
        <f t="shared" si="65"/>
        <v>-9.357883652396537E-3</v>
      </c>
    </row>
    <row r="1047" spans="1:11" x14ac:dyDescent="0.35">
      <c r="A1047" s="490">
        <v>43656</v>
      </c>
      <c r="B1047" s="491">
        <v>334.1</v>
      </c>
      <c r="C1047" s="483">
        <f t="shared" si="66"/>
        <v>-1.9659624413145504E-2</v>
      </c>
      <c r="E1047" s="492">
        <v>43656</v>
      </c>
      <c r="F1047" s="493">
        <v>5230.63</v>
      </c>
      <c r="G1047" s="484">
        <f t="shared" si="67"/>
        <v>-9.357883652396537E-3</v>
      </c>
      <c r="J1047" s="483">
        <f t="shared" si="64"/>
        <v>-1.2746234067207318E-2</v>
      </c>
      <c r="K1047" s="484">
        <f t="shared" si="65"/>
        <v>-7.2518947619771845E-3</v>
      </c>
    </row>
    <row r="1048" spans="1:11" x14ac:dyDescent="0.35">
      <c r="A1048" s="490">
        <v>43655</v>
      </c>
      <c r="B1048" s="491">
        <v>340.8</v>
      </c>
      <c r="C1048" s="483">
        <f t="shared" si="66"/>
        <v>-1.2746234067207318E-2</v>
      </c>
      <c r="E1048" s="492">
        <v>43655</v>
      </c>
      <c r="F1048" s="493">
        <v>5280.04</v>
      </c>
      <c r="G1048" s="484">
        <f t="shared" si="67"/>
        <v>-7.2518947619771845E-3</v>
      </c>
      <c r="J1048" s="483">
        <f t="shared" si="64"/>
        <v>-1.8481660506113218E-2</v>
      </c>
      <c r="K1048" s="484">
        <f t="shared" si="65"/>
        <v>-2.7132538795593408E-3</v>
      </c>
    </row>
    <row r="1049" spans="1:11" x14ac:dyDescent="0.35">
      <c r="A1049" s="490">
        <v>43654</v>
      </c>
      <c r="B1049" s="491">
        <v>345.2</v>
      </c>
      <c r="C1049" s="483">
        <f t="shared" si="66"/>
        <v>-1.8481660506113218E-2</v>
      </c>
      <c r="E1049" s="492">
        <v>43654</v>
      </c>
      <c r="F1049" s="493">
        <v>5318.61</v>
      </c>
      <c r="G1049" s="484">
        <f t="shared" si="67"/>
        <v>-2.7132538795593408E-3</v>
      </c>
      <c r="J1049" s="483">
        <f t="shared" si="64"/>
        <v>-2.2512506948304645E-2</v>
      </c>
      <c r="K1049" s="484">
        <f t="shared" si="65"/>
        <v>-8.8667277481560003E-3</v>
      </c>
    </row>
    <row r="1050" spans="1:11" x14ac:dyDescent="0.35">
      <c r="A1050" s="490">
        <v>43653</v>
      </c>
      <c r="B1050" s="491">
        <v>351.7</v>
      </c>
      <c r="C1050" s="483">
        <f t="shared" si="66"/>
        <v>-2.2512506948304645E-2</v>
      </c>
      <c r="E1050" s="492">
        <v>43653</v>
      </c>
      <c r="F1050" s="493">
        <v>5333.08</v>
      </c>
      <c r="G1050" s="484">
        <f t="shared" si="67"/>
        <v>-8.8667277481560003E-3</v>
      </c>
      <c r="J1050" s="483">
        <f t="shared" si="64"/>
        <v>2.7800945232137053E-4</v>
      </c>
      <c r="K1050" s="484">
        <f t="shared" si="65"/>
        <v>1.5971080802872351E-3</v>
      </c>
    </row>
    <row r="1051" spans="1:11" x14ac:dyDescent="0.35">
      <c r="A1051" s="490">
        <v>43650</v>
      </c>
      <c r="B1051" s="491">
        <v>359.8</v>
      </c>
      <c r="C1051" s="483">
        <f t="shared" si="66"/>
        <v>2.7800945232137053E-4</v>
      </c>
      <c r="E1051" s="492">
        <v>43650</v>
      </c>
      <c r="F1051" s="493">
        <v>5380.79</v>
      </c>
      <c r="G1051" s="484">
        <f t="shared" si="67"/>
        <v>1.5971080802872351E-3</v>
      </c>
      <c r="J1051" s="483">
        <f t="shared" si="64"/>
        <v>-1.6652789342215257E-3</v>
      </c>
      <c r="K1051" s="484">
        <f t="shared" si="65"/>
        <v>-2.3602950461659722E-3</v>
      </c>
    </row>
    <row r="1052" spans="1:11" x14ac:dyDescent="0.35">
      <c r="A1052" s="490">
        <v>43649</v>
      </c>
      <c r="B1052" s="491">
        <v>359.7</v>
      </c>
      <c r="C1052" s="483">
        <f t="shared" si="66"/>
        <v>-1.6652789342215257E-3</v>
      </c>
      <c r="E1052" s="492">
        <v>43649</v>
      </c>
      <c r="F1052" s="493">
        <v>5372.21</v>
      </c>
      <c r="G1052" s="484">
        <f t="shared" si="67"/>
        <v>-2.3602950461659722E-3</v>
      </c>
      <c r="J1052" s="483">
        <f t="shared" si="64"/>
        <v>-1.206471072114057E-2</v>
      </c>
      <c r="K1052" s="484">
        <f t="shared" si="65"/>
        <v>-6.7691944474160826E-3</v>
      </c>
    </row>
    <row r="1053" spans="1:11" x14ac:dyDescent="0.35">
      <c r="A1053" s="490">
        <v>43648</v>
      </c>
      <c r="B1053" s="491">
        <v>360.3</v>
      </c>
      <c r="C1053" s="483">
        <f t="shared" si="66"/>
        <v>-1.206471072114057E-2</v>
      </c>
      <c r="E1053" s="492">
        <v>43648</v>
      </c>
      <c r="F1053" s="493">
        <v>5384.92</v>
      </c>
      <c r="G1053" s="484">
        <f t="shared" si="67"/>
        <v>-6.7691944474160826E-3</v>
      </c>
      <c r="J1053" s="483">
        <f t="shared" si="64"/>
        <v>-1.0955902492468805E-3</v>
      </c>
      <c r="K1053" s="484">
        <f t="shared" si="65"/>
        <v>-1.5506331445072075E-3</v>
      </c>
    </row>
    <row r="1054" spans="1:11" x14ac:dyDescent="0.35">
      <c r="A1054" s="490">
        <v>43646</v>
      </c>
      <c r="B1054" s="491">
        <v>364.7</v>
      </c>
      <c r="C1054" s="483">
        <f t="shared" si="66"/>
        <v>-1.0955902492468805E-3</v>
      </c>
      <c r="E1054" s="492">
        <v>43646</v>
      </c>
      <c r="F1054" s="493">
        <v>5421.62</v>
      </c>
      <c r="G1054" s="484">
        <f t="shared" si="67"/>
        <v>-1.5506331445072075E-3</v>
      </c>
      <c r="J1054" s="483">
        <f t="shared" si="64"/>
        <v>5.5081244836132637E-3</v>
      </c>
      <c r="K1054" s="484">
        <f t="shared" si="65"/>
        <v>3.5743988763006218E-3</v>
      </c>
    </row>
    <row r="1055" spans="1:11" x14ac:dyDescent="0.35">
      <c r="A1055" s="490">
        <v>43643</v>
      </c>
      <c r="B1055" s="491">
        <v>365.1</v>
      </c>
      <c r="C1055" s="483">
        <f t="shared" si="66"/>
        <v>5.5081244836132637E-3</v>
      </c>
      <c r="E1055" s="492">
        <v>43643</v>
      </c>
      <c r="F1055" s="493">
        <v>5430.04</v>
      </c>
      <c r="G1055" s="484">
        <f t="shared" si="67"/>
        <v>3.5743988763006218E-3</v>
      </c>
      <c r="J1055" s="483">
        <f t="shared" si="64"/>
        <v>1.1702424073558149E-2</v>
      </c>
      <c r="K1055" s="484">
        <f t="shared" si="65"/>
        <v>5.5268948291753439E-3</v>
      </c>
    </row>
    <row r="1056" spans="1:11" x14ac:dyDescent="0.35">
      <c r="A1056" s="490">
        <v>43642</v>
      </c>
      <c r="B1056" s="491">
        <v>363.1</v>
      </c>
      <c r="C1056" s="483">
        <f t="shared" si="66"/>
        <v>1.1702424073558149E-2</v>
      </c>
      <c r="E1056" s="492">
        <v>43642</v>
      </c>
      <c r="F1056" s="493">
        <v>5410.7</v>
      </c>
      <c r="G1056" s="484">
        <f t="shared" si="67"/>
        <v>5.5268948291753439E-3</v>
      </c>
      <c r="J1056" s="483">
        <f t="shared" si="64"/>
        <v>2.7940765576977E-3</v>
      </c>
      <c r="K1056" s="484">
        <f t="shared" si="65"/>
        <v>-1.0971120520821831E-3</v>
      </c>
    </row>
    <row r="1057" spans="1:11" x14ac:dyDescent="0.35">
      <c r="A1057" s="490">
        <v>43641</v>
      </c>
      <c r="B1057" s="491">
        <v>358.9</v>
      </c>
      <c r="C1057" s="483">
        <f t="shared" si="66"/>
        <v>2.7940765576977E-3</v>
      </c>
      <c r="E1057" s="492">
        <v>43641</v>
      </c>
      <c r="F1057" s="493">
        <v>5380.96</v>
      </c>
      <c r="G1057" s="484">
        <f t="shared" si="67"/>
        <v>-1.0971120520821831E-3</v>
      </c>
      <c r="J1057" s="483">
        <f t="shared" si="64"/>
        <v>-6.3853414769572403E-3</v>
      </c>
      <c r="K1057" s="484">
        <f t="shared" si="65"/>
        <v>5.5350313620805558E-4</v>
      </c>
    </row>
    <row r="1058" spans="1:11" x14ac:dyDescent="0.35">
      <c r="A1058" s="490">
        <v>43640</v>
      </c>
      <c r="B1058" s="491">
        <v>357.9</v>
      </c>
      <c r="C1058" s="483">
        <f t="shared" si="66"/>
        <v>-6.3853414769572403E-3</v>
      </c>
      <c r="E1058" s="492">
        <v>43640</v>
      </c>
      <c r="F1058" s="493">
        <v>5386.87</v>
      </c>
      <c r="G1058" s="484">
        <f t="shared" si="67"/>
        <v>5.5350313620805558E-4</v>
      </c>
      <c r="J1058" s="483">
        <f t="shared" si="64"/>
        <v>2.5048705816865802E-3</v>
      </c>
      <c r="K1058" s="484">
        <f t="shared" si="65"/>
        <v>-2.1739855660701801E-3</v>
      </c>
    </row>
    <row r="1059" spans="1:11" x14ac:dyDescent="0.35">
      <c r="A1059" s="490">
        <v>43639</v>
      </c>
      <c r="B1059" s="491">
        <v>360.2</v>
      </c>
      <c r="C1059" s="483">
        <f t="shared" si="66"/>
        <v>2.5048705816865802E-3</v>
      </c>
      <c r="E1059" s="492">
        <v>43639</v>
      </c>
      <c r="F1059" s="493">
        <v>5383.89</v>
      </c>
      <c r="G1059" s="484">
        <f t="shared" si="67"/>
        <v>-2.1739855660701801E-3</v>
      </c>
      <c r="J1059" s="483">
        <f t="shared" si="64"/>
        <v>-3.0521642619311118E-3</v>
      </c>
      <c r="K1059" s="484">
        <f t="shared" si="65"/>
        <v>-2.9160660827142193E-3</v>
      </c>
    </row>
    <row r="1060" spans="1:11" x14ac:dyDescent="0.35">
      <c r="A1060" s="490">
        <v>43636</v>
      </c>
      <c r="B1060" s="491">
        <v>359.3</v>
      </c>
      <c r="C1060" s="483">
        <f t="shared" si="66"/>
        <v>-3.0521642619311118E-3</v>
      </c>
      <c r="E1060" s="492">
        <v>43636</v>
      </c>
      <c r="F1060" s="493">
        <v>5395.62</v>
      </c>
      <c r="G1060" s="484">
        <f t="shared" si="67"/>
        <v>-2.9160660827142193E-3</v>
      </c>
      <c r="J1060" s="483">
        <f t="shared" si="64"/>
        <v>-6.3413289219741431E-3</v>
      </c>
      <c r="K1060" s="484">
        <f t="shared" si="65"/>
        <v>2.0684304187044145E-3</v>
      </c>
    </row>
    <row r="1061" spans="1:11" x14ac:dyDescent="0.35">
      <c r="A1061" s="490">
        <v>43635</v>
      </c>
      <c r="B1061" s="491">
        <v>360.4</v>
      </c>
      <c r="C1061" s="483">
        <f t="shared" si="66"/>
        <v>-6.3413289219741431E-3</v>
      </c>
      <c r="E1061" s="492">
        <v>43635</v>
      </c>
      <c r="F1061" s="493">
        <v>5411.4</v>
      </c>
      <c r="G1061" s="484">
        <f t="shared" si="67"/>
        <v>2.0684304187044145E-3</v>
      </c>
      <c r="J1061" s="483">
        <f t="shared" si="64"/>
        <v>1.5113350125944613E-2</v>
      </c>
      <c r="K1061" s="484">
        <f t="shared" si="65"/>
        <v>4.6397496693200146E-3</v>
      </c>
    </row>
    <row r="1062" spans="1:11" x14ac:dyDescent="0.35">
      <c r="A1062" s="490">
        <v>43634</v>
      </c>
      <c r="B1062" s="491">
        <v>362.7</v>
      </c>
      <c r="C1062" s="483">
        <f t="shared" si="66"/>
        <v>1.5113350125944613E-2</v>
      </c>
      <c r="E1062" s="492">
        <v>43634</v>
      </c>
      <c r="F1062" s="493">
        <v>5400.23</v>
      </c>
      <c r="G1062" s="484">
        <f t="shared" si="67"/>
        <v>4.6397496693200146E-3</v>
      </c>
      <c r="J1062" s="483">
        <f t="shared" si="64"/>
        <v>-1.6764459346184646E-3</v>
      </c>
      <c r="K1062" s="484">
        <f t="shared" si="65"/>
        <v>-1.0226797745464311E-2</v>
      </c>
    </row>
    <row r="1063" spans="1:11" x14ac:dyDescent="0.35">
      <c r="A1063" s="490">
        <v>43633</v>
      </c>
      <c r="B1063" s="491">
        <v>357.3</v>
      </c>
      <c r="C1063" s="483">
        <f t="shared" si="66"/>
        <v>-1.6764459346184646E-3</v>
      </c>
      <c r="E1063" s="492">
        <v>43633</v>
      </c>
      <c r="F1063" s="493">
        <v>5375.29</v>
      </c>
      <c r="G1063" s="484">
        <f t="shared" si="67"/>
        <v>-1.0226797745464311E-2</v>
      </c>
      <c r="J1063" s="483">
        <f t="shared" si="64"/>
        <v>-9.6845600442723168E-3</v>
      </c>
      <c r="K1063" s="484">
        <f t="shared" si="65"/>
        <v>-7.9407412819904044E-3</v>
      </c>
    </row>
    <row r="1064" spans="1:11" x14ac:dyDescent="0.35">
      <c r="A1064" s="490">
        <v>43632</v>
      </c>
      <c r="B1064" s="491">
        <v>357.9</v>
      </c>
      <c r="C1064" s="483">
        <f t="shared" si="66"/>
        <v>-9.6845600442723168E-3</v>
      </c>
      <c r="E1064" s="492">
        <v>43632</v>
      </c>
      <c r="F1064" s="493">
        <v>5430.83</v>
      </c>
      <c r="G1064" s="484">
        <f t="shared" si="67"/>
        <v>-7.9407412819904044E-3</v>
      </c>
      <c r="J1064" s="483">
        <f t="shared" si="64"/>
        <v>2.7677830058103758E-4</v>
      </c>
      <c r="K1064" s="484">
        <f t="shared" si="65"/>
        <v>8.5380546764590726E-4</v>
      </c>
    </row>
    <row r="1065" spans="1:11" x14ac:dyDescent="0.35">
      <c r="A1065" s="490">
        <v>43629</v>
      </c>
      <c r="B1065" s="491">
        <v>361.4</v>
      </c>
      <c r="C1065" s="483">
        <f t="shared" si="66"/>
        <v>2.7677830058103758E-4</v>
      </c>
      <c r="E1065" s="492">
        <v>43629</v>
      </c>
      <c r="F1065" s="493">
        <v>5474.3</v>
      </c>
      <c r="G1065" s="484">
        <f t="shared" si="67"/>
        <v>8.5380546764590726E-4</v>
      </c>
      <c r="J1065" s="483">
        <f t="shared" si="64"/>
        <v>-7.4175824175823912E-3</v>
      </c>
      <c r="K1065" s="484">
        <f t="shared" si="65"/>
        <v>-1.1596097867412336E-3</v>
      </c>
    </row>
    <row r="1066" spans="1:11" x14ac:dyDescent="0.35">
      <c r="A1066" s="490">
        <v>43628</v>
      </c>
      <c r="B1066" s="491">
        <v>361.3</v>
      </c>
      <c r="C1066" s="483">
        <f t="shared" si="66"/>
        <v>-7.4175824175823912E-3</v>
      </c>
      <c r="E1066" s="492">
        <v>43628</v>
      </c>
      <c r="F1066" s="493">
        <v>5469.63</v>
      </c>
      <c r="G1066" s="484">
        <f t="shared" si="67"/>
        <v>-1.1596097867412336E-3</v>
      </c>
      <c r="J1066" s="483">
        <f t="shared" si="64"/>
        <v>2.3046655424395768E-2</v>
      </c>
      <c r="K1066" s="484">
        <f t="shared" si="65"/>
        <v>8.172560889168734E-3</v>
      </c>
    </row>
    <row r="1067" spans="1:11" x14ac:dyDescent="0.35">
      <c r="A1067" s="490">
        <v>43627</v>
      </c>
      <c r="B1067" s="491">
        <v>364</v>
      </c>
      <c r="C1067" s="483">
        <f t="shared" si="66"/>
        <v>2.3046655424395768E-2</v>
      </c>
      <c r="E1067" s="492">
        <v>43627</v>
      </c>
      <c r="F1067" s="493">
        <v>5475.98</v>
      </c>
      <c r="G1067" s="484">
        <f t="shared" si="67"/>
        <v>8.172560889168734E-3</v>
      </c>
      <c r="J1067" s="483">
        <f t="shared" si="64"/>
        <v>-1.6835016835016203E-3</v>
      </c>
      <c r="K1067" s="484">
        <f t="shared" si="65"/>
        <v>5.2989472437330321E-3</v>
      </c>
    </row>
    <row r="1068" spans="1:11" x14ac:dyDescent="0.35">
      <c r="A1068" s="490">
        <v>43626</v>
      </c>
      <c r="B1068" s="491">
        <v>355.8</v>
      </c>
      <c r="C1068" s="483">
        <f t="shared" si="66"/>
        <v>-1.6835016835016203E-3</v>
      </c>
      <c r="E1068" s="492">
        <v>43626</v>
      </c>
      <c r="F1068" s="493">
        <v>5431.59</v>
      </c>
      <c r="G1068" s="484">
        <f t="shared" si="67"/>
        <v>5.2989472437330321E-3</v>
      </c>
      <c r="J1068" s="483">
        <f t="shared" si="64"/>
        <v>3.6609405801182326E-3</v>
      </c>
      <c r="K1068" s="484">
        <f t="shared" si="65"/>
        <v>4.6897023656777836E-3</v>
      </c>
    </row>
    <row r="1069" spans="1:11" x14ac:dyDescent="0.35">
      <c r="A1069" s="490">
        <v>43625</v>
      </c>
      <c r="B1069" s="491">
        <v>356.4</v>
      </c>
      <c r="C1069" s="483">
        <f t="shared" si="66"/>
        <v>3.6609405801182326E-3</v>
      </c>
      <c r="E1069" s="492">
        <v>43625</v>
      </c>
      <c r="F1069" s="493">
        <v>5402.96</v>
      </c>
      <c r="G1069" s="484">
        <f t="shared" si="67"/>
        <v>4.6897023656777836E-3</v>
      </c>
      <c r="J1069" s="483">
        <f t="shared" si="64"/>
        <v>1.5151515151515138E-2</v>
      </c>
      <c r="K1069" s="484">
        <f t="shared" si="65"/>
        <v>4.3984244115355953E-3</v>
      </c>
    </row>
    <row r="1070" spans="1:11" x14ac:dyDescent="0.35">
      <c r="A1070" s="490">
        <v>43615</v>
      </c>
      <c r="B1070" s="491">
        <v>355.1</v>
      </c>
      <c r="C1070" s="483">
        <f t="shared" si="66"/>
        <v>1.5151515151515138E-2</v>
      </c>
      <c r="E1070" s="492">
        <v>43615</v>
      </c>
      <c r="F1070" s="493">
        <v>5377.74</v>
      </c>
      <c r="G1070" s="484">
        <f t="shared" si="67"/>
        <v>4.3984244115355953E-3</v>
      </c>
      <c r="J1070" s="483">
        <f t="shared" si="64"/>
        <v>2.859593937660776E-4</v>
      </c>
      <c r="K1070" s="484">
        <f t="shared" si="65"/>
        <v>4.7722171762285548E-3</v>
      </c>
    </row>
    <row r="1071" spans="1:11" x14ac:dyDescent="0.35">
      <c r="A1071" s="490">
        <v>43614</v>
      </c>
      <c r="B1071" s="491">
        <v>349.8</v>
      </c>
      <c r="C1071" s="483">
        <f t="shared" si="66"/>
        <v>2.859593937660776E-4</v>
      </c>
      <c r="E1071" s="492">
        <v>43614</v>
      </c>
      <c r="F1071" s="493">
        <v>5354.19</v>
      </c>
      <c r="G1071" s="484">
        <f t="shared" si="67"/>
        <v>4.7722171762285548E-3</v>
      </c>
      <c r="J1071" s="483">
        <f t="shared" si="64"/>
        <v>2.5212547639988259E-2</v>
      </c>
      <c r="K1071" s="484">
        <f t="shared" si="65"/>
        <v>1.4317964648598913E-2</v>
      </c>
    </row>
    <row r="1072" spans="1:11" x14ac:dyDescent="0.35">
      <c r="A1072" s="490">
        <v>43613</v>
      </c>
      <c r="B1072" s="491">
        <v>349.7</v>
      </c>
      <c r="C1072" s="483">
        <f t="shared" si="66"/>
        <v>2.5212547639988259E-2</v>
      </c>
      <c r="E1072" s="492">
        <v>43613</v>
      </c>
      <c r="F1072" s="493">
        <v>5328.76</v>
      </c>
      <c r="G1072" s="484">
        <f t="shared" si="67"/>
        <v>1.4317964648598913E-2</v>
      </c>
      <c r="J1072" s="483">
        <f t="shared" si="64"/>
        <v>8.5748078060319255E-3</v>
      </c>
      <c r="K1072" s="484">
        <f t="shared" si="65"/>
        <v>4.1878278878915154E-5</v>
      </c>
    </row>
    <row r="1073" spans="1:11" x14ac:dyDescent="0.35">
      <c r="A1073" s="490">
        <v>43612</v>
      </c>
      <c r="B1073" s="491">
        <v>341.1</v>
      </c>
      <c r="C1073" s="483">
        <f t="shared" si="66"/>
        <v>8.5748078060319255E-3</v>
      </c>
      <c r="E1073" s="492">
        <v>43612</v>
      </c>
      <c r="F1073" s="493">
        <v>5253.54</v>
      </c>
      <c r="G1073" s="484">
        <f t="shared" si="67"/>
        <v>4.1878278878915154E-5</v>
      </c>
      <c r="J1073" s="483">
        <f t="shared" si="64"/>
        <v>8.8783663805869217E-4</v>
      </c>
      <c r="K1073" s="484">
        <f t="shared" si="65"/>
        <v>5.1994156847134931E-4</v>
      </c>
    </row>
    <row r="1074" spans="1:11" x14ac:dyDescent="0.35">
      <c r="A1074" s="490">
        <v>43611</v>
      </c>
      <c r="B1074" s="491">
        <v>338.2</v>
      </c>
      <c r="C1074" s="483">
        <f t="shared" si="66"/>
        <v>8.8783663805869217E-4</v>
      </c>
      <c r="E1074" s="492">
        <v>43611</v>
      </c>
      <c r="F1074" s="493">
        <v>5253.32</v>
      </c>
      <c r="G1074" s="484">
        <f t="shared" si="67"/>
        <v>5.1994156847134931E-4</v>
      </c>
      <c r="J1074" s="483">
        <f t="shared" si="64"/>
        <v>-1.4294049008168108E-2</v>
      </c>
      <c r="K1074" s="484">
        <f t="shared" si="65"/>
        <v>-6.665473229550134E-5</v>
      </c>
    </row>
    <row r="1075" spans="1:11" x14ac:dyDescent="0.35">
      <c r="A1075" s="490">
        <v>43608</v>
      </c>
      <c r="B1075" s="491">
        <v>337.9</v>
      </c>
      <c r="C1075" s="483">
        <f t="shared" si="66"/>
        <v>-1.4294049008168108E-2</v>
      </c>
      <c r="E1075" s="492">
        <v>43608</v>
      </c>
      <c r="F1075" s="493">
        <v>5250.59</v>
      </c>
      <c r="G1075" s="484">
        <f t="shared" si="67"/>
        <v>-6.665473229550134E-5</v>
      </c>
      <c r="J1075" s="483">
        <f t="shared" si="64"/>
        <v>-1.7472335468839972E-3</v>
      </c>
      <c r="K1075" s="484">
        <f t="shared" si="65"/>
        <v>2.6924633939551246E-3</v>
      </c>
    </row>
    <row r="1076" spans="1:11" x14ac:dyDescent="0.35">
      <c r="A1076" s="490">
        <v>43607</v>
      </c>
      <c r="B1076" s="491">
        <v>342.8</v>
      </c>
      <c r="C1076" s="483">
        <f t="shared" si="66"/>
        <v>-1.7472335468839972E-3</v>
      </c>
      <c r="E1076" s="492">
        <v>43607</v>
      </c>
      <c r="F1076" s="493">
        <v>5250.94</v>
      </c>
      <c r="G1076" s="484">
        <f t="shared" si="67"/>
        <v>2.6924633939551246E-3</v>
      </c>
      <c r="J1076" s="483">
        <f t="shared" si="64"/>
        <v>-1.3218390804597746E-2</v>
      </c>
      <c r="K1076" s="484">
        <f t="shared" si="65"/>
        <v>-7.4486272161087275E-3</v>
      </c>
    </row>
    <row r="1077" spans="1:11" x14ac:dyDescent="0.35">
      <c r="A1077" s="490">
        <v>43606</v>
      </c>
      <c r="B1077" s="491">
        <v>343.4</v>
      </c>
      <c r="C1077" s="483">
        <f t="shared" si="66"/>
        <v>-1.3218390804597746E-2</v>
      </c>
      <c r="E1077" s="492">
        <v>43606</v>
      </c>
      <c r="F1077" s="493">
        <v>5236.84</v>
      </c>
      <c r="G1077" s="484">
        <f t="shared" si="67"/>
        <v>-7.4486272161087275E-3</v>
      </c>
      <c r="J1077" s="483">
        <f t="shared" si="64"/>
        <v>-8.8293933352321385E-3</v>
      </c>
      <c r="K1077" s="484">
        <f t="shared" si="65"/>
        <v>-1.1162546619937319E-2</v>
      </c>
    </row>
    <row r="1078" spans="1:11" x14ac:dyDescent="0.35">
      <c r="A1078" s="490">
        <v>43605</v>
      </c>
      <c r="B1078" s="491">
        <v>348</v>
      </c>
      <c r="C1078" s="483">
        <f t="shared" si="66"/>
        <v>-8.8293933352321385E-3</v>
      </c>
      <c r="E1078" s="492">
        <v>43605</v>
      </c>
      <c r="F1078" s="493">
        <v>5276.14</v>
      </c>
      <c r="G1078" s="484">
        <f t="shared" si="67"/>
        <v>-1.1162546619937319E-2</v>
      </c>
      <c r="J1078" s="483">
        <f t="shared" si="64"/>
        <v>1.6796988126267065E-2</v>
      </c>
      <c r="K1078" s="484">
        <f t="shared" si="65"/>
        <v>2.0058193997835927E-2</v>
      </c>
    </row>
    <row r="1079" spans="1:11" x14ac:dyDescent="0.35">
      <c r="A1079" s="490">
        <v>43604</v>
      </c>
      <c r="B1079" s="491">
        <v>351.1</v>
      </c>
      <c r="C1079" s="483">
        <f t="shared" si="66"/>
        <v>1.6796988126267065E-2</v>
      </c>
      <c r="E1079" s="492">
        <v>43604</v>
      </c>
      <c r="F1079" s="493">
        <v>5335.7</v>
      </c>
      <c r="G1079" s="484">
        <f t="shared" si="67"/>
        <v>2.0058193997835927E-2</v>
      </c>
      <c r="J1079" s="483">
        <f t="shared" si="64"/>
        <v>-3.175519630484902E-3</v>
      </c>
      <c r="K1079" s="484">
        <f t="shared" si="65"/>
        <v>6.6877981843831424E-3</v>
      </c>
    </row>
    <row r="1080" spans="1:11" x14ac:dyDescent="0.35">
      <c r="A1080" s="490">
        <v>43601</v>
      </c>
      <c r="B1080" s="491">
        <v>345.3</v>
      </c>
      <c r="C1080" s="483">
        <f t="shared" si="66"/>
        <v>-3.175519630484902E-3</v>
      </c>
      <c r="E1080" s="492">
        <v>43601</v>
      </c>
      <c r="F1080" s="493">
        <v>5230.78</v>
      </c>
      <c r="G1080" s="484">
        <f t="shared" si="67"/>
        <v>6.6877981843831424E-3</v>
      </c>
      <c r="J1080" s="483">
        <f t="shared" si="64"/>
        <v>-5.7703404500875077E-4</v>
      </c>
      <c r="K1080" s="484">
        <f t="shared" si="65"/>
        <v>-4.1932497877502639E-3</v>
      </c>
    </row>
    <row r="1081" spans="1:11" x14ac:dyDescent="0.35">
      <c r="A1081" s="490">
        <v>43600</v>
      </c>
      <c r="B1081" s="491">
        <v>346.4</v>
      </c>
      <c r="C1081" s="483">
        <f t="shared" si="66"/>
        <v>-5.7703404500875077E-4</v>
      </c>
      <c r="E1081" s="492">
        <v>43600</v>
      </c>
      <c r="F1081" s="493">
        <v>5196.03</v>
      </c>
      <c r="G1081" s="484">
        <f t="shared" si="67"/>
        <v>-4.1932497877502639E-3</v>
      </c>
      <c r="J1081" s="483">
        <f t="shared" si="64"/>
        <v>-4.3091065785694216E-3</v>
      </c>
      <c r="K1081" s="484">
        <f t="shared" si="65"/>
        <v>-5.6995095106158189E-3</v>
      </c>
    </row>
    <row r="1082" spans="1:11" x14ac:dyDescent="0.35">
      <c r="A1082" s="490">
        <v>43599</v>
      </c>
      <c r="B1082" s="491">
        <v>346.6</v>
      </c>
      <c r="C1082" s="483">
        <f t="shared" si="66"/>
        <v>-4.3091065785694216E-3</v>
      </c>
      <c r="E1082" s="492">
        <v>43599</v>
      </c>
      <c r="F1082" s="493">
        <v>5217.91</v>
      </c>
      <c r="G1082" s="484">
        <f t="shared" si="67"/>
        <v>-5.6995095106158189E-3</v>
      </c>
      <c r="J1082" s="483">
        <f t="shared" si="64"/>
        <v>-1.2202043132803486E-2</v>
      </c>
      <c r="K1082" s="484">
        <f t="shared" si="65"/>
        <v>-4.9488805290941462E-3</v>
      </c>
    </row>
    <row r="1083" spans="1:11" x14ac:dyDescent="0.35">
      <c r="A1083" s="490">
        <v>43598</v>
      </c>
      <c r="B1083" s="491">
        <v>348.1</v>
      </c>
      <c r="C1083" s="483">
        <f t="shared" si="66"/>
        <v>-1.2202043132803486E-2</v>
      </c>
      <c r="E1083" s="492">
        <v>43598</v>
      </c>
      <c r="F1083" s="493">
        <v>5247.82</v>
      </c>
      <c r="G1083" s="484">
        <f t="shared" si="67"/>
        <v>-4.9488805290941462E-3</v>
      </c>
      <c r="J1083" s="483">
        <f t="shared" si="64"/>
        <v>-4.8009036995200205E-3</v>
      </c>
      <c r="K1083" s="484">
        <f t="shared" si="65"/>
        <v>-3.6202834435528075E-4</v>
      </c>
    </row>
    <row r="1084" spans="1:11" x14ac:dyDescent="0.35">
      <c r="A1084" s="490">
        <v>43597</v>
      </c>
      <c r="B1084" s="491">
        <v>352.4</v>
      </c>
      <c r="C1084" s="483">
        <f t="shared" si="66"/>
        <v>-4.8009036995200205E-3</v>
      </c>
      <c r="E1084" s="492">
        <v>43597</v>
      </c>
      <c r="F1084" s="493">
        <v>5273.92</v>
      </c>
      <c r="G1084" s="484">
        <f t="shared" si="67"/>
        <v>-3.6202834435528075E-4</v>
      </c>
      <c r="J1084" s="483">
        <f t="shared" si="64"/>
        <v>-1.4100394811055184E-3</v>
      </c>
      <c r="K1084" s="484">
        <f t="shared" si="65"/>
        <v>6.5435344189901379E-4</v>
      </c>
    </row>
    <row r="1085" spans="1:11" x14ac:dyDescent="0.35">
      <c r="A1085" s="490">
        <v>43594</v>
      </c>
      <c r="B1085" s="491">
        <v>354.1</v>
      </c>
      <c r="C1085" s="483">
        <f t="shared" si="66"/>
        <v>-1.4100394811055184E-3</v>
      </c>
      <c r="E1085" s="492">
        <v>43594</v>
      </c>
      <c r="F1085" s="493">
        <v>5275.83</v>
      </c>
      <c r="G1085" s="484">
        <f t="shared" si="67"/>
        <v>6.5435344189901379E-4</v>
      </c>
      <c r="J1085" s="483">
        <f t="shared" si="64"/>
        <v>5.6433408577882815E-4</v>
      </c>
      <c r="K1085" s="484">
        <f t="shared" si="65"/>
        <v>-3.328928788145058E-3</v>
      </c>
    </row>
    <row r="1086" spans="1:11" x14ac:dyDescent="0.35">
      <c r="A1086" s="490">
        <v>43593</v>
      </c>
      <c r="B1086" s="491">
        <v>354.6</v>
      </c>
      <c r="C1086" s="483">
        <f t="shared" si="66"/>
        <v>5.6433408577882815E-4</v>
      </c>
      <c r="E1086" s="492">
        <v>43593</v>
      </c>
      <c r="F1086" s="493">
        <v>5272.38</v>
      </c>
      <c r="G1086" s="484">
        <f t="shared" si="67"/>
        <v>-3.328928788145058E-3</v>
      </c>
      <c r="J1086" s="483">
        <f t="shared" si="64"/>
        <v>-1.3912075681691727E-2</v>
      </c>
      <c r="K1086" s="484">
        <f t="shared" si="65"/>
        <v>-9.7508835509764191E-3</v>
      </c>
    </row>
    <row r="1087" spans="1:11" x14ac:dyDescent="0.35">
      <c r="A1087" s="490">
        <v>43592</v>
      </c>
      <c r="B1087" s="491">
        <v>354.4</v>
      </c>
      <c r="C1087" s="483">
        <f t="shared" si="66"/>
        <v>-1.3912075681691727E-2</v>
      </c>
      <c r="E1087" s="492">
        <v>43592</v>
      </c>
      <c r="F1087" s="493">
        <v>5289.99</v>
      </c>
      <c r="G1087" s="484">
        <f t="shared" si="67"/>
        <v>-9.7508835509764191E-3</v>
      </c>
      <c r="J1087" s="483">
        <f t="shared" si="64"/>
        <v>-8.5517241379311493E-3</v>
      </c>
      <c r="K1087" s="484">
        <f t="shared" si="65"/>
        <v>-9.7907282804129414E-3</v>
      </c>
    </row>
    <row r="1088" spans="1:11" x14ac:dyDescent="0.35">
      <c r="A1088" s="490">
        <v>43591</v>
      </c>
      <c r="B1088" s="491">
        <v>359.4</v>
      </c>
      <c r="C1088" s="483">
        <f t="shared" si="66"/>
        <v>-8.5517241379311493E-3</v>
      </c>
      <c r="E1088" s="492">
        <v>43591</v>
      </c>
      <c r="F1088" s="493">
        <v>5342.08</v>
      </c>
      <c r="G1088" s="484">
        <f t="shared" si="67"/>
        <v>-9.7907282804129414E-3</v>
      </c>
      <c r="J1088" s="483">
        <f t="shared" si="64"/>
        <v>1.2004466778336109E-2</v>
      </c>
      <c r="K1088" s="484">
        <f t="shared" si="65"/>
        <v>2.0456802383316708E-2</v>
      </c>
    </row>
    <row r="1089" spans="1:11" x14ac:dyDescent="0.35">
      <c r="A1089" s="490">
        <v>43590</v>
      </c>
      <c r="B1089" s="491">
        <v>362.5</v>
      </c>
      <c r="C1089" s="483">
        <f t="shared" si="66"/>
        <v>1.2004466778336109E-2</v>
      </c>
      <c r="E1089" s="492">
        <v>43590</v>
      </c>
      <c r="F1089" s="493">
        <v>5394.9</v>
      </c>
      <c r="G1089" s="484">
        <f t="shared" si="67"/>
        <v>2.0456802383316708E-2</v>
      </c>
      <c r="J1089" s="483">
        <f t="shared" si="64"/>
        <v>-1.3939224979091502E-3</v>
      </c>
      <c r="K1089" s="484">
        <f t="shared" si="65"/>
        <v>1.6125777218255255E-2</v>
      </c>
    </row>
    <row r="1090" spans="1:11" x14ac:dyDescent="0.35">
      <c r="A1090" s="490">
        <v>43587</v>
      </c>
      <c r="B1090" s="491">
        <v>358.2</v>
      </c>
      <c r="C1090" s="483">
        <f t="shared" si="66"/>
        <v>-1.3939224979091502E-3</v>
      </c>
      <c r="E1090" s="492">
        <v>43587</v>
      </c>
      <c r="F1090" s="493">
        <v>5286.75</v>
      </c>
      <c r="G1090" s="484">
        <f t="shared" si="67"/>
        <v>1.6125777218255255E-2</v>
      </c>
      <c r="J1090" s="483">
        <f t="shared" si="64"/>
        <v>-3.6111111111111205E-3</v>
      </c>
      <c r="K1090" s="484">
        <f t="shared" si="65"/>
        <v>5.2922831980153351E-3</v>
      </c>
    </row>
    <row r="1091" spans="1:11" x14ac:dyDescent="0.35">
      <c r="A1091" s="490">
        <v>43585</v>
      </c>
      <c r="B1091" s="491">
        <v>358.7</v>
      </c>
      <c r="C1091" s="483">
        <f t="shared" si="66"/>
        <v>-3.6111111111111205E-3</v>
      </c>
      <c r="E1091" s="492">
        <v>43585</v>
      </c>
      <c r="F1091" s="493">
        <v>5202.8500000000004</v>
      </c>
      <c r="G1091" s="484">
        <f t="shared" si="67"/>
        <v>5.2922831980153351E-3</v>
      </c>
      <c r="J1091" s="483">
        <f t="shared" ref="J1091:J1154" si="68">(B1092/B1093)-1</f>
        <v>-1.4238773274917849E-2</v>
      </c>
      <c r="K1091" s="484">
        <f t="shared" ref="K1091:K1154" si="69">(F1092/F1093)-1</f>
        <v>-1.1975510624853136E-2</v>
      </c>
    </row>
    <row r="1092" spans="1:11" x14ac:dyDescent="0.35">
      <c r="A1092" s="490">
        <v>43584</v>
      </c>
      <c r="B1092" s="491">
        <v>360</v>
      </c>
      <c r="C1092" s="483">
        <f t="shared" ref="C1092:C1155" si="70">(B1092/B1093)-1</f>
        <v>-1.4238773274917849E-2</v>
      </c>
      <c r="E1092" s="492">
        <v>43584</v>
      </c>
      <c r="F1092" s="493">
        <v>5175.46</v>
      </c>
      <c r="G1092" s="484">
        <f t="shared" ref="G1092:G1155" si="71">(F1092/F1093)-1</f>
        <v>-1.1975510624853136E-2</v>
      </c>
      <c r="J1092" s="483">
        <f t="shared" si="68"/>
        <v>2.7457440966502933E-3</v>
      </c>
      <c r="K1092" s="484">
        <f t="shared" si="69"/>
        <v>-5.3131592789447124E-3</v>
      </c>
    </row>
    <row r="1093" spans="1:11" x14ac:dyDescent="0.35">
      <c r="A1093" s="490">
        <v>43583</v>
      </c>
      <c r="B1093" s="491">
        <v>365.2</v>
      </c>
      <c r="C1093" s="483">
        <f t="shared" si="70"/>
        <v>2.7457440966502933E-3</v>
      </c>
      <c r="E1093" s="492">
        <v>43583</v>
      </c>
      <c r="F1093" s="493">
        <v>5238.1899999999996</v>
      </c>
      <c r="G1093" s="484">
        <f t="shared" si="71"/>
        <v>-5.3131592789447124E-3</v>
      </c>
      <c r="J1093" s="483">
        <f t="shared" si="68"/>
        <v>-1.0057080728458789E-2</v>
      </c>
      <c r="K1093" s="484">
        <f t="shared" si="69"/>
        <v>4.9252341442191927E-3</v>
      </c>
    </row>
    <row r="1094" spans="1:11" x14ac:dyDescent="0.35">
      <c r="A1094" s="490">
        <v>43580</v>
      </c>
      <c r="B1094" s="491">
        <v>364.2</v>
      </c>
      <c r="C1094" s="483">
        <f t="shared" si="70"/>
        <v>-1.0057080728458789E-2</v>
      </c>
      <c r="E1094" s="492">
        <v>43580</v>
      </c>
      <c r="F1094" s="493">
        <v>5266.17</v>
      </c>
      <c r="G1094" s="484">
        <f t="shared" si="71"/>
        <v>4.9252341442191927E-3</v>
      </c>
      <c r="J1094" s="483">
        <f t="shared" si="68"/>
        <v>-4.0606388738494426E-3</v>
      </c>
      <c r="K1094" s="484">
        <f t="shared" si="69"/>
        <v>-3.8948078732525815E-3</v>
      </c>
    </row>
    <row r="1095" spans="1:11" x14ac:dyDescent="0.35">
      <c r="A1095" s="490">
        <v>43579</v>
      </c>
      <c r="B1095" s="491">
        <v>367.9</v>
      </c>
      <c r="C1095" s="483">
        <f t="shared" si="70"/>
        <v>-4.0606388738494426E-3</v>
      </c>
      <c r="E1095" s="492">
        <v>43579</v>
      </c>
      <c r="F1095" s="493">
        <v>5240.3599999999997</v>
      </c>
      <c r="G1095" s="484">
        <f t="shared" si="71"/>
        <v>-3.8948078732525815E-3</v>
      </c>
      <c r="J1095" s="483">
        <f t="shared" si="68"/>
        <v>-1.2299465240641738E-2</v>
      </c>
      <c r="K1095" s="484">
        <f t="shared" si="69"/>
        <v>-1.1811267663837E-2</v>
      </c>
    </row>
    <row r="1096" spans="1:11" x14ac:dyDescent="0.35">
      <c r="A1096" s="490">
        <v>43578</v>
      </c>
      <c r="B1096" s="491">
        <v>369.4</v>
      </c>
      <c r="C1096" s="483">
        <f t="shared" si="70"/>
        <v>-1.2299465240641738E-2</v>
      </c>
      <c r="E1096" s="492">
        <v>43578</v>
      </c>
      <c r="F1096" s="493">
        <v>5260.85</v>
      </c>
      <c r="G1096" s="484">
        <f t="shared" si="71"/>
        <v>-1.1811267663837E-2</v>
      </c>
      <c r="J1096" s="483">
        <f t="shared" si="68"/>
        <v>1.5200868621064068E-2</v>
      </c>
      <c r="K1096" s="484">
        <f t="shared" si="69"/>
        <v>4.3597467588463168E-4</v>
      </c>
    </row>
    <row r="1097" spans="1:11" x14ac:dyDescent="0.35">
      <c r="A1097" s="490">
        <v>43576</v>
      </c>
      <c r="B1097" s="491">
        <v>374</v>
      </c>
      <c r="C1097" s="483">
        <f t="shared" si="70"/>
        <v>1.5200868621064068E-2</v>
      </c>
      <c r="E1097" s="492">
        <v>43576</v>
      </c>
      <c r="F1097" s="493">
        <v>5323.73</v>
      </c>
      <c r="G1097" s="484">
        <f t="shared" si="71"/>
        <v>4.3597467588463168E-4</v>
      </c>
      <c r="J1097" s="483">
        <f t="shared" si="68"/>
        <v>-1.2067578439259874E-2</v>
      </c>
      <c r="K1097" s="484">
        <f t="shared" si="69"/>
        <v>1.1788394515734657E-2</v>
      </c>
    </row>
    <row r="1098" spans="1:11" x14ac:dyDescent="0.35">
      <c r="A1098" s="490">
        <v>43573</v>
      </c>
      <c r="B1098" s="491">
        <v>368.4</v>
      </c>
      <c r="C1098" s="483">
        <f t="shared" si="70"/>
        <v>-1.2067578439259874E-2</v>
      </c>
      <c r="E1098" s="492">
        <v>43573</v>
      </c>
      <c r="F1098" s="493">
        <v>5321.41</v>
      </c>
      <c r="G1098" s="484">
        <f t="shared" si="71"/>
        <v>1.1788394515734657E-2</v>
      </c>
      <c r="J1098" s="483">
        <f t="shared" si="68"/>
        <v>3.2284100080710587E-3</v>
      </c>
      <c r="K1098" s="484">
        <f t="shared" si="69"/>
        <v>2.0004153243244893E-3</v>
      </c>
    </row>
    <row r="1099" spans="1:11" x14ac:dyDescent="0.35">
      <c r="A1099" s="490">
        <v>43572</v>
      </c>
      <c r="B1099" s="491">
        <v>372.9</v>
      </c>
      <c r="C1099" s="483">
        <f t="shared" si="70"/>
        <v>3.2284100080710587E-3</v>
      </c>
      <c r="E1099" s="492">
        <v>43572</v>
      </c>
      <c r="F1099" s="493">
        <v>5259.41</v>
      </c>
      <c r="G1099" s="484">
        <f t="shared" si="71"/>
        <v>2.0004153243244893E-3</v>
      </c>
      <c r="J1099" s="483">
        <f t="shared" si="68"/>
        <v>-1.6146109052408764E-2</v>
      </c>
      <c r="K1099" s="484">
        <f t="shared" si="69"/>
        <v>-1.1406034877304183E-2</v>
      </c>
    </row>
    <row r="1100" spans="1:11" x14ac:dyDescent="0.35">
      <c r="A1100" s="490">
        <v>43571</v>
      </c>
      <c r="B1100" s="491">
        <v>371.7</v>
      </c>
      <c r="C1100" s="483">
        <f t="shared" si="70"/>
        <v>-1.6146109052408764E-2</v>
      </c>
      <c r="E1100" s="492">
        <v>43571</v>
      </c>
      <c r="F1100" s="493">
        <v>5248.91</v>
      </c>
      <c r="G1100" s="484">
        <f t="shared" si="71"/>
        <v>-1.1406034877304183E-2</v>
      </c>
      <c r="J1100" s="483">
        <f t="shared" si="68"/>
        <v>2.7468044601577368E-2</v>
      </c>
      <c r="K1100" s="484">
        <f t="shared" si="69"/>
        <v>-3.1766355824489612E-3</v>
      </c>
    </row>
    <row r="1101" spans="1:11" x14ac:dyDescent="0.35">
      <c r="A1101" s="490">
        <v>43570</v>
      </c>
      <c r="B1101" s="491">
        <v>377.8</v>
      </c>
      <c r="C1101" s="483">
        <f t="shared" si="70"/>
        <v>2.7468044601577368E-2</v>
      </c>
      <c r="E1101" s="492">
        <v>43570</v>
      </c>
      <c r="F1101" s="493">
        <v>5309.47</v>
      </c>
      <c r="G1101" s="484">
        <f t="shared" si="71"/>
        <v>-3.1766355824489612E-3</v>
      </c>
      <c r="J1101" s="483">
        <f t="shared" si="68"/>
        <v>2.8243847874720229E-2</v>
      </c>
      <c r="K1101" s="484">
        <f t="shared" si="69"/>
        <v>1.2313744868481136E-2</v>
      </c>
    </row>
    <row r="1102" spans="1:11" x14ac:dyDescent="0.35">
      <c r="A1102" s="490">
        <v>43566</v>
      </c>
      <c r="B1102" s="491">
        <v>367.7</v>
      </c>
      <c r="C1102" s="483">
        <f t="shared" si="70"/>
        <v>2.8243847874720229E-2</v>
      </c>
      <c r="E1102" s="492">
        <v>43566</v>
      </c>
      <c r="F1102" s="493">
        <v>5326.39</v>
      </c>
      <c r="G1102" s="484">
        <f t="shared" si="71"/>
        <v>1.2313744868481136E-2</v>
      </c>
      <c r="J1102" s="483">
        <f t="shared" si="68"/>
        <v>-1.2154696132596676E-2</v>
      </c>
      <c r="K1102" s="484">
        <f t="shared" si="69"/>
        <v>-1.0745005875440583E-2</v>
      </c>
    </row>
    <row r="1103" spans="1:11" x14ac:dyDescent="0.35">
      <c r="A1103" s="490">
        <v>43565</v>
      </c>
      <c r="B1103" s="491">
        <v>357.6</v>
      </c>
      <c r="C1103" s="483">
        <f t="shared" si="70"/>
        <v>-1.2154696132596676E-2</v>
      </c>
      <c r="E1103" s="492">
        <v>43565</v>
      </c>
      <c r="F1103" s="493">
        <v>5261.6</v>
      </c>
      <c r="G1103" s="484">
        <f t="shared" si="71"/>
        <v>-1.0745005875440583E-2</v>
      </c>
      <c r="J1103" s="483">
        <f t="shared" si="68"/>
        <v>-2.3995686168778563E-2</v>
      </c>
      <c r="K1103" s="484">
        <f t="shared" si="69"/>
        <v>-9.9548976868077954E-3</v>
      </c>
    </row>
    <row r="1104" spans="1:11" x14ac:dyDescent="0.35">
      <c r="A1104" s="490">
        <v>43564</v>
      </c>
      <c r="B1104" s="491">
        <v>362</v>
      </c>
      <c r="C1104" s="483">
        <f t="shared" si="70"/>
        <v>-2.3995686168778563E-2</v>
      </c>
      <c r="E1104" s="492">
        <v>43564</v>
      </c>
      <c r="F1104" s="493">
        <v>5318.75</v>
      </c>
      <c r="G1104" s="484">
        <f t="shared" si="71"/>
        <v>-9.9548976868077954E-3</v>
      </c>
      <c r="J1104" s="483">
        <f t="shared" si="68"/>
        <v>-1.2250332889480742E-2</v>
      </c>
      <c r="K1104" s="484">
        <f t="shared" si="69"/>
        <v>-1.1347303681156773E-2</v>
      </c>
    </row>
    <row r="1105" spans="1:11" x14ac:dyDescent="0.35">
      <c r="A1105" s="490">
        <v>43563</v>
      </c>
      <c r="B1105" s="491">
        <v>370.9</v>
      </c>
      <c r="C1105" s="483">
        <f t="shared" si="70"/>
        <v>-1.2250332889480742E-2</v>
      </c>
      <c r="E1105" s="492">
        <v>43563</v>
      </c>
      <c r="F1105" s="493">
        <v>5372.23</v>
      </c>
      <c r="G1105" s="484">
        <f t="shared" si="71"/>
        <v>-1.1347303681156773E-2</v>
      </c>
      <c r="J1105" s="483">
        <f t="shared" si="68"/>
        <v>-3.1967001804588779E-2</v>
      </c>
      <c r="K1105" s="484">
        <f t="shared" si="69"/>
        <v>-4.7656463201773969E-3</v>
      </c>
    </row>
    <row r="1106" spans="1:11" x14ac:dyDescent="0.35">
      <c r="A1106" s="490">
        <v>43562</v>
      </c>
      <c r="B1106" s="491">
        <v>375.5</v>
      </c>
      <c r="C1106" s="483">
        <f t="shared" si="70"/>
        <v>-3.1967001804588779E-2</v>
      </c>
      <c r="E1106" s="492">
        <v>43562</v>
      </c>
      <c r="F1106" s="493">
        <v>5433.89</v>
      </c>
      <c r="G1106" s="484">
        <f t="shared" si="71"/>
        <v>-4.7656463201773969E-3</v>
      </c>
      <c r="J1106" s="483">
        <f t="shared" si="68"/>
        <v>-2.8793189784677042E-2</v>
      </c>
      <c r="K1106" s="484">
        <f t="shared" si="69"/>
        <v>1.4159447854900087E-3</v>
      </c>
    </row>
    <row r="1107" spans="1:11" x14ac:dyDescent="0.35">
      <c r="A1107" s="490">
        <v>43559</v>
      </c>
      <c r="B1107" s="491">
        <v>387.9</v>
      </c>
      <c r="C1107" s="483">
        <f t="shared" si="70"/>
        <v>-2.8793189784677042E-2</v>
      </c>
      <c r="E1107" s="492">
        <v>43559</v>
      </c>
      <c r="F1107" s="493">
        <v>5459.91</v>
      </c>
      <c r="G1107" s="484">
        <f t="shared" si="71"/>
        <v>1.4159447854900087E-3</v>
      </c>
      <c r="J1107" s="483">
        <f t="shared" si="68"/>
        <v>-2.4902343750000111E-2</v>
      </c>
      <c r="K1107" s="484">
        <f t="shared" si="69"/>
        <v>-1.2672554448704076E-2</v>
      </c>
    </row>
    <row r="1108" spans="1:11" x14ac:dyDescent="0.35">
      <c r="A1108" s="490">
        <v>43558</v>
      </c>
      <c r="B1108" s="491">
        <v>399.4</v>
      </c>
      <c r="C1108" s="483">
        <f t="shared" si="70"/>
        <v>-2.4902343750000111E-2</v>
      </c>
      <c r="E1108" s="492">
        <v>43558</v>
      </c>
      <c r="F1108" s="493">
        <v>5452.19</v>
      </c>
      <c r="G1108" s="484">
        <f t="shared" si="71"/>
        <v>-1.2672554448704076E-2</v>
      </c>
      <c r="J1108" s="483">
        <f t="shared" si="68"/>
        <v>-1.7745803357314127E-2</v>
      </c>
      <c r="K1108" s="484">
        <f t="shared" si="69"/>
        <v>3.4689664696860856E-3</v>
      </c>
    </row>
    <row r="1109" spans="1:11" x14ac:dyDescent="0.35">
      <c r="A1109" s="490">
        <v>43557</v>
      </c>
      <c r="B1109" s="491">
        <v>409.6</v>
      </c>
      <c r="C1109" s="483">
        <f t="shared" si="70"/>
        <v>-1.7745803357314127E-2</v>
      </c>
      <c r="E1109" s="492">
        <v>43557</v>
      </c>
      <c r="F1109" s="493">
        <v>5522.17</v>
      </c>
      <c r="G1109" s="484">
        <f t="shared" si="71"/>
        <v>3.4689664696860856E-3</v>
      </c>
      <c r="J1109" s="483">
        <f t="shared" si="68"/>
        <v>1.9061583577712593E-2</v>
      </c>
      <c r="K1109" s="484">
        <f t="shared" si="69"/>
        <v>2.03572534095664E-3</v>
      </c>
    </row>
    <row r="1110" spans="1:11" x14ac:dyDescent="0.35">
      <c r="A1110" s="490">
        <v>43556</v>
      </c>
      <c r="B1110" s="491">
        <v>417</v>
      </c>
      <c r="C1110" s="483">
        <f t="shared" si="70"/>
        <v>1.9061583577712593E-2</v>
      </c>
      <c r="E1110" s="492">
        <v>43556</v>
      </c>
      <c r="F1110" s="493">
        <v>5503.08</v>
      </c>
      <c r="G1110" s="484">
        <f t="shared" si="71"/>
        <v>2.03572534095664E-3</v>
      </c>
      <c r="J1110" s="483">
        <f t="shared" si="68"/>
        <v>4.4182621502208974E-3</v>
      </c>
      <c r="K1110" s="484">
        <f t="shared" si="69"/>
        <v>-2.4684451338573554E-3</v>
      </c>
    </row>
    <row r="1111" spans="1:11" x14ac:dyDescent="0.35">
      <c r="A1111" s="490">
        <v>43555</v>
      </c>
      <c r="B1111" s="491">
        <v>409.2</v>
      </c>
      <c r="C1111" s="483">
        <f t="shared" si="70"/>
        <v>4.4182621502208974E-3</v>
      </c>
      <c r="E1111" s="492">
        <v>43555</v>
      </c>
      <c r="F1111" s="493">
        <v>5491.9</v>
      </c>
      <c r="G1111" s="484">
        <f t="shared" si="71"/>
        <v>-2.4684451338573554E-3</v>
      </c>
      <c r="J1111" s="483">
        <f t="shared" si="68"/>
        <v>-2.6927784577723823E-3</v>
      </c>
      <c r="K1111" s="484">
        <f t="shared" si="69"/>
        <v>5.4702606824563738E-4</v>
      </c>
    </row>
    <row r="1112" spans="1:11" x14ac:dyDescent="0.35">
      <c r="A1112" s="490">
        <v>43552</v>
      </c>
      <c r="B1112" s="491">
        <v>407.4</v>
      </c>
      <c r="C1112" s="483">
        <f t="shared" si="70"/>
        <v>-2.6927784577723823E-3</v>
      </c>
      <c r="E1112" s="492">
        <v>43552</v>
      </c>
      <c r="F1112" s="493">
        <v>5505.49</v>
      </c>
      <c r="G1112" s="484">
        <f t="shared" si="71"/>
        <v>5.4702606824563738E-4</v>
      </c>
      <c r="J1112" s="483">
        <f t="shared" si="68"/>
        <v>-2.4420024420024333E-3</v>
      </c>
      <c r="K1112" s="484">
        <f t="shared" si="69"/>
        <v>-4.9890869374167313E-3</v>
      </c>
    </row>
    <row r="1113" spans="1:11" x14ac:dyDescent="0.35">
      <c r="A1113" s="490">
        <v>43551</v>
      </c>
      <c r="B1113" s="491">
        <v>408.5</v>
      </c>
      <c r="C1113" s="483">
        <f t="shared" si="70"/>
        <v>-2.4420024420024333E-3</v>
      </c>
      <c r="E1113" s="492">
        <v>43551</v>
      </c>
      <c r="F1113" s="493">
        <v>5502.48</v>
      </c>
      <c r="G1113" s="484">
        <f t="shared" si="71"/>
        <v>-4.9890869374167313E-3</v>
      </c>
      <c r="J1113" s="483">
        <f t="shared" si="68"/>
        <v>2.0179372197309364E-2</v>
      </c>
      <c r="K1113" s="484">
        <f t="shared" si="69"/>
        <v>3.2655608510052669E-3</v>
      </c>
    </row>
    <row r="1114" spans="1:11" x14ac:dyDescent="0.35">
      <c r="A1114" s="490">
        <v>43549</v>
      </c>
      <c r="B1114" s="491">
        <v>409.5</v>
      </c>
      <c r="C1114" s="483">
        <f t="shared" si="70"/>
        <v>2.0179372197309364E-2</v>
      </c>
      <c r="E1114" s="492">
        <v>43549</v>
      </c>
      <c r="F1114" s="493">
        <v>5530.07</v>
      </c>
      <c r="G1114" s="484">
        <f t="shared" si="71"/>
        <v>3.2655608510052669E-3</v>
      </c>
      <c r="J1114" s="483">
        <f t="shared" si="68"/>
        <v>1.031965768940335E-2</v>
      </c>
      <c r="K1114" s="484">
        <f t="shared" si="69"/>
        <v>-1.0427008249328962E-2</v>
      </c>
    </row>
    <row r="1115" spans="1:11" x14ac:dyDescent="0.35">
      <c r="A1115" s="490">
        <v>43548</v>
      </c>
      <c r="B1115" s="491">
        <v>401.4</v>
      </c>
      <c r="C1115" s="483">
        <f t="shared" si="70"/>
        <v>1.031965768940335E-2</v>
      </c>
      <c r="E1115" s="492">
        <v>43548</v>
      </c>
      <c r="F1115" s="493">
        <v>5512.07</v>
      </c>
      <c r="G1115" s="484">
        <f t="shared" si="71"/>
        <v>-1.0427008249328962E-2</v>
      </c>
      <c r="J1115" s="483">
        <f t="shared" si="68"/>
        <v>6.0774879716385399E-3</v>
      </c>
      <c r="K1115" s="484">
        <f t="shared" si="69"/>
        <v>-5.4280383176653624E-3</v>
      </c>
    </row>
    <row r="1116" spans="1:11" x14ac:dyDescent="0.35">
      <c r="A1116" s="490">
        <v>43545</v>
      </c>
      <c r="B1116" s="491">
        <v>397.3</v>
      </c>
      <c r="C1116" s="483">
        <f t="shared" si="70"/>
        <v>6.0774879716385399E-3</v>
      </c>
      <c r="E1116" s="492">
        <v>43545</v>
      </c>
      <c r="F1116" s="493">
        <v>5570.15</v>
      </c>
      <c r="G1116" s="484">
        <f t="shared" si="71"/>
        <v>-5.4280383176653624E-3</v>
      </c>
      <c r="J1116" s="483">
        <f t="shared" si="68"/>
        <v>8.1695174878733123E-3</v>
      </c>
      <c r="K1116" s="484">
        <f t="shared" si="69"/>
        <v>-5.4587847544700363E-3</v>
      </c>
    </row>
    <row r="1117" spans="1:11" x14ac:dyDescent="0.35">
      <c r="A1117" s="490">
        <v>43544</v>
      </c>
      <c r="B1117" s="491">
        <v>394.9</v>
      </c>
      <c r="C1117" s="483">
        <f t="shared" si="70"/>
        <v>8.1695174878733123E-3</v>
      </c>
      <c r="E1117" s="492">
        <v>43544</v>
      </c>
      <c r="F1117" s="493">
        <v>5600.55</v>
      </c>
      <c r="G1117" s="484">
        <f t="shared" si="71"/>
        <v>-5.4587847544700363E-3</v>
      </c>
      <c r="J1117" s="483">
        <f t="shared" si="68"/>
        <v>8.4963954685890464E-3</v>
      </c>
      <c r="K1117" s="484">
        <f t="shared" si="69"/>
        <v>4.7083801673535319E-3</v>
      </c>
    </row>
    <row r="1118" spans="1:11" x14ac:dyDescent="0.35">
      <c r="A1118" s="490">
        <v>43543</v>
      </c>
      <c r="B1118" s="491">
        <v>391.7</v>
      </c>
      <c r="C1118" s="483">
        <f t="shared" si="70"/>
        <v>8.4963954685890464E-3</v>
      </c>
      <c r="E1118" s="492">
        <v>43543</v>
      </c>
      <c r="F1118" s="493">
        <v>5631.29</v>
      </c>
      <c r="G1118" s="484">
        <f t="shared" si="71"/>
        <v>4.7083801673535319E-3</v>
      </c>
      <c r="J1118" s="483">
        <f t="shared" si="68"/>
        <v>3.3583053474552926E-3</v>
      </c>
      <c r="K1118" s="484">
        <f t="shared" si="69"/>
        <v>-9.0013631999661392E-3</v>
      </c>
    </row>
    <row r="1119" spans="1:11" x14ac:dyDescent="0.35">
      <c r="A1119" s="490">
        <v>43542</v>
      </c>
      <c r="B1119" s="491">
        <v>388.4</v>
      </c>
      <c r="C1119" s="483">
        <f t="shared" si="70"/>
        <v>3.3583053474552926E-3</v>
      </c>
      <c r="E1119" s="492">
        <v>43542</v>
      </c>
      <c r="F1119" s="493">
        <v>5604.9</v>
      </c>
      <c r="G1119" s="484">
        <f t="shared" si="71"/>
        <v>-9.0013631999661392E-3</v>
      </c>
      <c r="J1119" s="483">
        <f t="shared" si="68"/>
        <v>4.150453955901412E-3</v>
      </c>
      <c r="K1119" s="484">
        <f t="shared" si="69"/>
        <v>4.5991569391556908E-4</v>
      </c>
    </row>
    <row r="1120" spans="1:11" x14ac:dyDescent="0.35">
      <c r="A1120" s="490">
        <v>43538</v>
      </c>
      <c r="B1120" s="491">
        <v>387.1</v>
      </c>
      <c r="C1120" s="483">
        <f t="shared" si="70"/>
        <v>4.150453955901412E-3</v>
      </c>
      <c r="E1120" s="492">
        <v>43538</v>
      </c>
      <c r="F1120" s="493">
        <v>5655.81</v>
      </c>
      <c r="G1120" s="484">
        <f t="shared" si="71"/>
        <v>4.5991569391556908E-4</v>
      </c>
      <c r="J1120" s="483">
        <f t="shared" si="68"/>
        <v>-1.8834308984474357E-2</v>
      </c>
      <c r="K1120" s="484">
        <f t="shared" si="69"/>
        <v>-5.1421662915337452E-3</v>
      </c>
    </row>
    <row r="1121" spans="1:11" x14ac:dyDescent="0.35">
      <c r="A1121" s="490">
        <v>43537</v>
      </c>
      <c r="B1121" s="491">
        <v>385.5</v>
      </c>
      <c r="C1121" s="483">
        <f t="shared" si="70"/>
        <v>-1.8834308984474357E-2</v>
      </c>
      <c r="E1121" s="492">
        <v>43537</v>
      </c>
      <c r="F1121" s="493">
        <v>5653.21</v>
      </c>
      <c r="G1121" s="484">
        <f t="shared" si="71"/>
        <v>-5.1421662915337452E-3</v>
      </c>
      <c r="J1121" s="483">
        <f t="shared" si="68"/>
        <v>2.0784619381657654E-2</v>
      </c>
      <c r="K1121" s="484">
        <f t="shared" si="69"/>
        <v>-1.474304230321688E-3</v>
      </c>
    </row>
    <row r="1122" spans="1:11" x14ac:dyDescent="0.35">
      <c r="A1122" s="490">
        <v>43536</v>
      </c>
      <c r="B1122" s="491">
        <v>392.9</v>
      </c>
      <c r="C1122" s="483">
        <f t="shared" si="70"/>
        <v>2.0784619381657654E-2</v>
      </c>
      <c r="E1122" s="492">
        <v>43536</v>
      </c>
      <c r="F1122" s="493">
        <v>5682.43</v>
      </c>
      <c r="G1122" s="484">
        <f t="shared" si="71"/>
        <v>-1.474304230321688E-3</v>
      </c>
      <c r="J1122" s="483">
        <f t="shared" si="68"/>
        <v>-1.0381520892811524E-3</v>
      </c>
      <c r="K1122" s="484">
        <f t="shared" si="69"/>
        <v>-3.3694917391412504E-3</v>
      </c>
    </row>
    <row r="1123" spans="1:11" x14ac:dyDescent="0.35">
      <c r="A1123" s="490">
        <v>43535</v>
      </c>
      <c r="B1123" s="491">
        <v>384.9</v>
      </c>
      <c r="C1123" s="483">
        <f t="shared" si="70"/>
        <v>-1.0381520892811524E-3</v>
      </c>
      <c r="E1123" s="492">
        <v>43535</v>
      </c>
      <c r="F1123" s="493">
        <v>5690.82</v>
      </c>
      <c r="G1123" s="484">
        <f t="shared" si="71"/>
        <v>-3.3694917391412504E-3</v>
      </c>
      <c r="J1123" s="483">
        <f t="shared" si="68"/>
        <v>-1.2960082944530882E-3</v>
      </c>
      <c r="K1123" s="484">
        <f t="shared" si="69"/>
        <v>3.7989258936970138E-3</v>
      </c>
    </row>
    <row r="1124" spans="1:11" x14ac:dyDescent="0.35">
      <c r="A1124" s="490">
        <v>43534</v>
      </c>
      <c r="B1124" s="491">
        <v>385.3</v>
      </c>
      <c r="C1124" s="483">
        <f t="shared" si="70"/>
        <v>-1.2960082944530882E-3</v>
      </c>
      <c r="E1124" s="492">
        <v>43534</v>
      </c>
      <c r="F1124" s="493">
        <v>5710.06</v>
      </c>
      <c r="G1124" s="484">
        <f t="shared" si="71"/>
        <v>3.7989258936970138E-3</v>
      </c>
      <c r="J1124" s="483">
        <f t="shared" si="68"/>
        <v>-1.0769230769230753E-2</v>
      </c>
      <c r="K1124" s="484">
        <f t="shared" si="69"/>
        <v>3.6402772941657169E-4</v>
      </c>
    </row>
    <row r="1125" spans="1:11" x14ac:dyDescent="0.35">
      <c r="A1125" s="490">
        <v>43531</v>
      </c>
      <c r="B1125" s="491">
        <v>385.8</v>
      </c>
      <c r="C1125" s="483">
        <f t="shared" si="70"/>
        <v>-1.0769230769230753E-2</v>
      </c>
      <c r="E1125" s="492">
        <v>43531</v>
      </c>
      <c r="F1125" s="493">
        <v>5688.45</v>
      </c>
      <c r="G1125" s="484">
        <f t="shared" si="71"/>
        <v>3.6402772941657169E-4</v>
      </c>
      <c r="J1125" s="483">
        <f t="shared" si="68"/>
        <v>-5.1020408163264808E-3</v>
      </c>
      <c r="K1125" s="484">
        <f t="shared" si="69"/>
        <v>-1.9340727352001874E-4</v>
      </c>
    </row>
    <row r="1126" spans="1:11" x14ac:dyDescent="0.35">
      <c r="A1126" s="490">
        <v>43530</v>
      </c>
      <c r="B1126" s="491">
        <v>390</v>
      </c>
      <c r="C1126" s="483">
        <f t="shared" si="70"/>
        <v>-5.1020408163264808E-3</v>
      </c>
      <c r="E1126" s="492">
        <v>43530</v>
      </c>
      <c r="F1126" s="493">
        <v>5686.38</v>
      </c>
      <c r="G1126" s="484">
        <f t="shared" si="71"/>
        <v>-1.9340727352001874E-4</v>
      </c>
      <c r="J1126" s="483">
        <f t="shared" si="68"/>
        <v>-3.558718861209953E-3</v>
      </c>
      <c r="K1126" s="484">
        <f t="shared" si="69"/>
        <v>8.922270656288589E-4</v>
      </c>
    </row>
    <row r="1127" spans="1:11" x14ac:dyDescent="0.35">
      <c r="A1127" s="490">
        <v>43529</v>
      </c>
      <c r="B1127" s="491">
        <v>392</v>
      </c>
      <c r="C1127" s="483">
        <f t="shared" si="70"/>
        <v>-3.558718861209953E-3</v>
      </c>
      <c r="E1127" s="492">
        <v>43529</v>
      </c>
      <c r="F1127" s="493">
        <v>5687.48</v>
      </c>
      <c r="G1127" s="484">
        <f t="shared" si="71"/>
        <v>8.922270656288589E-4</v>
      </c>
      <c r="J1127" s="483">
        <f t="shared" si="68"/>
        <v>8.7179487179487314E-3</v>
      </c>
      <c r="K1127" s="484">
        <f t="shared" si="69"/>
        <v>-7.1045784867213024E-3</v>
      </c>
    </row>
    <row r="1128" spans="1:11" x14ac:dyDescent="0.35">
      <c r="A1128" s="490">
        <v>43528</v>
      </c>
      <c r="B1128" s="491">
        <v>393.4</v>
      </c>
      <c r="C1128" s="483">
        <f t="shared" si="70"/>
        <v>8.7179487179487314E-3</v>
      </c>
      <c r="E1128" s="492">
        <v>43528</v>
      </c>
      <c r="F1128" s="493">
        <v>5682.41</v>
      </c>
      <c r="G1128" s="484">
        <f t="shared" si="71"/>
        <v>-7.1045784867213024E-3</v>
      </c>
      <c r="J1128" s="483">
        <f t="shared" si="68"/>
        <v>-8.8945362134689177E-3</v>
      </c>
      <c r="K1128" s="484">
        <f t="shared" si="69"/>
        <v>1.9695998823492378E-3</v>
      </c>
    </row>
    <row r="1129" spans="1:11" x14ac:dyDescent="0.35">
      <c r="A1129" s="490">
        <v>43527</v>
      </c>
      <c r="B1129" s="491">
        <v>390</v>
      </c>
      <c r="C1129" s="483">
        <f t="shared" si="70"/>
        <v>-8.8945362134689177E-3</v>
      </c>
      <c r="E1129" s="492">
        <v>43527</v>
      </c>
      <c r="F1129" s="493">
        <v>5723.07</v>
      </c>
      <c r="G1129" s="484">
        <f t="shared" si="71"/>
        <v>1.9695998823492378E-3</v>
      </c>
      <c r="J1129" s="483">
        <f t="shared" si="68"/>
        <v>-1.2794781736076288E-2</v>
      </c>
      <c r="K1129" s="484">
        <f t="shared" si="69"/>
        <v>-4.6735811969387253E-3</v>
      </c>
    </row>
    <row r="1130" spans="1:11" x14ac:dyDescent="0.35">
      <c r="A1130" s="490">
        <v>43523</v>
      </c>
      <c r="B1130" s="491">
        <v>393.5</v>
      </c>
      <c r="C1130" s="483">
        <f t="shared" si="70"/>
        <v>-1.2794781736076288E-2</v>
      </c>
      <c r="E1130" s="492">
        <v>43523</v>
      </c>
      <c r="F1130" s="493">
        <v>5711.82</v>
      </c>
      <c r="G1130" s="484">
        <f t="shared" si="71"/>
        <v>-4.6735811969387253E-3</v>
      </c>
      <c r="J1130" s="483">
        <f t="shared" si="68"/>
        <v>3.0196275792653271E-3</v>
      </c>
      <c r="K1130" s="484">
        <f t="shared" si="69"/>
        <v>-2.9796083595822198E-3</v>
      </c>
    </row>
    <row r="1131" spans="1:11" x14ac:dyDescent="0.35">
      <c r="A1131" s="490">
        <v>43522</v>
      </c>
      <c r="B1131" s="491">
        <v>398.6</v>
      </c>
      <c r="C1131" s="483">
        <f t="shared" si="70"/>
        <v>3.0196275792653271E-3</v>
      </c>
      <c r="E1131" s="492">
        <v>43522</v>
      </c>
      <c r="F1131" s="493">
        <v>5738.64</v>
      </c>
      <c r="G1131" s="484">
        <f t="shared" si="71"/>
        <v>-2.9796083595822198E-3</v>
      </c>
      <c r="J1131" s="483">
        <f t="shared" si="68"/>
        <v>3.0601659751037236E-2</v>
      </c>
      <c r="K1131" s="484">
        <f t="shared" si="69"/>
        <v>7.2660199815548498E-3</v>
      </c>
    </row>
    <row r="1132" spans="1:11" x14ac:dyDescent="0.35">
      <c r="A1132" s="490">
        <v>43521</v>
      </c>
      <c r="B1132" s="491">
        <v>397.4</v>
      </c>
      <c r="C1132" s="483">
        <f t="shared" si="70"/>
        <v>3.0601659751037236E-2</v>
      </c>
      <c r="E1132" s="492">
        <v>43521</v>
      </c>
      <c r="F1132" s="493">
        <v>5755.79</v>
      </c>
      <c r="G1132" s="484">
        <f t="shared" si="71"/>
        <v>7.2660199815548498E-3</v>
      </c>
      <c r="J1132" s="483">
        <f t="shared" si="68"/>
        <v>-2.5926886180960285E-4</v>
      </c>
      <c r="K1132" s="484">
        <f t="shared" si="69"/>
        <v>-5.4926790385374513E-3</v>
      </c>
    </row>
    <row r="1133" spans="1:11" x14ac:dyDescent="0.35">
      <c r="A1133" s="490">
        <v>43520</v>
      </c>
      <c r="B1133" s="491">
        <v>385.6</v>
      </c>
      <c r="C1133" s="483">
        <f t="shared" si="70"/>
        <v>-2.5926886180960285E-4</v>
      </c>
      <c r="E1133" s="492">
        <v>43520</v>
      </c>
      <c r="F1133" s="493">
        <v>5714.27</v>
      </c>
      <c r="G1133" s="484">
        <f t="shared" si="71"/>
        <v>-5.4926790385374513E-3</v>
      </c>
      <c r="J1133" s="483">
        <f t="shared" si="68"/>
        <v>1.6337285902503274E-2</v>
      </c>
      <c r="K1133" s="484">
        <f t="shared" si="69"/>
        <v>1.7277088941267671E-3</v>
      </c>
    </row>
    <row r="1134" spans="1:11" x14ac:dyDescent="0.35">
      <c r="A1134" s="490">
        <v>43516</v>
      </c>
      <c r="B1134" s="491">
        <v>385.7</v>
      </c>
      <c r="C1134" s="483">
        <f t="shared" si="70"/>
        <v>1.6337285902503274E-2</v>
      </c>
      <c r="E1134" s="492">
        <v>43516</v>
      </c>
      <c r="F1134" s="493">
        <v>5745.83</v>
      </c>
      <c r="G1134" s="484">
        <f t="shared" si="71"/>
        <v>1.7277088941267671E-3</v>
      </c>
      <c r="J1134" s="483">
        <f t="shared" si="68"/>
        <v>6.364359586316537E-3</v>
      </c>
      <c r="K1134" s="484">
        <f t="shared" si="69"/>
        <v>1.9914333428827646E-3</v>
      </c>
    </row>
    <row r="1135" spans="1:11" x14ac:dyDescent="0.35">
      <c r="A1135" s="490">
        <v>43515</v>
      </c>
      <c r="B1135" s="491">
        <v>379.5</v>
      </c>
      <c r="C1135" s="483">
        <f t="shared" si="70"/>
        <v>6.364359586316537E-3</v>
      </c>
      <c r="E1135" s="492">
        <v>43515</v>
      </c>
      <c r="F1135" s="493">
        <v>5735.92</v>
      </c>
      <c r="G1135" s="484">
        <f t="shared" si="71"/>
        <v>1.9914333428827646E-3</v>
      </c>
      <c r="J1135" s="483">
        <f t="shared" si="68"/>
        <v>-3.2828930494998576E-2</v>
      </c>
      <c r="K1135" s="484">
        <f t="shared" si="69"/>
        <v>-4.4815131062954094E-3</v>
      </c>
    </row>
    <row r="1136" spans="1:11" x14ac:dyDescent="0.35">
      <c r="A1136" s="490">
        <v>43514</v>
      </c>
      <c r="B1136" s="491">
        <v>377.1</v>
      </c>
      <c r="C1136" s="483">
        <f t="shared" si="70"/>
        <v>-3.2828930494998576E-2</v>
      </c>
      <c r="E1136" s="492">
        <v>43514</v>
      </c>
      <c r="F1136" s="493">
        <v>5724.52</v>
      </c>
      <c r="G1136" s="484">
        <f t="shared" si="71"/>
        <v>-4.4815131062954094E-3</v>
      </c>
      <c r="J1136" s="483">
        <f t="shared" si="68"/>
        <v>-7.6355306693814962E-3</v>
      </c>
      <c r="K1136" s="484">
        <f t="shared" si="69"/>
        <v>3.4444906415975751E-4</v>
      </c>
    </row>
    <row r="1137" spans="1:11" x14ac:dyDescent="0.35">
      <c r="A1137" s="490">
        <v>43510</v>
      </c>
      <c r="B1137" s="491">
        <v>389.9</v>
      </c>
      <c r="C1137" s="483">
        <f t="shared" si="70"/>
        <v>-7.6355306693814962E-3</v>
      </c>
      <c r="E1137" s="492">
        <v>43510</v>
      </c>
      <c r="F1137" s="493">
        <v>5750.29</v>
      </c>
      <c r="G1137" s="484">
        <f t="shared" si="71"/>
        <v>3.4444906415975751E-4</v>
      </c>
      <c r="J1137" s="483">
        <f t="shared" si="68"/>
        <v>1.1065362840967374E-2</v>
      </c>
      <c r="K1137" s="484">
        <f t="shared" si="69"/>
        <v>2.8541770252707988E-3</v>
      </c>
    </row>
    <row r="1138" spans="1:11" x14ac:dyDescent="0.35">
      <c r="A1138" s="490">
        <v>43509</v>
      </c>
      <c r="B1138" s="491">
        <v>392.9</v>
      </c>
      <c r="C1138" s="483">
        <f t="shared" si="70"/>
        <v>1.1065362840967374E-2</v>
      </c>
      <c r="E1138" s="492">
        <v>43509</v>
      </c>
      <c r="F1138" s="493">
        <v>5748.31</v>
      </c>
      <c r="G1138" s="484">
        <f t="shared" si="71"/>
        <v>2.8541770252707988E-3</v>
      </c>
      <c r="J1138" s="483">
        <f t="shared" si="68"/>
        <v>-2.263581488933597E-2</v>
      </c>
      <c r="K1138" s="484">
        <f t="shared" si="69"/>
        <v>-3.4182608377186785E-4</v>
      </c>
    </row>
    <row r="1139" spans="1:11" x14ac:dyDescent="0.35">
      <c r="A1139" s="490">
        <v>43508</v>
      </c>
      <c r="B1139" s="491">
        <v>388.6</v>
      </c>
      <c r="C1139" s="483">
        <f t="shared" si="70"/>
        <v>-2.263581488933597E-2</v>
      </c>
      <c r="E1139" s="492">
        <v>43508</v>
      </c>
      <c r="F1139" s="493">
        <v>5731.95</v>
      </c>
      <c r="G1139" s="484">
        <f t="shared" si="71"/>
        <v>-3.4182608377186785E-4</v>
      </c>
      <c r="J1139" s="483">
        <f t="shared" si="68"/>
        <v>-2.0930805220389037E-2</v>
      </c>
      <c r="K1139" s="484">
        <f t="shared" si="69"/>
        <v>-5.1737329819404598E-3</v>
      </c>
    </row>
    <row r="1140" spans="1:11" x14ac:dyDescent="0.35">
      <c r="A1140" s="490">
        <v>43507</v>
      </c>
      <c r="B1140" s="491">
        <v>397.6</v>
      </c>
      <c r="C1140" s="483">
        <f t="shared" si="70"/>
        <v>-2.0930805220389037E-2</v>
      </c>
      <c r="E1140" s="492">
        <v>43507</v>
      </c>
      <c r="F1140" s="493">
        <v>5733.91</v>
      </c>
      <c r="G1140" s="484">
        <f t="shared" si="71"/>
        <v>-5.1737329819404598E-3</v>
      </c>
      <c r="J1140" s="483">
        <f t="shared" si="68"/>
        <v>1.4796547472257782E-3</v>
      </c>
      <c r="K1140" s="484">
        <f t="shared" si="69"/>
        <v>-8.2915800630429803E-3</v>
      </c>
    </row>
    <row r="1141" spans="1:11" x14ac:dyDescent="0.35">
      <c r="A1141" s="490">
        <v>43506</v>
      </c>
      <c r="B1141" s="491">
        <v>406.1</v>
      </c>
      <c r="C1141" s="483">
        <f t="shared" si="70"/>
        <v>1.4796547472257782E-3</v>
      </c>
      <c r="E1141" s="492">
        <v>43506</v>
      </c>
      <c r="F1141" s="493">
        <v>5763.73</v>
      </c>
      <c r="G1141" s="484">
        <f t="shared" si="71"/>
        <v>-8.2915800630429803E-3</v>
      </c>
      <c r="J1141" s="483">
        <f t="shared" si="68"/>
        <v>1.4818473697209011E-3</v>
      </c>
      <c r="K1141" s="484">
        <f t="shared" si="69"/>
        <v>4.4797787763566355E-3</v>
      </c>
    </row>
    <row r="1142" spans="1:11" x14ac:dyDescent="0.35">
      <c r="A1142" s="490">
        <v>43503</v>
      </c>
      <c r="B1142" s="491">
        <v>405.5</v>
      </c>
      <c r="C1142" s="483">
        <f t="shared" si="70"/>
        <v>1.4818473697209011E-3</v>
      </c>
      <c r="E1142" s="492">
        <v>43503</v>
      </c>
      <c r="F1142" s="493">
        <v>5811.92</v>
      </c>
      <c r="G1142" s="484">
        <f t="shared" si="71"/>
        <v>4.4797787763566355E-3</v>
      </c>
      <c r="J1142" s="483">
        <f t="shared" si="68"/>
        <v>3.4696406443617267E-3</v>
      </c>
      <c r="K1142" s="484">
        <f t="shared" si="69"/>
        <v>-2.4550708246554587E-3</v>
      </c>
    </row>
    <row r="1143" spans="1:11" x14ac:dyDescent="0.35">
      <c r="A1143" s="490">
        <v>43502</v>
      </c>
      <c r="B1143" s="491">
        <v>404.9</v>
      </c>
      <c r="C1143" s="483">
        <f t="shared" si="70"/>
        <v>3.4696406443617267E-3</v>
      </c>
      <c r="E1143" s="492">
        <v>43502</v>
      </c>
      <c r="F1143" s="493">
        <v>5786</v>
      </c>
      <c r="G1143" s="484">
        <f t="shared" si="71"/>
        <v>-2.4550708246554587E-3</v>
      </c>
      <c r="J1143" s="483">
        <f t="shared" si="68"/>
        <v>3.7313432835821558E-3</v>
      </c>
      <c r="K1143" s="484">
        <f t="shared" si="69"/>
        <v>-4.7751657066575914E-3</v>
      </c>
    </row>
    <row r="1144" spans="1:11" x14ac:dyDescent="0.35">
      <c r="A1144" s="490">
        <v>43501</v>
      </c>
      <c r="B1144" s="491">
        <v>403.5</v>
      </c>
      <c r="C1144" s="483">
        <f t="shared" si="70"/>
        <v>3.7313432835821558E-3</v>
      </c>
      <c r="E1144" s="492">
        <v>43501</v>
      </c>
      <c r="F1144" s="493">
        <v>5800.24</v>
      </c>
      <c r="G1144" s="484">
        <f t="shared" si="71"/>
        <v>-4.7751657066575914E-3</v>
      </c>
      <c r="J1144" s="483">
        <f t="shared" si="68"/>
        <v>2.0304568527918843E-2</v>
      </c>
      <c r="K1144" s="484">
        <f t="shared" si="69"/>
        <v>4.6092878701953222E-3</v>
      </c>
    </row>
    <row r="1145" spans="1:11" x14ac:dyDescent="0.35">
      <c r="A1145" s="490">
        <v>43500</v>
      </c>
      <c r="B1145" s="491">
        <v>402</v>
      </c>
      <c r="C1145" s="483">
        <f t="shared" si="70"/>
        <v>2.0304568527918843E-2</v>
      </c>
      <c r="E1145" s="492">
        <v>43500</v>
      </c>
      <c r="F1145" s="493">
        <v>5828.07</v>
      </c>
      <c r="G1145" s="484">
        <f t="shared" si="71"/>
        <v>4.6092878701953222E-3</v>
      </c>
      <c r="J1145" s="483">
        <f t="shared" si="68"/>
        <v>-1.0547463586137562E-2</v>
      </c>
      <c r="K1145" s="484">
        <f t="shared" si="69"/>
        <v>-3.3808565867435858E-3</v>
      </c>
    </row>
    <row r="1146" spans="1:11" x14ac:dyDescent="0.35">
      <c r="A1146" s="490">
        <v>43499</v>
      </c>
      <c r="B1146" s="491">
        <v>394</v>
      </c>
      <c r="C1146" s="483">
        <f t="shared" si="70"/>
        <v>-1.0547463586137562E-2</v>
      </c>
      <c r="E1146" s="492">
        <v>43499</v>
      </c>
      <c r="F1146" s="493">
        <v>5801.33</v>
      </c>
      <c r="G1146" s="484">
        <f t="shared" si="71"/>
        <v>-3.3808565867435858E-3</v>
      </c>
      <c r="J1146" s="483">
        <f t="shared" si="68"/>
        <v>-3.7699371677138771E-2</v>
      </c>
      <c r="K1146" s="484">
        <f t="shared" si="69"/>
        <v>-1.0723796801895169E-2</v>
      </c>
    </row>
    <row r="1147" spans="1:11" x14ac:dyDescent="0.35">
      <c r="A1147" s="490">
        <v>43496</v>
      </c>
      <c r="B1147" s="491">
        <v>398.2</v>
      </c>
      <c r="C1147" s="483">
        <f t="shared" si="70"/>
        <v>-3.7699371677138771E-2</v>
      </c>
      <c r="E1147" s="492">
        <v>43496</v>
      </c>
      <c r="F1147" s="493">
        <v>5821.01</v>
      </c>
      <c r="G1147" s="484">
        <f t="shared" si="71"/>
        <v>-1.0723796801895169E-2</v>
      </c>
      <c r="J1147" s="483">
        <f t="shared" si="68"/>
        <v>-3.8517091959556771E-3</v>
      </c>
      <c r="K1147" s="484">
        <f t="shared" si="69"/>
        <v>-6.8224821209446063E-3</v>
      </c>
    </row>
    <row r="1148" spans="1:11" x14ac:dyDescent="0.35">
      <c r="A1148" s="490">
        <v>43495</v>
      </c>
      <c r="B1148" s="491">
        <v>413.8</v>
      </c>
      <c r="C1148" s="483">
        <f t="shared" si="70"/>
        <v>-3.8517091959556771E-3</v>
      </c>
      <c r="E1148" s="492">
        <v>43495</v>
      </c>
      <c r="F1148" s="493">
        <v>5884.11</v>
      </c>
      <c r="G1148" s="484">
        <f t="shared" si="71"/>
        <v>-6.8224821209446063E-3</v>
      </c>
      <c r="J1148" s="483">
        <f t="shared" si="68"/>
        <v>1.4407814407814357E-2</v>
      </c>
      <c r="K1148" s="484">
        <f t="shared" si="69"/>
        <v>3.4399124693862415E-3</v>
      </c>
    </row>
    <row r="1149" spans="1:11" x14ac:dyDescent="0.35">
      <c r="A1149" s="490">
        <v>43494</v>
      </c>
      <c r="B1149" s="491">
        <v>415.4</v>
      </c>
      <c r="C1149" s="483">
        <f t="shared" si="70"/>
        <v>1.4407814407814357E-2</v>
      </c>
      <c r="E1149" s="492">
        <v>43494</v>
      </c>
      <c r="F1149" s="493">
        <v>5924.53</v>
      </c>
      <c r="G1149" s="484">
        <f t="shared" si="71"/>
        <v>3.4399124693862415E-3</v>
      </c>
      <c r="J1149" s="483">
        <f t="shared" si="68"/>
        <v>4.0396341463414531E-2</v>
      </c>
      <c r="K1149" s="484">
        <f t="shared" si="69"/>
        <v>-5.9315256463139399E-3</v>
      </c>
    </row>
    <row r="1150" spans="1:11" x14ac:dyDescent="0.35">
      <c r="A1150" s="490">
        <v>43493</v>
      </c>
      <c r="B1150" s="491">
        <v>409.5</v>
      </c>
      <c r="C1150" s="483">
        <f t="shared" si="70"/>
        <v>4.0396341463414531E-2</v>
      </c>
      <c r="E1150" s="492">
        <v>43493</v>
      </c>
      <c r="F1150" s="493">
        <v>5904.22</v>
      </c>
      <c r="G1150" s="484">
        <f t="shared" si="71"/>
        <v>-5.9315256463139399E-3</v>
      </c>
      <c r="J1150" s="483">
        <f t="shared" si="68"/>
        <v>-4.80404551201008E-3</v>
      </c>
      <c r="K1150" s="484">
        <f t="shared" si="69"/>
        <v>-1.7747869331312671E-3</v>
      </c>
    </row>
    <row r="1151" spans="1:11" x14ac:dyDescent="0.35">
      <c r="A1151" s="490">
        <v>43492</v>
      </c>
      <c r="B1151" s="491">
        <v>393.6</v>
      </c>
      <c r="C1151" s="483">
        <f t="shared" si="70"/>
        <v>-4.80404551201008E-3</v>
      </c>
      <c r="E1151" s="492">
        <v>43492</v>
      </c>
      <c r="F1151" s="493">
        <v>5939.45</v>
      </c>
      <c r="G1151" s="484">
        <f t="shared" si="71"/>
        <v>-1.7747869331312671E-3</v>
      </c>
      <c r="J1151" s="483">
        <f t="shared" si="68"/>
        <v>1.0217113665389466E-2</v>
      </c>
      <c r="K1151" s="484">
        <f t="shared" si="69"/>
        <v>4.1804213837752791E-3</v>
      </c>
    </row>
    <row r="1152" spans="1:11" x14ac:dyDescent="0.35">
      <c r="A1152" s="490">
        <v>43489</v>
      </c>
      <c r="B1152" s="491">
        <v>395.5</v>
      </c>
      <c r="C1152" s="483">
        <f t="shared" si="70"/>
        <v>1.0217113665389466E-2</v>
      </c>
      <c r="E1152" s="492">
        <v>43489</v>
      </c>
      <c r="F1152" s="493">
        <v>5950.01</v>
      </c>
      <c r="G1152" s="484">
        <f t="shared" si="71"/>
        <v>4.1804213837752791E-3</v>
      </c>
      <c r="J1152" s="483">
        <f t="shared" si="68"/>
        <v>6.6855232707636603E-3</v>
      </c>
      <c r="K1152" s="484">
        <f t="shared" si="69"/>
        <v>1.0191869009421151E-2</v>
      </c>
    </row>
    <row r="1153" spans="1:11" x14ac:dyDescent="0.35">
      <c r="A1153" s="490">
        <v>43488</v>
      </c>
      <c r="B1153" s="491">
        <v>391.5</v>
      </c>
      <c r="C1153" s="483">
        <f t="shared" si="70"/>
        <v>6.6855232707636603E-3</v>
      </c>
      <c r="E1153" s="492">
        <v>43488</v>
      </c>
      <c r="F1153" s="493">
        <v>5925.24</v>
      </c>
      <c r="G1153" s="484">
        <f t="shared" si="71"/>
        <v>1.0191869009421151E-2</v>
      </c>
      <c r="J1153" s="483">
        <f t="shared" si="68"/>
        <v>1.1180447217888689E-2</v>
      </c>
      <c r="K1153" s="484">
        <f t="shared" si="69"/>
        <v>1.0513201235642367E-3</v>
      </c>
    </row>
    <row r="1154" spans="1:11" x14ac:dyDescent="0.35">
      <c r="A1154" s="490">
        <v>43487</v>
      </c>
      <c r="B1154" s="491">
        <v>388.9</v>
      </c>
      <c r="C1154" s="483">
        <f t="shared" si="70"/>
        <v>1.1180447217888689E-2</v>
      </c>
      <c r="E1154" s="492">
        <v>43487</v>
      </c>
      <c r="F1154" s="493">
        <v>5865.46</v>
      </c>
      <c r="G1154" s="484">
        <f t="shared" si="71"/>
        <v>1.0513201235642367E-3</v>
      </c>
      <c r="J1154" s="483">
        <f t="shared" si="68"/>
        <v>-1.5576323987538387E-3</v>
      </c>
      <c r="K1154" s="484">
        <f t="shared" si="69"/>
        <v>-4.7509286987007515E-3</v>
      </c>
    </row>
    <row r="1155" spans="1:11" x14ac:dyDescent="0.35">
      <c r="A1155" s="490">
        <v>43486</v>
      </c>
      <c r="B1155" s="491">
        <v>384.6</v>
      </c>
      <c r="C1155" s="483">
        <f t="shared" si="70"/>
        <v>-1.5576323987538387E-3</v>
      </c>
      <c r="E1155" s="492">
        <v>43486</v>
      </c>
      <c r="F1155" s="493">
        <v>5859.3</v>
      </c>
      <c r="G1155" s="484">
        <f t="shared" si="71"/>
        <v>-4.7509286987007515E-3</v>
      </c>
      <c r="J1155" s="483">
        <f t="shared" ref="J1155:J1188" si="72">(B1156/B1157)-1</f>
        <v>2.6926153025859767E-2</v>
      </c>
      <c r="K1155" s="484">
        <f t="shared" ref="K1155:K1188" si="73">(F1156/F1157)-1</f>
        <v>1.0591238282262605E-2</v>
      </c>
    </row>
    <row r="1156" spans="1:11" x14ac:dyDescent="0.35">
      <c r="A1156" s="490">
        <v>43485</v>
      </c>
      <c r="B1156" s="491">
        <v>385.2</v>
      </c>
      <c r="C1156" s="483">
        <f t="shared" ref="C1156:C1189" si="74">(B1156/B1157)-1</f>
        <v>2.6926153025859767E-2</v>
      </c>
      <c r="E1156" s="492">
        <v>43485</v>
      </c>
      <c r="F1156" s="493">
        <v>5887.27</v>
      </c>
      <c r="G1156" s="484">
        <f t="shared" ref="G1156:G1189" si="75">(F1156/F1157)-1</f>
        <v>1.0591238282262605E-2</v>
      </c>
      <c r="J1156" s="483">
        <f t="shared" si="72"/>
        <v>-1.9602718243596495E-2</v>
      </c>
      <c r="K1156" s="484">
        <f t="shared" si="73"/>
        <v>-2.3820614164274945E-3</v>
      </c>
    </row>
    <row r="1157" spans="1:11" x14ac:dyDescent="0.35">
      <c r="A1157" s="490">
        <v>43482</v>
      </c>
      <c r="B1157" s="491">
        <v>375.1</v>
      </c>
      <c r="C1157" s="483">
        <f t="shared" si="74"/>
        <v>-1.9602718243596495E-2</v>
      </c>
      <c r="E1157" s="492">
        <v>43482</v>
      </c>
      <c r="F1157" s="493">
        <v>5825.57</v>
      </c>
      <c r="G1157" s="484">
        <f t="shared" si="75"/>
        <v>-2.3820614164274945E-3</v>
      </c>
      <c r="J1157" s="483">
        <f t="shared" si="72"/>
        <v>-1.1624903125807329E-2</v>
      </c>
      <c r="K1157" s="484">
        <f t="shared" si="73"/>
        <v>-4.0574628151186509E-3</v>
      </c>
    </row>
    <row r="1158" spans="1:11" x14ac:dyDescent="0.35">
      <c r="A1158" s="490">
        <v>43481</v>
      </c>
      <c r="B1158" s="491">
        <v>382.6</v>
      </c>
      <c r="C1158" s="483">
        <f t="shared" si="74"/>
        <v>-1.1624903125807329E-2</v>
      </c>
      <c r="E1158" s="492">
        <v>43481</v>
      </c>
      <c r="F1158" s="493">
        <v>5839.48</v>
      </c>
      <c r="G1158" s="484">
        <f t="shared" si="75"/>
        <v>-4.0574628151186509E-3</v>
      </c>
      <c r="J1158" s="483">
        <f t="shared" si="72"/>
        <v>-5.6511687644489328E-3</v>
      </c>
      <c r="K1158" s="484">
        <f t="shared" si="73"/>
        <v>4.6331278924924835E-3</v>
      </c>
    </row>
    <row r="1159" spans="1:11" x14ac:dyDescent="0.35">
      <c r="A1159" s="490">
        <v>43480</v>
      </c>
      <c r="B1159" s="491">
        <v>387.1</v>
      </c>
      <c r="C1159" s="483">
        <f t="shared" si="74"/>
        <v>-5.6511687644489328E-3</v>
      </c>
      <c r="E1159" s="492">
        <v>43480</v>
      </c>
      <c r="F1159" s="493">
        <v>5863.27</v>
      </c>
      <c r="G1159" s="484">
        <f t="shared" si="75"/>
        <v>4.6331278924924835E-3</v>
      </c>
      <c r="J1159" s="483">
        <f t="shared" si="72"/>
        <v>-1.5388561169529247E-3</v>
      </c>
      <c r="K1159" s="484">
        <f t="shared" si="73"/>
        <v>-4.0920035288838363E-3</v>
      </c>
    </row>
    <row r="1160" spans="1:11" x14ac:dyDescent="0.35">
      <c r="A1160" s="490">
        <v>43479</v>
      </c>
      <c r="B1160" s="491">
        <v>389.3</v>
      </c>
      <c r="C1160" s="483">
        <f t="shared" si="74"/>
        <v>-1.5388561169529247E-3</v>
      </c>
      <c r="E1160" s="492">
        <v>43479</v>
      </c>
      <c r="F1160" s="493">
        <v>5836.23</v>
      </c>
      <c r="G1160" s="484">
        <f t="shared" si="75"/>
        <v>-4.0920035288838363E-3</v>
      </c>
      <c r="J1160" s="483">
        <f t="shared" si="72"/>
        <v>2.5713551041399718E-3</v>
      </c>
      <c r="K1160" s="484">
        <f t="shared" si="73"/>
        <v>1.0851603332585835E-2</v>
      </c>
    </row>
    <row r="1161" spans="1:11" x14ac:dyDescent="0.35">
      <c r="A1161" s="490">
        <v>43478</v>
      </c>
      <c r="B1161" s="491">
        <v>389.9</v>
      </c>
      <c r="C1161" s="483">
        <f t="shared" si="74"/>
        <v>2.5713551041399718E-3</v>
      </c>
      <c r="E1161" s="492">
        <v>43478</v>
      </c>
      <c r="F1161" s="493">
        <v>5860.21</v>
      </c>
      <c r="G1161" s="484">
        <f t="shared" si="75"/>
        <v>1.0851603332585835E-2</v>
      </c>
      <c r="J1161" s="483">
        <f t="shared" si="72"/>
        <v>1.620067938332892E-2</v>
      </c>
      <c r="K1161" s="484">
        <f t="shared" si="73"/>
        <v>-2.224678758111498E-4</v>
      </c>
    </row>
    <row r="1162" spans="1:11" x14ac:dyDescent="0.35">
      <c r="A1162" s="490">
        <v>43475</v>
      </c>
      <c r="B1162" s="491">
        <v>388.9</v>
      </c>
      <c r="C1162" s="483">
        <f t="shared" si="74"/>
        <v>1.620067938332892E-2</v>
      </c>
      <c r="E1162" s="492">
        <v>43475</v>
      </c>
      <c r="F1162" s="493">
        <v>5797.3</v>
      </c>
      <c r="G1162" s="484">
        <f t="shared" si="75"/>
        <v>-2.224678758111498E-4</v>
      </c>
      <c r="J1162" s="483">
        <f t="shared" si="72"/>
        <v>7.9009744535158966E-3</v>
      </c>
      <c r="K1162" s="484">
        <f t="shared" si="73"/>
        <v>4.8208471313186951E-3</v>
      </c>
    </row>
    <row r="1163" spans="1:11" x14ac:dyDescent="0.35">
      <c r="A1163" s="490">
        <v>43474</v>
      </c>
      <c r="B1163" s="491">
        <v>382.7</v>
      </c>
      <c r="C1163" s="483">
        <f t="shared" si="74"/>
        <v>7.9009744535158966E-3</v>
      </c>
      <c r="E1163" s="492">
        <v>43474</v>
      </c>
      <c r="F1163" s="493">
        <v>5798.59</v>
      </c>
      <c r="G1163" s="484">
        <f t="shared" si="75"/>
        <v>4.8208471313186951E-3</v>
      </c>
      <c r="J1163" s="483">
        <f t="shared" si="72"/>
        <v>2.0424617038430348E-2</v>
      </c>
      <c r="K1163" s="484">
        <f t="shared" si="73"/>
        <v>2.0439667702884856E-2</v>
      </c>
    </row>
    <row r="1164" spans="1:11" x14ac:dyDescent="0.35">
      <c r="A1164" s="490">
        <v>43473</v>
      </c>
      <c r="B1164" s="491">
        <v>379.7</v>
      </c>
      <c r="C1164" s="483">
        <f t="shared" si="74"/>
        <v>2.0424617038430348E-2</v>
      </c>
      <c r="E1164" s="492">
        <v>43473</v>
      </c>
      <c r="F1164" s="493">
        <v>5770.77</v>
      </c>
      <c r="G1164" s="484">
        <f t="shared" si="75"/>
        <v>2.0439667702884856E-2</v>
      </c>
      <c r="J1164" s="483">
        <f t="shared" si="72"/>
        <v>-2.412868632707732E-3</v>
      </c>
      <c r="K1164" s="484">
        <f t="shared" si="73"/>
        <v>-5.5952171619482183E-3</v>
      </c>
    </row>
    <row r="1165" spans="1:11" x14ac:dyDescent="0.35">
      <c r="A1165" s="490">
        <v>43472</v>
      </c>
      <c r="B1165" s="491">
        <v>372.1</v>
      </c>
      <c r="C1165" s="483">
        <f t="shared" si="74"/>
        <v>-2.412868632707732E-3</v>
      </c>
      <c r="E1165" s="492">
        <v>43472</v>
      </c>
      <c r="F1165" s="493">
        <v>5655.18</v>
      </c>
      <c r="G1165" s="484">
        <f t="shared" si="75"/>
        <v>-5.5952171619482183E-3</v>
      </c>
      <c r="J1165" s="483">
        <f t="shared" si="72"/>
        <v>2.0799124247400158E-2</v>
      </c>
      <c r="K1165" s="484">
        <f t="shared" si="73"/>
        <v>1.7266884537435967E-2</v>
      </c>
    </row>
    <row r="1166" spans="1:11" x14ac:dyDescent="0.35">
      <c r="A1166" s="490">
        <v>43471</v>
      </c>
      <c r="B1166" s="491">
        <v>373</v>
      </c>
      <c r="C1166" s="483">
        <f t="shared" si="74"/>
        <v>2.0799124247400158E-2</v>
      </c>
      <c r="E1166" s="492">
        <v>43471</v>
      </c>
      <c r="F1166" s="493">
        <v>5687</v>
      </c>
      <c r="G1166" s="484">
        <f t="shared" si="75"/>
        <v>1.7266884537435967E-2</v>
      </c>
      <c r="J1166" s="483">
        <f t="shared" si="72"/>
        <v>-5.47045951860059E-4</v>
      </c>
      <c r="K1166" s="484">
        <f t="shared" si="73"/>
        <v>1.7109287301029896E-2</v>
      </c>
    </row>
    <row r="1167" spans="1:11" x14ac:dyDescent="0.35">
      <c r="A1167" s="490">
        <v>43468</v>
      </c>
      <c r="B1167" s="491">
        <v>365.4</v>
      </c>
      <c r="C1167" s="483">
        <f t="shared" si="74"/>
        <v>-5.47045951860059E-4</v>
      </c>
      <c r="E1167" s="492">
        <v>43468</v>
      </c>
      <c r="F1167" s="493">
        <v>5590.47</v>
      </c>
      <c r="G1167" s="484">
        <f t="shared" si="75"/>
        <v>1.7109287301029896E-2</v>
      </c>
      <c r="J1167" s="483">
        <f t="shared" si="72"/>
        <v>-7.3309801792017515E-3</v>
      </c>
      <c r="K1167" s="484">
        <f t="shared" si="73"/>
        <v>5.7051370019669534E-3</v>
      </c>
    </row>
    <row r="1168" spans="1:11" x14ac:dyDescent="0.35">
      <c r="A1168" s="490">
        <v>43467</v>
      </c>
      <c r="B1168" s="491">
        <v>365.6</v>
      </c>
      <c r="C1168" s="483">
        <f t="shared" si="74"/>
        <v>-7.3309801792017515E-3</v>
      </c>
      <c r="E1168" s="492">
        <v>43467</v>
      </c>
      <c r="F1168" s="493">
        <v>5496.43</v>
      </c>
      <c r="G1168" s="484">
        <f t="shared" si="75"/>
        <v>5.7051370019669534E-3</v>
      </c>
      <c r="J1168" s="483">
        <f t="shared" si="72"/>
        <v>2.7225701061801555E-3</v>
      </c>
      <c r="K1168" s="484">
        <f t="shared" si="73"/>
        <v>1.4781901501028649E-2</v>
      </c>
    </row>
    <row r="1169" spans="1:11" x14ac:dyDescent="0.35">
      <c r="A1169" s="490">
        <v>43466</v>
      </c>
      <c r="B1169" s="491">
        <v>368.3</v>
      </c>
      <c r="C1169" s="483">
        <f t="shared" si="74"/>
        <v>2.7225701061801555E-3</v>
      </c>
      <c r="E1169" s="492">
        <v>43466</v>
      </c>
      <c r="F1169" s="493">
        <v>5465.25</v>
      </c>
      <c r="G1169" s="484">
        <f t="shared" si="75"/>
        <v>1.4781901501028649E-2</v>
      </c>
      <c r="J1169" s="483">
        <f t="shared" si="72"/>
        <v>1.7451523545706449E-2</v>
      </c>
      <c r="K1169" s="484">
        <f t="shared" si="73"/>
        <v>6.8159979660433745E-3</v>
      </c>
    </row>
    <row r="1170" spans="1:11" x14ac:dyDescent="0.35">
      <c r="A1170" s="490">
        <v>43461</v>
      </c>
      <c r="B1170" s="491">
        <v>367.3</v>
      </c>
      <c r="C1170" s="483">
        <f t="shared" si="74"/>
        <v>1.7451523545706449E-2</v>
      </c>
      <c r="E1170" s="492">
        <v>43461</v>
      </c>
      <c r="F1170" s="493">
        <v>5385.64</v>
      </c>
      <c r="G1170" s="484">
        <f t="shared" si="75"/>
        <v>6.8159979660433745E-3</v>
      </c>
      <c r="J1170" s="483">
        <f t="shared" si="72"/>
        <v>1.6648168701443034E-3</v>
      </c>
      <c r="K1170" s="484">
        <f t="shared" si="73"/>
        <v>9.2621068698832687E-3</v>
      </c>
    </row>
    <row r="1171" spans="1:11" x14ac:dyDescent="0.35">
      <c r="A1171" s="490">
        <v>43460</v>
      </c>
      <c r="B1171" s="491">
        <v>361</v>
      </c>
      <c r="C1171" s="483">
        <f t="shared" si="74"/>
        <v>1.6648168701443034E-3</v>
      </c>
      <c r="E1171" s="492">
        <v>43460</v>
      </c>
      <c r="F1171" s="493">
        <v>5349.18</v>
      </c>
      <c r="G1171" s="484">
        <f t="shared" si="75"/>
        <v>9.2621068698832687E-3</v>
      </c>
      <c r="J1171" s="483">
        <f t="shared" si="72"/>
        <v>2.2246941045604984E-3</v>
      </c>
      <c r="K1171" s="484">
        <f t="shared" si="73"/>
        <v>3.4685342224292093E-3</v>
      </c>
    </row>
    <row r="1172" spans="1:11" x14ac:dyDescent="0.35">
      <c r="A1172" s="490">
        <v>43458</v>
      </c>
      <c r="B1172" s="491">
        <v>360.4</v>
      </c>
      <c r="C1172" s="483">
        <f t="shared" si="74"/>
        <v>2.2246941045604984E-3</v>
      </c>
      <c r="E1172" s="492">
        <v>43458</v>
      </c>
      <c r="F1172" s="493">
        <v>5300.09</v>
      </c>
      <c r="G1172" s="484">
        <f t="shared" si="75"/>
        <v>3.4685342224292093E-3</v>
      </c>
      <c r="J1172" s="483">
        <f t="shared" si="72"/>
        <v>7.8475336322869627E-3</v>
      </c>
      <c r="K1172" s="484">
        <f t="shared" si="73"/>
        <v>3.1261217288249821E-3</v>
      </c>
    </row>
    <row r="1173" spans="1:11" x14ac:dyDescent="0.35">
      <c r="A1173" s="490">
        <v>43457</v>
      </c>
      <c r="B1173" s="491">
        <v>359.6</v>
      </c>
      <c r="C1173" s="483">
        <f t="shared" si="74"/>
        <v>7.8475336322869627E-3</v>
      </c>
      <c r="E1173" s="492">
        <v>43457</v>
      </c>
      <c r="F1173" s="493">
        <v>5281.77</v>
      </c>
      <c r="G1173" s="484">
        <f t="shared" si="75"/>
        <v>3.1261217288249821E-3</v>
      </c>
      <c r="J1173" s="483">
        <f t="shared" si="72"/>
        <v>8.4151472650773051E-4</v>
      </c>
      <c r="K1173" s="484">
        <f t="shared" si="73"/>
        <v>4.3394830006713292E-3</v>
      </c>
    </row>
    <row r="1174" spans="1:11" x14ac:dyDescent="0.35">
      <c r="A1174" s="490">
        <v>43454</v>
      </c>
      <c r="B1174" s="491">
        <v>356.8</v>
      </c>
      <c r="C1174" s="483">
        <f t="shared" si="74"/>
        <v>8.4151472650773051E-4</v>
      </c>
      <c r="E1174" s="492">
        <v>43454</v>
      </c>
      <c r="F1174" s="493">
        <v>5265.31</v>
      </c>
      <c r="G1174" s="484">
        <f t="shared" si="75"/>
        <v>4.3394830006713292E-3</v>
      </c>
      <c r="J1174" s="483">
        <f t="shared" si="72"/>
        <v>-8.6206896551724865E-3</v>
      </c>
      <c r="K1174" s="484">
        <f t="shared" si="73"/>
        <v>1.7139286799310316E-3</v>
      </c>
    </row>
    <row r="1175" spans="1:11" x14ac:dyDescent="0.35">
      <c r="A1175" s="490">
        <v>43453</v>
      </c>
      <c r="B1175" s="491">
        <v>356.5</v>
      </c>
      <c r="C1175" s="483">
        <f t="shared" si="74"/>
        <v>-8.6206896551724865E-3</v>
      </c>
      <c r="E1175" s="492">
        <v>43453</v>
      </c>
      <c r="F1175" s="493">
        <v>5242.5600000000004</v>
      </c>
      <c r="G1175" s="484">
        <f t="shared" si="75"/>
        <v>1.7139286799310316E-3</v>
      </c>
      <c r="J1175" s="483">
        <f t="shared" si="72"/>
        <v>1.9504040122597655E-3</v>
      </c>
      <c r="K1175" s="484">
        <f t="shared" si="73"/>
        <v>2.9858125990558371E-3</v>
      </c>
    </row>
    <row r="1176" spans="1:11" x14ac:dyDescent="0.35">
      <c r="A1176" s="490">
        <v>43452</v>
      </c>
      <c r="B1176" s="491">
        <v>359.6</v>
      </c>
      <c r="C1176" s="483">
        <f t="shared" si="74"/>
        <v>1.9504040122597655E-3</v>
      </c>
      <c r="E1176" s="492">
        <v>43452</v>
      </c>
      <c r="F1176" s="493">
        <v>5233.59</v>
      </c>
      <c r="G1176" s="484">
        <f t="shared" si="75"/>
        <v>2.9858125990558371E-3</v>
      </c>
      <c r="J1176" s="483">
        <f t="shared" si="72"/>
        <v>7.2972214426043625E-3</v>
      </c>
      <c r="K1176" s="484">
        <f t="shared" si="73"/>
        <v>-6.2845052666058443E-3</v>
      </c>
    </row>
    <row r="1177" spans="1:11" x14ac:dyDescent="0.35">
      <c r="A1177" s="490">
        <v>43451</v>
      </c>
      <c r="B1177" s="491">
        <v>358.9</v>
      </c>
      <c r="C1177" s="483">
        <f t="shared" si="74"/>
        <v>7.2972214426043625E-3</v>
      </c>
      <c r="E1177" s="492">
        <v>43451</v>
      </c>
      <c r="F1177" s="493">
        <v>5218.01</v>
      </c>
      <c r="G1177" s="484">
        <f t="shared" si="75"/>
        <v>-6.2845052666058443E-3</v>
      </c>
      <c r="J1177" s="483">
        <f t="shared" si="72"/>
        <v>3.9447731755424265E-3</v>
      </c>
      <c r="K1177" s="484">
        <f t="shared" si="73"/>
        <v>-2.8162648314419281E-3</v>
      </c>
    </row>
    <row r="1178" spans="1:11" x14ac:dyDescent="0.35">
      <c r="A1178" s="490">
        <v>43447</v>
      </c>
      <c r="B1178" s="491">
        <v>356.3</v>
      </c>
      <c r="C1178" s="483">
        <f t="shared" si="74"/>
        <v>3.9447731755424265E-3</v>
      </c>
      <c r="E1178" s="492">
        <v>43447</v>
      </c>
      <c r="F1178" s="493">
        <v>5251.01</v>
      </c>
      <c r="G1178" s="484">
        <f t="shared" si="75"/>
        <v>-2.8162648314419281E-3</v>
      </c>
      <c r="J1178" s="483">
        <f t="shared" si="72"/>
        <v>-1.6877637130802148E-3</v>
      </c>
      <c r="K1178" s="484">
        <f t="shared" si="73"/>
        <v>-1.8802978149119465E-3</v>
      </c>
    </row>
    <row r="1179" spans="1:11" x14ac:dyDescent="0.35">
      <c r="A1179" s="490">
        <v>43446</v>
      </c>
      <c r="B1179" s="491">
        <v>354.9</v>
      </c>
      <c r="C1179" s="483">
        <f t="shared" si="74"/>
        <v>-1.6877637130802148E-3</v>
      </c>
      <c r="E1179" s="492">
        <v>43446</v>
      </c>
      <c r="F1179" s="493">
        <v>5265.84</v>
      </c>
      <c r="G1179" s="484">
        <f t="shared" si="75"/>
        <v>-1.8802978149119465E-3</v>
      </c>
      <c r="J1179" s="483">
        <f t="shared" si="72"/>
        <v>-1.1676396997497895E-2</v>
      </c>
      <c r="K1179" s="484">
        <f t="shared" si="73"/>
        <v>-3.763437814524484E-3</v>
      </c>
    </row>
    <row r="1180" spans="1:11" x14ac:dyDescent="0.35">
      <c r="A1180" s="490">
        <v>43445</v>
      </c>
      <c r="B1180" s="491">
        <v>355.5</v>
      </c>
      <c r="C1180" s="483">
        <f t="shared" si="74"/>
        <v>-1.1676396997497895E-2</v>
      </c>
      <c r="E1180" s="492">
        <v>43445</v>
      </c>
      <c r="F1180" s="493">
        <v>5275.76</v>
      </c>
      <c r="G1180" s="484">
        <f t="shared" si="75"/>
        <v>-3.763437814524484E-3</v>
      </c>
      <c r="J1180" s="483">
        <f t="shared" si="72"/>
        <v>-6.3535911602210504E-3</v>
      </c>
      <c r="K1180" s="484">
        <f t="shared" si="73"/>
        <v>-1.98446351640158E-3</v>
      </c>
    </row>
    <row r="1181" spans="1:11" x14ac:dyDescent="0.35">
      <c r="A1181" s="490">
        <v>43444</v>
      </c>
      <c r="B1181" s="491">
        <v>359.7</v>
      </c>
      <c r="C1181" s="483">
        <f t="shared" si="74"/>
        <v>-6.3535911602210504E-3</v>
      </c>
      <c r="E1181" s="492">
        <v>43444</v>
      </c>
      <c r="F1181" s="493">
        <v>5295.69</v>
      </c>
      <c r="G1181" s="484">
        <f t="shared" si="75"/>
        <v>-1.98446351640158E-3</v>
      </c>
      <c r="J1181" s="483">
        <f t="shared" si="72"/>
        <v>-2.4800220446403731E-3</v>
      </c>
      <c r="K1181" s="484">
        <f t="shared" si="73"/>
        <v>-4.9842484248424634E-3</v>
      </c>
    </row>
    <row r="1182" spans="1:11" x14ac:dyDescent="0.35">
      <c r="A1182" s="490">
        <v>43443</v>
      </c>
      <c r="B1182" s="491">
        <v>362</v>
      </c>
      <c r="C1182" s="483">
        <f t="shared" si="74"/>
        <v>-2.4800220446403731E-3</v>
      </c>
      <c r="E1182" s="492">
        <v>43443</v>
      </c>
      <c r="F1182" s="493">
        <v>5306.22</v>
      </c>
      <c r="G1182" s="484">
        <f t="shared" si="75"/>
        <v>-4.9842484248424634E-3</v>
      </c>
      <c r="J1182" s="483">
        <f t="shared" si="72"/>
        <v>5.8203991130818533E-3</v>
      </c>
      <c r="K1182" s="484">
        <f t="shared" si="73"/>
        <v>-5.2806228560875468E-3</v>
      </c>
    </row>
    <row r="1183" spans="1:11" x14ac:dyDescent="0.35">
      <c r="A1183" s="490">
        <v>43440</v>
      </c>
      <c r="B1183" s="491">
        <v>362.9</v>
      </c>
      <c r="C1183" s="483">
        <f t="shared" si="74"/>
        <v>5.8203991130818533E-3</v>
      </c>
      <c r="E1183" s="492">
        <v>43440</v>
      </c>
      <c r="F1183" s="493">
        <v>5332.8</v>
      </c>
      <c r="G1183" s="484">
        <f t="shared" si="75"/>
        <v>-5.2806228560875468E-3</v>
      </c>
      <c r="J1183" s="483">
        <f t="shared" si="72"/>
        <v>-4.4150110375275053E-3</v>
      </c>
      <c r="K1183" s="484">
        <f t="shared" si="73"/>
        <v>2.9352230507611043E-3</v>
      </c>
    </row>
    <row r="1184" spans="1:11" x14ac:dyDescent="0.35">
      <c r="A1184" s="490">
        <v>43439</v>
      </c>
      <c r="B1184" s="491">
        <v>360.8</v>
      </c>
      <c r="C1184" s="483">
        <f t="shared" si="74"/>
        <v>-4.4150110375275053E-3</v>
      </c>
      <c r="E1184" s="492">
        <v>43439</v>
      </c>
      <c r="F1184" s="493">
        <v>5361.11</v>
      </c>
      <c r="G1184" s="484">
        <f t="shared" si="75"/>
        <v>2.9352230507611043E-3</v>
      </c>
      <c r="J1184" s="483">
        <f t="shared" si="72"/>
        <v>4.991680532445697E-3</v>
      </c>
      <c r="K1184" s="484">
        <f t="shared" si="73"/>
        <v>9.2267608160028214E-3</v>
      </c>
    </row>
    <row r="1185" spans="1:11" x14ac:dyDescent="0.35">
      <c r="A1185" s="490">
        <v>43438</v>
      </c>
      <c r="B1185" s="491">
        <v>362.4</v>
      </c>
      <c r="C1185" s="483">
        <f t="shared" si="74"/>
        <v>4.991680532445697E-3</v>
      </c>
      <c r="E1185" s="492">
        <v>43438</v>
      </c>
      <c r="F1185" s="493">
        <v>5345.42</v>
      </c>
      <c r="G1185" s="484">
        <f t="shared" si="75"/>
        <v>9.2267608160028214E-3</v>
      </c>
      <c r="J1185" s="483">
        <f t="shared" si="72"/>
        <v>5.5493895671498983E-4</v>
      </c>
      <c r="K1185" s="484">
        <f t="shared" si="73"/>
        <v>1.0943607345637041E-3</v>
      </c>
    </row>
    <row r="1186" spans="1:11" x14ac:dyDescent="0.35">
      <c r="A1186" s="490">
        <v>43437</v>
      </c>
      <c r="B1186" s="491">
        <v>360.6</v>
      </c>
      <c r="C1186" s="483">
        <f t="shared" si="74"/>
        <v>5.5493895671498983E-4</v>
      </c>
      <c r="E1186" s="492">
        <v>43437</v>
      </c>
      <c r="F1186" s="493">
        <v>5296.55</v>
      </c>
      <c r="G1186" s="484">
        <f t="shared" si="75"/>
        <v>1.0943607345637041E-3</v>
      </c>
      <c r="J1186" s="483">
        <f t="shared" si="72"/>
        <v>-6.3413289219741431E-3</v>
      </c>
      <c r="K1186" s="484">
        <f t="shared" si="73"/>
        <v>1.8007100591717062E-3</v>
      </c>
    </row>
    <row r="1187" spans="1:11" x14ac:dyDescent="0.35">
      <c r="A1187" s="490">
        <v>43436</v>
      </c>
      <c r="B1187" s="491">
        <v>360.4</v>
      </c>
      <c r="C1187" s="483">
        <f t="shared" si="74"/>
        <v>-6.3413289219741431E-3</v>
      </c>
      <c r="E1187" s="492">
        <v>43436</v>
      </c>
      <c r="F1187" s="493">
        <v>5290.76</v>
      </c>
      <c r="G1187" s="484">
        <f t="shared" si="75"/>
        <v>1.8007100591717062E-3</v>
      </c>
      <c r="J1187" s="483">
        <f t="shared" si="72"/>
        <v>-1.2792596624931929E-2</v>
      </c>
      <c r="K1187" s="484">
        <f t="shared" si="73"/>
        <v>-1.0346679983052054E-3</v>
      </c>
    </row>
    <row r="1188" spans="1:11" x14ac:dyDescent="0.35">
      <c r="A1188" s="490">
        <v>43433</v>
      </c>
      <c r="B1188" s="491">
        <v>362.7</v>
      </c>
      <c r="C1188" s="483">
        <f t="shared" si="74"/>
        <v>-1.2792596624931929E-2</v>
      </c>
      <c r="E1188" s="492">
        <v>43433</v>
      </c>
      <c r="F1188" s="493">
        <v>5281.25</v>
      </c>
      <c r="G1188" s="484">
        <f t="shared" si="75"/>
        <v>-1.0346679983052054E-3</v>
      </c>
      <c r="J1188" s="483">
        <f t="shared" si="72"/>
        <v>3.8251366120218844E-3</v>
      </c>
      <c r="K1188" s="484">
        <f t="shared" si="73"/>
        <v>-3.4414034875407395E-4</v>
      </c>
    </row>
    <row r="1189" spans="1:11" x14ac:dyDescent="0.35">
      <c r="A1189" s="490">
        <v>43432</v>
      </c>
      <c r="B1189" s="491">
        <v>367.4</v>
      </c>
      <c r="C1189" s="483">
        <f t="shared" si="74"/>
        <v>3.8251366120218844E-3</v>
      </c>
      <c r="E1189" s="492">
        <v>43432</v>
      </c>
      <c r="F1189" s="493">
        <v>5286.72</v>
      </c>
      <c r="G1189" s="484">
        <f t="shared" si="75"/>
        <v>-3.4414034875407395E-4</v>
      </c>
    </row>
    <row r="1190" spans="1:11" x14ac:dyDescent="0.35">
      <c r="A1190" s="490">
        <v>43431</v>
      </c>
      <c r="B1190" s="491">
        <v>366</v>
      </c>
      <c r="C1190" s="483"/>
      <c r="E1190" s="492">
        <v>43431</v>
      </c>
      <c r="F1190" s="493">
        <v>5288.54</v>
      </c>
      <c r="G1190" s="484"/>
    </row>
  </sheetData>
  <mergeCells count="7">
    <mergeCell ref="A1:C1"/>
    <mergeCell ref="E1:G1"/>
    <mergeCell ref="R1:AA1"/>
    <mergeCell ref="R2:R5"/>
    <mergeCell ref="S2:Z5"/>
    <mergeCell ref="R6:R12"/>
    <mergeCell ref="S6:AA12"/>
  </mergeCells>
  <hyperlinks>
    <hyperlink ref="N37" r:id="rId1" xr:uid="{E9E21BCF-5283-4B9C-B550-41F580C8C15E}"/>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63BDB-D94C-4AA3-AB5F-8F79D2F5936C}">
  <dimension ref="A1:V29"/>
  <sheetViews>
    <sheetView topLeftCell="A7" zoomScale="69" workbookViewId="0">
      <selection activeCell="N3" sqref="N3"/>
    </sheetView>
  </sheetViews>
  <sheetFormatPr defaultRowHeight="14.5" x14ac:dyDescent="0.35"/>
  <cols>
    <col min="1" max="6" width="8.7265625" style="299"/>
    <col min="7" max="7" width="13.7265625" style="299" bestFit="1" customWidth="1"/>
    <col min="8" max="16384" width="8.7265625" style="299"/>
  </cols>
  <sheetData>
    <row r="1" spans="1:22" ht="24" thickBot="1" x14ac:dyDescent="0.6">
      <c r="A1" s="507" t="s">
        <v>441</v>
      </c>
      <c r="B1" s="508"/>
      <c r="C1" s="508"/>
      <c r="D1" s="508"/>
      <c r="E1" s="509"/>
      <c r="F1" s="510" t="s">
        <v>442</v>
      </c>
      <c r="G1" s="510"/>
      <c r="H1" s="510"/>
      <c r="I1" s="510"/>
      <c r="Q1" s="511" t="s">
        <v>443</v>
      </c>
      <c r="R1" s="512"/>
      <c r="S1" s="512"/>
      <c r="T1" s="512"/>
      <c r="U1" s="512"/>
      <c r="V1" s="513"/>
    </row>
    <row r="2" spans="1:22" s="518" customFormat="1" ht="44" thickTop="1" x14ac:dyDescent="0.35">
      <c r="A2" s="514" t="s">
        <v>219</v>
      </c>
      <c r="B2" s="514" t="s">
        <v>444</v>
      </c>
      <c r="C2" s="514" t="s">
        <v>423</v>
      </c>
      <c r="D2" s="514"/>
      <c r="E2" s="515"/>
      <c r="F2" s="516" t="s">
        <v>219</v>
      </c>
      <c r="G2" s="517" t="s">
        <v>445</v>
      </c>
      <c r="H2" s="516" t="s">
        <v>423</v>
      </c>
      <c r="I2" s="517" t="s">
        <v>446</v>
      </c>
      <c r="Q2" s="519"/>
      <c r="R2" s="520"/>
      <c r="S2" s="520"/>
      <c r="T2" s="520"/>
      <c r="U2" s="520"/>
      <c r="V2" s="521"/>
    </row>
    <row r="3" spans="1:22" x14ac:dyDescent="0.35">
      <c r="A3" s="522">
        <v>2005</v>
      </c>
      <c r="B3" s="523">
        <v>1630.91</v>
      </c>
      <c r="C3" s="524"/>
      <c r="D3" s="524"/>
      <c r="E3" s="525"/>
      <c r="F3" s="526">
        <v>2005</v>
      </c>
      <c r="G3" s="527">
        <v>222000</v>
      </c>
      <c r="H3" s="526"/>
      <c r="I3" s="526"/>
      <c r="Q3" s="519"/>
      <c r="R3" s="520"/>
      <c r="S3" s="520"/>
      <c r="T3" s="520"/>
      <c r="U3" s="520"/>
      <c r="V3" s="521"/>
    </row>
    <row r="4" spans="1:22" ht="15" thickBot="1" x14ac:dyDescent="0.4">
      <c r="A4" s="522">
        <v>2006</v>
      </c>
      <c r="B4" s="523">
        <v>1564.94</v>
      </c>
      <c r="C4" s="528">
        <f>(B4/B3)-1</f>
        <v>-4.0449810228645355E-2</v>
      </c>
      <c r="D4" s="528">
        <f>C4+1</f>
        <v>0.95955018977135464</v>
      </c>
      <c r="E4" s="525"/>
      <c r="F4" s="526">
        <v>2006</v>
      </c>
      <c r="G4" s="527">
        <v>323368</v>
      </c>
      <c r="H4" s="529">
        <f>(G4/G3)-1</f>
        <v>0.45661261261261266</v>
      </c>
      <c r="I4" s="529">
        <f>H4+1</f>
        <v>1.4566126126126127</v>
      </c>
      <c r="Q4" s="530"/>
      <c r="V4" s="531"/>
    </row>
    <row r="5" spans="1:22" ht="15" thickBot="1" x14ac:dyDescent="0.4">
      <c r="A5" s="522">
        <v>2007</v>
      </c>
      <c r="B5" s="523">
        <v>2933.67</v>
      </c>
      <c r="C5" s="528">
        <f t="shared" ref="C5:C23" si="0">(B5/B4)-1</f>
        <v>0.8746213912354468</v>
      </c>
      <c r="D5" s="528">
        <f t="shared" ref="D5:D23" si="1">C5+1</f>
        <v>1.8746213912354468</v>
      </c>
      <c r="E5" s="525"/>
      <c r="F5" s="526">
        <v>2007</v>
      </c>
      <c r="G5" s="527">
        <v>753955</v>
      </c>
      <c r="H5" s="529">
        <f t="shared" ref="H5:H23" si="2">(G5/G4)-1</f>
        <v>1.3315696049083399</v>
      </c>
      <c r="I5" s="529">
        <f t="shared" ref="I5:I23" si="3">H5+1</f>
        <v>2.3315696049083399</v>
      </c>
      <c r="L5" s="656" t="s">
        <v>447</v>
      </c>
      <c r="M5" s="657"/>
      <c r="N5" s="658"/>
      <c r="Q5" s="519" t="s">
        <v>448</v>
      </c>
      <c r="R5" s="520"/>
      <c r="S5" s="520"/>
      <c r="T5" s="520"/>
      <c r="U5" s="520"/>
      <c r="V5" s="521"/>
    </row>
    <row r="6" spans="1:22" x14ac:dyDescent="0.35">
      <c r="A6" s="522">
        <v>2008</v>
      </c>
      <c r="B6" s="523">
        <v>2717.94</v>
      </c>
      <c r="C6" s="528">
        <f t="shared" si="0"/>
        <v>-7.353587826851693E-2</v>
      </c>
      <c r="D6" s="528">
        <f t="shared" si="1"/>
        <v>0.92646412173148307</v>
      </c>
      <c r="E6" s="525"/>
      <c r="F6" s="526">
        <v>2008</v>
      </c>
      <c r="G6" s="527">
        <v>1059530</v>
      </c>
      <c r="H6" s="529">
        <f t="shared" si="2"/>
        <v>0.40529607204674023</v>
      </c>
      <c r="I6" s="529">
        <f t="shared" si="3"/>
        <v>1.4052960720467402</v>
      </c>
      <c r="J6" s="30"/>
      <c r="L6" s="532" t="s">
        <v>449</v>
      </c>
      <c r="M6" s="533"/>
      <c r="N6" s="534">
        <f>M14</f>
        <v>0.14200259368030532</v>
      </c>
      <c r="Q6" s="519"/>
      <c r="R6" s="520"/>
      <c r="S6" s="520"/>
      <c r="T6" s="520"/>
      <c r="U6" s="520"/>
      <c r="V6" s="521"/>
    </row>
    <row r="7" spans="1:22" x14ac:dyDescent="0.35">
      <c r="A7" s="522">
        <v>2009</v>
      </c>
      <c r="B7" s="523">
        <v>4409.9399999999996</v>
      </c>
      <c r="C7" s="528">
        <f t="shared" si="0"/>
        <v>0.62253029868208998</v>
      </c>
      <c r="D7" s="528">
        <f t="shared" si="1"/>
        <v>1.62253029868209</v>
      </c>
      <c r="E7" s="525"/>
      <c r="F7" s="526">
        <v>2009</v>
      </c>
      <c r="G7" s="527">
        <v>1887177</v>
      </c>
      <c r="H7" s="529">
        <f t="shared" si="2"/>
        <v>0.7811454135324154</v>
      </c>
      <c r="I7" s="529">
        <f t="shared" si="3"/>
        <v>1.7811454135324154</v>
      </c>
      <c r="L7" s="535" t="s">
        <v>450</v>
      </c>
      <c r="M7" s="536"/>
      <c r="N7" s="534">
        <f>(0.09689+0.12)/2</f>
        <v>0.108445</v>
      </c>
      <c r="Q7" s="519"/>
      <c r="R7" s="520"/>
      <c r="S7" s="520"/>
      <c r="T7" s="520"/>
      <c r="U7" s="520"/>
      <c r="V7" s="521"/>
    </row>
    <row r="8" spans="1:22" x14ac:dyDescent="0.35">
      <c r="A8" s="522">
        <v>2010</v>
      </c>
      <c r="B8" s="523">
        <v>8060.85</v>
      </c>
      <c r="C8" s="528">
        <f t="shared" si="0"/>
        <v>0.82788201200016354</v>
      </c>
      <c r="D8" s="528">
        <f t="shared" si="1"/>
        <v>1.8278820120001635</v>
      </c>
      <c r="E8" s="525"/>
      <c r="F8" s="526">
        <v>2010</v>
      </c>
      <c r="G8" s="527">
        <v>3471109</v>
      </c>
      <c r="H8" s="529">
        <f t="shared" si="2"/>
        <v>0.83931289963792488</v>
      </c>
      <c r="I8" s="529">
        <f t="shared" si="3"/>
        <v>1.8393128996379249</v>
      </c>
      <c r="L8" s="535" t="s">
        <v>451</v>
      </c>
      <c r="M8" s="536"/>
      <c r="N8" s="537">
        <f>'[2]Return (Daily)'!N5</f>
        <v>0.85102811460885219</v>
      </c>
      <c r="Q8" s="519"/>
      <c r="R8" s="520"/>
      <c r="S8" s="520"/>
      <c r="T8" s="520"/>
      <c r="U8" s="520"/>
      <c r="V8" s="521"/>
    </row>
    <row r="9" spans="1:22" ht="15" thickBot="1" x14ac:dyDescent="0.4">
      <c r="A9" s="522">
        <v>2011</v>
      </c>
      <c r="B9" s="523">
        <v>5112.03</v>
      </c>
      <c r="C9" s="528">
        <f t="shared" si="0"/>
        <v>-0.36581998176370989</v>
      </c>
      <c r="D9" s="528">
        <f t="shared" si="1"/>
        <v>0.63418001823629011</v>
      </c>
      <c r="E9" s="525"/>
      <c r="F9" s="526">
        <v>2011</v>
      </c>
      <c r="G9" s="527">
        <v>2327000</v>
      </c>
      <c r="H9" s="529">
        <f t="shared" si="2"/>
        <v>-0.3296090673038502</v>
      </c>
      <c r="I9" s="529">
        <f t="shared" si="3"/>
        <v>0.6703909326961498</v>
      </c>
      <c r="L9" s="538" t="s">
        <v>452</v>
      </c>
      <c r="M9" s="539"/>
      <c r="N9" s="659">
        <f>N7+N8*(N6-N7)</f>
        <v>0.13700345568056016</v>
      </c>
      <c r="Q9" s="519"/>
      <c r="R9" s="520"/>
      <c r="S9" s="520"/>
      <c r="T9" s="520"/>
      <c r="U9" s="520"/>
      <c r="V9" s="521"/>
    </row>
    <row r="10" spans="1:22" ht="15" thickBot="1" x14ac:dyDescent="0.4">
      <c r="A10" s="522">
        <v>2012</v>
      </c>
      <c r="B10" s="523">
        <v>4102.4799999999996</v>
      </c>
      <c r="C10" s="528">
        <f t="shared" si="0"/>
        <v>-0.19748514777886672</v>
      </c>
      <c r="D10" s="528">
        <f t="shared" si="1"/>
        <v>0.80251485222113328</v>
      </c>
      <c r="E10" s="525"/>
      <c r="F10" s="526">
        <v>2012</v>
      </c>
      <c r="G10" s="527">
        <v>1933500</v>
      </c>
      <c r="H10" s="529">
        <f t="shared" si="2"/>
        <v>-0.16910184787279758</v>
      </c>
      <c r="I10" s="529">
        <f t="shared" si="3"/>
        <v>0.83089815212720242</v>
      </c>
      <c r="Q10" s="530"/>
      <c r="V10" s="531"/>
    </row>
    <row r="11" spans="1:22" ht="15" thickBot="1" x14ac:dyDescent="0.4">
      <c r="A11" s="522">
        <v>2013</v>
      </c>
      <c r="B11" s="523">
        <v>4266.55</v>
      </c>
      <c r="C11" s="528">
        <f t="shared" si="0"/>
        <v>3.9992882354088488E-2</v>
      </c>
      <c r="D11" s="528">
        <f t="shared" si="1"/>
        <v>1.0399928823540885</v>
      </c>
      <c r="E11" s="525"/>
      <c r="F11" s="526">
        <v>2013</v>
      </c>
      <c r="G11" s="527">
        <v>1977400</v>
      </c>
      <c r="H11" s="529">
        <f t="shared" si="2"/>
        <v>2.2704939229376775E-2</v>
      </c>
      <c r="I11" s="529">
        <f t="shared" si="3"/>
        <v>1.0227049392293768</v>
      </c>
      <c r="K11" s="540" t="s">
        <v>453</v>
      </c>
      <c r="L11" s="541"/>
      <c r="M11" s="542"/>
      <c r="N11" s="542"/>
      <c r="O11" s="543"/>
      <c r="P11" s="24"/>
      <c r="Q11" s="519" t="s">
        <v>454</v>
      </c>
      <c r="R11" s="520"/>
      <c r="S11" s="520"/>
      <c r="T11" s="520"/>
      <c r="U11" s="520"/>
      <c r="V11" s="521"/>
    </row>
    <row r="12" spans="1:22" ht="15" thickBot="1" x14ac:dyDescent="0.4">
      <c r="A12" s="522">
        <v>2014</v>
      </c>
      <c r="B12" s="523">
        <v>4864.96</v>
      </c>
      <c r="C12" s="528">
        <f t="shared" si="0"/>
        <v>0.14025617887989128</v>
      </c>
      <c r="D12" s="528">
        <f t="shared" si="1"/>
        <v>1.1402561788798913</v>
      </c>
      <c r="E12" s="525"/>
      <c r="F12" s="526">
        <v>2014</v>
      </c>
      <c r="G12" s="527">
        <v>2694448</v>
      </c>
      <c r="H12" s="529">
        <f t="shared" si="2"/>
        <v>0.36262162435521383</v>
      </c>
      <c r="I12" s="529">
        <f t="shared" si="3"/>
        <v>1.3626216243552138</v>
      </c>
      <c r="K12" s="540" t="s">
        <v>455</v>
      </c>
      <c r="L12" s="544"/>
      <c r="M12" s="545">
        <f>GEOMEAN(I3:I23)-1</f>
        <v>0.18549202993402281</v>
      </c>
      <c r="N12" s="545"/>
      <c r="O12" s="546"/>
      <c r="Q12" s="519"/>
      <c r="R12" s="520"/>
      <c r="S12" s="520"/>
      <c r="T12" s="520"/>
      <c r="U12" s="520"/>
      <c r="V12" s="521"/>
    </row>
    <row r="13" spans="1:22" s="554" customFormat="1" ht="31.5" customHeight="1" thickBot="1" x14ac:dyDescent="0.4">
      <c r="A13" s="547">
        <v>2015</v>
      </c>
      <c r="B13" s="548">
        <v>4629.6400000000003</v>
      </c>
      <c r="C13" s="549">
        <f t="shared" si="0"/>
        <v>-4.8370387423534722E-2</v>
      </c>
      <c r="D13" s="549">
        <f t="shared" si="1"/>
        <v>0.95162961257646528</v>
      </c>
      <c r="E13" s="550"/>
      <c r="F13" s="551">
        <v>2015</v>
      </c>
      <c r="G13" s="552">
        <v>2607793</v>
      </c>
      <c r="H13" s="553">
        <f t="shared" si="2"/>
        <v>-3.2160576118002604E-2</v>
      </c>
      <c r="I13" s="553">
        <f t="shared" si="3"/>
        <v>0.9678394238819974</v>
      </c>
      <c r="K13" s="555" t="s">
        <v>456</v>
      </c>
      <c r="L13" s="556"/>
      <c r="M13" s="557">
        <f>GEOMEAN(I14:I23)-1</f>
        <v>9.8513157426587838E-2</v>
      </c>
      <c r="N13" s="558"/>
      <c r="O13" s="556"/>
      <c r="Q13" s="519"/>
      <c r="R13" s="520"/>
      <c r="S13" s="520"/>
      <c r="T13" s="520"/>
      <c r="U13" s="520"/>
      <c r="V13" s="521"/>
    </row>
    <row r="14" spans="1:22" ht="15" thickBot="1" x14ac:dyDescent="0.4">
      <c r="A14" s="522">
        <v>2016</v>
      </c>
      <c r="B14" s="523">
        <v>5036.05</v>
      </c>
      <c r="C14" s="528">
        <f t="shared" si="0"/>
        <v>8.7784363363025975E-2</v>
      </c>
      <c r="D14" s="528">
        <f t="shared" si="1"/>
        <v>1.087784363363026</v>
      </c>
      <c r="E14" s="525"/>
      <c r="F14" s="526">
        <v>2016</v>
      </c>
      <c r="G14" s="527">
        <v>3186000</v>
      </c>
      <c r="H14" s="529">
        <f t="shared" si="2"/>
        <v>0.2217227364288501</v>
      </c>
      <c r="I14" s="529">
        <f t="shared" si="3"/>
        <v>1.2217227364288501</v>
      </c>
      <c r="K14" s="559" t="s">
        <v>457</v>
      </c>
      <c r="L14" s="560"/>
      <c r="M14" s="653">
        <f>AVERAGE(M12,M13)</f>
        <v>0.14200259368030532</v>
      </c>
      <c r="N14" s="654"/>
      <c r="O14" s="655"/>
      <c r="Q14" s="519"/>
      <c r="R14" s="520"/>
      <c r="S14" s="520"/>
      <c r="T14" s="520"/>
      <c r="U14" s="520"/>
      <c r="V14" s="521"/>
    </row>
    <row r="15" spans="1:22" x14ac:dyDescent="0.35">
      <c r="A15" s="522">
        <v>2017</v>
      </c>
      <c r="B15" s="523">
        <v>6244.52</v>
      </c>
      <c r="C15" s="528">
        <f t="shared" si="0"/>
        <v>0.23996386056532404</v>
      </c>
      <c r="D15" s="528">
        <f t="shared" si="1"/>
        <v>1.239963860565324</v>
      </c>
      <c r="E15" s="525"/>
      <c r="F15" s="526">
        <v>2017</v>
      </c>
      <c r="G15" s="527">
        <v>3801000</v>
      </c>
      <c r="H15" s="529">
        <f t="shared" si="2"/>
        <v>0.19303201506591328</v>
      </c>
      <c r="I15" s="529">
        <f t="shared" si="3"/>
        <v>1.1930320150659133</v>
      </c>
      <c r="Q15" s="519"/>
      <c r="R15" s="520"/>
      <c r="S15" s="520"/>
      <c r="T15" s="520"/>
      <c r="U15" s="520"/>
      <c r="V15" s="521"/>
    </row>
    <row r="16" spans="1:22" x14ac:dyDescent="0.35">
      <c r="A16" s="522">
        <v>2018</v>
      </c>
      <c r="B16" s="523">
        <v>5385.64</v>
      </c>
      <c r="C16" s="528">
        <f t="shared" si="0"/>
        <v>-0.1375413962962726</v>
      </c>
      <c r="D16" s="528">
        <f t="shared" si="1"/>
        <v>0.8624586037037274</v>
      </c>
      <c r="E16" s="525"/>
      <c r="F16" s="526">
        <v>2018</v>
      </c>
      <c r="G16" s="527">
        <v>3847000</v>
      </c>
      <c r="H16" s="529">
        <f t="shared" si="2"/>
        <v>1.2102078400420879E-2</v>
      </c>
      <c r="I16" s="529">
        <f>H16+1</f>
        <v>1.0121020784004209</v>
      </c>
      <c r="Q16" s="530"/>
      <c r="V16" s="531"/>
    </row>
    <row r="17" spans="1:22" ht="15" customHeight="1" x14ac:dyDescent="0.35">
      <c r="A17" s="522">
        <v>2019</v>
      </c>
      <c r="B17" s="523">
        <v>4452.93</v>
      </c>
      <c r="C17" s="528">
        <f t="shared" si="0"/>
        <v>-0.17318461687004705</v>
      </c>
      <c r="D17" s="528">
        <f t="shared" si="1"/>
        <v>0.82681538312995295</v>
      </c>
      <c r="E17" s="525"/>
      <c r="F17" s="526">
        <v>2019</v>
      </c>
      <c r="G17" s="527">
        <v>3998000</v>
      </c>
      <c r="H17" s="529">
        <f t="shared" si="2"/>
        <v>3.9251364699766089E-2</v>
      </c>
      <c r="I17" s="529">
        <f t="shared" si="3"/>
        <v>1.0392513646997661</v>
      </c>
      <c r="Q17" s="561" t="s">
        <v>458</v>
      </c>
      <c r="R17" s="562"/>
      <c r="S17" s="562"/>
      <c r="T17" s="562"/>
      <c r="U17" s="562"/>
      <c r="V17" s="563"/>
    </row>
    <row r="18" spans="1:22" x14ac:dyDescent="0.35">
      <c r="A18" s="522">
        <v>2020</v>
      </c>
      <c r="B18" s="523">
        <v>5402.07</v>
      </c>
      <c r="C18" s="528">
        <f t="shared" si="0"/>
        <v>0.21314954423267363</v>
      </c>
      <c r="D18" s="528">
        <f t="shared" si="1"/>
        <v>1.2131495442326736</v>
      </c>
      <c r="E18" s="525"/>
      <c r="F18" s="526">
        <v>2020</v>
      </c>
      <c r="G18" s="527">
        <v>3120000</v>
      </c>
      <c r="H18" s="529">
        <f t="shared" si="2"/>
        <v>-0.21960980490245119</v>
      </c>
      <c r="I18" s="529">
        <f t="shared" si="3"/>
        <v>0.78039019509754881</v>
      </c>
      <c r="Q18" s="561"/>
      <c r="R18" s="562"/>
      <c r="S18" s="562"/>
      <c r="T18" s="562"/>
      <c r="U18" s="562"/>
      <c r="V18" s="563"/>
    </row>
    <row r="19" spans="1:22" x14ac:dyDescent="0.35">
      <c r="A19" s="522">
        <v>2021</v>
      </c>
      <c r="B19" s="523">
        <v>6756.66</v>
      </c>
      <c r="C19" s="528">
        <f t="shared" si="0"/>
        <v>0.25075387768022273</v>
      </c>
      <c r="D19" s="528">
        <f t="shared" si="1"/>
        <v>1.2507538776802227</v>
      </c>
      <c r="E19" s="525"/>
      <c r="F19" s="526">
        <v>2021</v>
      </c>
      <c r="G19" s="527">
        <v>5142800</v>
      </c>
      <c r="H19" s="529">
        <f t="shared" si="2"/>
        <v>0.64833333333333343</v>
      </c>
      <c r="I19" s="529">
        <f t="shared" si="3"/>
        <v>1.6483333333333334</v>
      </c>
      <c r="Q19" s="561"/>
      <c r="R19" s="562"/>
      <c r="S19" s="562"/>
      <c r="T19" s="562"/>
      <c r="U19" s="562"/>
      <c r="V19" s="563"/>
    </row>
    <row r="20" spans="1:22" x14ac:dyDescent="0.35">
      <c r="A20" s="564">
        <v>2022</v>
      </c>
      <c r="B20" s="565">
        <v>6206.81</v>
      </c>
      <c r="C20" s="528">
        <f t="shared" si="0"/>
        <v>-8.1378965346783683E-2</v>
      </c>
      <c r="D20" s="528">
        <f t="shared" si="1"/>
        <v>0.91862103465321632</v>
      </c>
      <c r="E20" s="525"/>
      <c r="F20" s="526">
        <v>2022</v>
      </c>
      <c r="G20" s="527">
        <v>5177816</v>
      </c>
      <c r="H20" s="529">
        <f>(G20/G19)-1</f>
        <v>6.808742319359018E-3</v>
      </c>
      <c r="I20" s="529">
        <f t="shared" si="3"/>
        <v>1.006808742319359</v>
      </c>
      <c r="Q20" s="561"/>
      <c r="R20" s="562"/>
      <c r="S20" s="562"/>
      <c r="T20" s="562"/>
      <c r="U20" s="562"/>
      <c r="V20" s="563"/>
    </row>
    <row r="21" spans="1:22" ht="15" thickBot="1" x14ac:dyDescent="0.4">
      <c r="A21" s="566">
        <v>2023</v>
      </c>
      <c r="B21" s="567">
        <v>6246.5</v>
      </c>
      <c r="C21" s="528">
        <f t="shared" si="0"/>
        <v>6.3945891689933809E-3</v>
      </c>
      <c r="D21" s="528">
        <f t="shared" si="1"/>
        <v>1.0063945891689934</v>
      </c>
      <c r="E21" s="525"/>
      <c r="F21" s="568">
        <v>2023</v>
      </c>
      <c r="G21" s="569">
        <v>7720780</v>
      </c>
      <c r="H21" s="529">
        <f t="shared" si="2"/>
        <v>0.49112676078099327</v>
      </c>
      <c r="I21" s="529">
        <f t="shared" si="3"/>
        <v>1.4911267607809933</v>
      </c>
      <c r="Q21" s="570"/>
      <c r="R21" s="571"/>
      <c r="S21" s="571"/>
      <c r="T21" s="571"/>
      <c r="U21" s="571"/>
      <c r="V21" s="572"/>
    </row>
    <row r="22" spans="1:22" x14ac:dyDescent="0.35">
      <c r="A22" s="566">
        <v>2024</v>
      </c>
      <c r="B22" s="567">
        <v>5216.4399999999996</v>
      </c>
      <c r="C22" s="528">
        <f t="shared" si="0"/>
        <v>-0.16490194508925005</v>
      </c>
      <c r="D22" s="528">
        <f t="shared" si="1"/>
        <v>0.83509805491074995</v>
      </c>
      <c r="E22" s="525"/>
      <c r="F22" s="568">
        <v>2024</v>
      </c>
      <c r="G22" s="569">
        <v>6621673</v>
      </c>
      <c r="H22" s="529">
        <f>(G22/G21)-1</f>
        <v>-0.14235698983781431</v>
      </c>
      <c r="I22" s="529">
        <f t="shared" si="3"/>
        <v>0.85764301016218569</v>
      </c>
    </row>
    <row r="23" spans="1:22" x14ac:dyDescent="0.35">
      <c r="A23" s="566">
        <v>2025</v>
      </c>
      <c r="B23" s="567">
        <v>4914.72</v>
      </c>
      <c r="C23" s="528">
        <f t="shared" si="0"/>
        <v>-5.7840212865479024E-2</v>
      </c>
      <c r="D23" s="528">
        <f t="shared" si="1"/>
        <v>0.94215978713452098</v>
      </c>
      <c r="E23" s="525"/>
      <c r="F23" s="568">
        <v>2025</v>
      </c>
      <c r="G23" s="569">
        <v>6673071</v>
      </c>
      <c r="H23" s="529">
        <f t="shared" si="2"/>
        <v>7.7620867113190606E-3</v>
      </c>
      <c r="I23" s="529">
        <f t="shared" si="3"/>
        <v>1.0077620867113191</v>
      </c>
    </row>
    <row r="24" spans="1:22" x14ac:dyDescent="0.35">
      <c r="A24" s="509"/>
      <c r="B24" s="509"/>
      <c r="C24" s="509"/>
      <c r="D24" s="509"/>
      <c r="E24" s="509"/>
      <c r="F24" s="509"/>
      <c r="G24" s="509"/>
      <c r="H24" s="509"/>
      <c r="I24" s="509"/>
    </row>
    <row r="25" spans="1:22" x14ac:dyDescent="0.35">
      <c r="B25" s="573"/>
    </row>
    <row r="26" spans="1:22" ht="15" thickBot="1" x14ac:dyDescent="0.4"/>
    <row r="27" spans="1:22" s="578" customFormat="1" ht="15" thickBot="1" x14ac:dyDescent="0.4">
      <c r="A27" s="574" t="s">
        <v>459</v>
      </c>
      <c r="B27" s="575"/>
      <c r="C27" s="576"/>
      <c r="D27" s="576"/>
      <c r="E27" s="577"/>
    </row>
    <row r="28" spans="1:22" s="578" customFormat="1" ht="15" thickBot="1" x14ac:dyDescent="0.4">
      <c r="A28" s="579" t="s">
        <v>449</v>
      </c>
      <c r="B28" s="577"/>
      <c r="C28" s="651">
        <f>GEOMEAN(D4:D23)-1</f>
        <v>5.670421375656054E-2</v>
      </c>
      <c r="D28" s="651"/>
      <c r="E28" s="652"/>
    </row>
    <row r="29" spans="1:22" x14ac:dyDescent="0.35">
      <c r="A29" s="509"/>
      <c r="B29" s="509"/>
      <c r="C29" s="509"/>
    </row>
  </sheetData>
  <mergeCells count="21">
    <mergeCell ref="Q17:V21"/>
    <mergeCell ref="A27:E27"/>
    <mergeCell ref="A28:B28"/>
    <mergeCell ref="C28:E28"/>
    <mergeCell ref="K11:O11"/>
    <mergeCell ref="Q11:V15"/>
    <mergeCell ref="K12:L12"/>
    <mergeCell ref="M12:O12"/>
    <mergeCell ref="K13:L13"/>
    <mergeCell ref="M13:O13"/>
    <mergeCell ref="K14:L14"/>
    <mergeCell ref="M14:O14"/>
    <mergeCell ref="A1:D1"/>
    <mergeCell ref="F1:I1"/>
    <mergeCell ref="Q1:V3"/>
    <mergeCell ref="L5:N5"/>
    <mergeCell ref="Q5:V9"/>
    <mergeCell ref="L6:M6"/>
    <mergeCell ref="L7:M7"/>
    <mergeCell ref="L8:M8"/>
    <mergeCell ref="L9:M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A0339-F651-4AB5-A0A9-3ED67774A002}">
  <dimension ref="A1:G32"/>
  <sheetViews>
    <sheetView zoomScale="69" workbookViewId="0">
      <selection activeCell="B11" sqref="B11"/>
    </sheetView>
  </sheetViews>
  <sheetFormatPr defaultRowHeight="14.5" x14ac:dyDescent="0.35"/>
  <cols>
    <col min="1" max="1" width="11.54296875" style="26" customWidth="1"/>
    <col min="2" max="2" width="17" style="26" bestFit="1" customWidth="1"/>
    <col min="3" max="3" width="13.54296875" style="26" bestFit="1" customWidth="1"/>
    <col min="4" max="5" width="8.7265625" style="299"/>
    <col min="6" max="6" width="20.1796875" style="299" customWidth="1"/>
    <col min="7" max="16384" width="8.7265625" style="299"/>
  </cols>
  <sheetData>
    <row r="1" spans="1:7" ht="19" thickBot="1" x14ac:dyDescent="0.5">
      <c r="A1" s="669" t="s">
        <v>460</v>
      </c>
      <c r="B1" s="670"/>
      <c r="C1" s="670"/>
      <c r="D1" s="670"/>
      <c r="E1" s="671"/>
    </row>
    <row r="2" spans="1:7" s="125" customFormat="1" ht="15.5" x14ac:dyDescent="0.35">
      <c r="A2" s="580" t="s">
        <v>219</v>
      </c>
      <c r="B2" s="581" t="s">
        <v>218</v>
      </c>
      <c r="C2" s="582" t="s">
        <v>217</v>
      </c>
      <c r="E2" s="25"/>
      <c r="F2" s="25"/>
      <c r="G2" s="25"/>
    </row>
    <row r="3" spans="1:7" x14ac:dyDescent="0.35">
      <c r="A3" s="583">
        <v>2018</v>
      </c>
      <c r="B3" s="177">
        <v>30381750</v>
      </c>
      <c r="C3" s="584"/>
      <c r="F3" s="30"/>
      <c r="G3" s="585"/>
    </row>
    <row r="4" spans="1:7" x14ac:dyDescent="0.35">
      <c r="A4" s="583">
        <v>2019</v>
      </c>
      <c r="B4" s="177">
        <v>26301675</v>
      </c>
      <c r="C4" s="584">
        <f>(B4/B3)-1</f>
        <v>-0.13429361376484239</v>
      </c>
      <c r="F4" s="585"/>
      <c r="G4" s="585"/>
    </row>
    <row r="5" spans="1:7" x14ac:dyDescent="0.35">
      <c r="A5" s="583">
        <v>2020</v>
      </c>
      <c r="B5" s="177">
        <v>28110077</v>
      </c>
      <c r="C5" s="584">
        <f t="shared" ref="C5:C9" si="0">(B5/B4)-1</f>
        <v>6.8756153362856232E-2</v>
      </c>
      <c r="F5" s="585"/>
      <c r="G5" s="585"/>
    </row>
    <row r="6" spans="1:7" x14ac:dyDescent="0.35">
      <c r="A6" s="583">
        <v>2021</v>
      </c>
      <c r="B6" s="177">
        <v>33058662</v>
      </c>
      <c r="C6" s="584">
        <f t="shared" si="0"/>
        <v>0.17604309657351713</v>
      </c>
      <c r="F6" s="30"/>
      <c r="G6" s="585"/>
    </row>
    <row r="7" spans="1:7" x14ac:dyDescent="0.35">
      <c r="A7" s="583">
        <v>2022</v>
      </c>
      <c r="B7" s="177">
        <v>33584032</v>
      </c>
      <c r="C7" s="584">
        <f t="shared" si="0"/>
        <v>1.5892052739460594E-2</v>
      </c>
      <c r="F7" s="30"/>
      <c r="G7" s="585"/>
    </row>
    <row r="8" spans="1:7" x14ac:dyDescent="0.35">
      <c r="A8" s="583">
        <v>2023</v>
      </c>
      <c r="B8" s="177">
        <v>9093155</v>
      </c>
      <c r="C8" s="584">
        <f t="shared" si="0"/>
        <v>-0.72924171225182255</v>
      </c>
      <c r="F8" s="30"/>
      <c r="G8" s="585"/>
    </row>
    <row r="9" spans="1:7" ht="15" thickBot="1" x14ac:dyDescent="0.4">
      <c r="A9" s="586">
        <v>2024</v>
      </c>
      <c r="B9" s="587">
        <v>42317213</v>
      </c>
      <c r="C9" s="584">
        <f t="shared" si="0"/>
        <v>3.6537437226133287</v>
      </c>
    </row>
    <row r="11" spans="1:7" x14ac:dyDescent="0.35">
      <c r="A11" s="588" t="s">
        <v>216</v>
      </c>
      <c r="B11" s="649">
        <f>((B9/B3)^(1/7))-1</f>
        <v>4.8474211902413744E-2</v>
      </c>
    </row>
    <row r="12" spans="1:7" ht="43.5" x14ac:dyDescent="0.35">
      <c r="A12" s="589" t="s">
        <v>215</v>
      </c>
      <c r="B12" s="590">
        <v>279</v>
      </c>
    </row>
    <row r="13" spans="1:7" ht="43.5" x14ac:dyDescent="0.35">
      <c r="A13" s="589" t="s">
        <v>214</v>
      </c>
      <c r="B13" s="590">
        <v>33</v>
      </c>
    </row>
    <row r="14" spans="1:7" ht="44" thickBot="1" x14ac:dyDescent="0.4">
      <c r="A14" s="591" t="s">
        <v>213</v>
      </c>
      <c r="B14" s="592">
        <f>B13*(1+B11)</f>
        <v>34.599648992779656</v>
      </c>
    </row>
    <row r="15" spans="1:7" ht="15" thickBot="1" x14ac:dyDescent="0.4">
      <c r="A15" s="593" t="s">
        <v>461</v>
      </c>
      <c r="B15" s="650">
        <f>(B14/B12)+B11</f>
        <v>0.17248729072958097</v>
      </c>
    </row>
    <row r="21" spans="1:3" ht="15" customHeight="1" x14ac:dyDescent="0.35">
      <c r="A21" s="299" t="s">
        <v>462</v>
      </c>
      <c r="B21" s="299"/>
      <c r="C21" s="299"/>
    </row>
    <row r="22" spans="1:3" x14ac:dyDescent="0.35">
      <c r="A22" s="299" t="s">
        <v>463</v>
      </c>
      <c r="B22" s="299"/>
      <c r="C22" s="299"/>
    </row>
    <row r="23" spans="1:3" x14ac:dyDescent="0.35">
      <c r="A23" s="299" t="s">
        <v>464</v>
      </c>
      <c r="B23" s="299"/>
      <c r="C23" s="299"/>
    </row>
    <row r="24" spans="1:3" x14ac:dyDescent="0.35">
      <c r="A24" s="299" t="s">
        <v>465</v>
      </c>
      <c r="B24" s="299"/>
      <c r="C24" s="299"/>
    </row>
    <row r="25" spans="1:3" x14ac:dyDescent="0.35">
      <c r="A25" s="299" t="s">
        <v>466</v>
      </c>
      <c r="B25" s="299"/>
      <c r="C25" s="299"/>
    </row>
    <row r="26" spans="1:3" x14ac:dyDescent="0.35">
      <c r="A26" s="299" t="s">
        <v>467</v>
      </c>
      <c r="B26" s="299"/>
      <c r="C26" s="299"/>
    </row>
    <row r="27" spans="1:3" x14ac:dyDescent="0.35">
      <c r="A27" s="299"/>
      <c r="B27" s="299"/>
      <c r="C27" s="299"/>
    </row>
    <row r="28" spans="1:3" x14ac:dyDescent="0.35">
      <c r="A28" s="299"/>
      <c r="B28" s="299"/>
      <c r="C28" s="299"/>
    </row>
    <row r="29" spans="1:3" x14ac:dyDescent="0.35">
      <c r="A29" s="299"/>
      <c r="B29" s="299"/>
      <c r="C29" s="299"/>
    </row>
    <row r="30" spans="1:3" x14ac:dyDescent="0.35">
      <c r="A30" s="299"/>
      <c r="B30" s="299"/>
      <c r="C30" s="299"/>
    </row>
    <row r="31" spans="1:3" x14ac:dyDescent="0.35">
      <c r="A31" s="299"/>
      <c r="B31" s="299"/>
      <c r="C31" s="299"/>
    </row>
    <row r="32" spans="1:3" x14ac:dyDescent="0.35">
      <c r="A32" s="299"/>
      <c r="B32" s="299"/>
      <c r="C32" s="299"/>
    </row>
  </sheetData>
  <mergeCells count="1">
    <mergeCell ref="A1:E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891AF-2655-4013-9448-247C2035E552}">
  <dimension ref="A1:H54"/>
  <sheetViews>
    <sheetView topLeftCell="A24" zoomScale="59" workbookViewId="0">
      <selection activeCell="I43" sqref="I43"/>
    </sheetView>
  </sheetViews>
  <sheetFormatPr defaultRowHeight="14.5" x14ac:dyDescent="0.35"/>
  <cols>
    <col min="1" max="1" width="29.54296875" style="299" customWidth="1"/>
    <col min="2" max="2" width="18.54296875" style="299" customWidth="1"/>
    <col min="3" max="3" width="16.7265625" style="299" customWidth="1"/>
    <col min="4" max="4" width="15" style="299" customWidth="1"/>
    <col min="5" max="5" width="21.26953125" style="299" customWidth="1"/>
    <col min="6" max="6" width="15.453125" style="299" customWidth="1"/>
    <col min="7" max="7" width="16" style="299" customWidth="1"/>
    <col min="8" max="8" width="18.1796875" style="299" customWidth="1"/>
    <col min="9" max="16384" width="8.7265625" style="299"/>
  </cols>
  <sheetData>
    <row r="1" spans="1:8" x14ac:dyDescent="0.35">
      <c r="A1" s="636" t="s">
        <v>219</v>
      </c>
      <c r="B1" s="637">
        <v>2025</v>
      </c>
      <c r="C1" s="637">
        <v>2024</v>
      </c>
      <c r="D1" s="637">
        <v>2023</v>
      </c>
      <c r="E1" s="637">
        <v>2022</v>
      </c>
      <c r="F1" s="637">
        <v>2021</v>
      </c>
      <c r="G1" s="637">
        <v>2020</v>
      </c>
      <c r="H1" s="638">
        <v>2019</v>
      </c>
    </row>
    <row r="2" spans="1:8" x14ac:dyDescent="0.35">
      <c r="A2" s="594" t="s">
        <v>468</v>
      </c>
      <c r="B2" s="3">
        <v>15706467000</v>
      </c>
      <c r="C2" s="595">
        <v>7334432000</v>
      </c>
      <c r="D2" s="299">
        <v>16718338000</v>
      </c>
      <c r="E2" s="299">
        <v>3325922000</v>
      </c>
      <c r="F2" s="299">
        <v>2748661000</v>
      </c>
      <c r="G2" s="299">
        <v>2598738000</v>
      </c>
      <c r="H2" s="537">
        <v>13760677000</v>
      </c>
    </row>
    <row r="3" spans="1:8" x14ac:dyDescent="0.35">
      <c r="A3" s="594"/>
      <c r="C3" s="596"/>
      <c r="H3" s="537"/>
    </row>
    <row r="4" spans="1:8" x14ac:dyDescent="0.35">
      <c r="A4" s="594" t="s">
        <v>469</v>
      </c>
      <c r="B4" s="299">
        <v>0</v>
      </c>
      <c r="C4" s="596">
        <v>5000000000</v>
      </c>
      <c r="D4" s="299">
        <v>3119599000</v>
      </c>
      <c r="E4" s="299">
        <v>5037394000</v>
      </c>
      <c r="F4" s="299">
        <v>5500000000</v>
      </c>
      <c r="G4" s="299">
        <v>1240000000</v>
      </c>
      <c r="H4" s="537">
        <v>2934284000</v>
      </c>
    </row>
    <row r="5" spans="1:8" x14ac:dyDescent="0.35">
      <c r="A5" s="594" t="s">
        <v>470</v>
      </c>
      <c r="B5" s="299">
        <f>48233913000+10925359000</f>
        <v>59159272000</v>
      </c>
      <c r="C5" s="596">
        <f>48853886000+11112469000</f>
        <v>59966355000</v>
      </c>
      <c r="D5" s="299">
        <f>40212825000+10006247000</f>
        <v>50219072000</v>
      </c>
      <c r="E5" s="299">
        <f>41046666000+10852496000</f>
        <v>51899162000</v>
      </c>
      <c r="F5" s="299">
        <f>22675135000+9445609000</f>
        <v>32120744000</v>
      </c>
      <c r="G5" s="299">
        <f>14146840000+6328697000</f>
        <v>20475537000</v>
      </c>
      <c r="H5" s="537">
        <f>13484106000+7349549000</f>
        <v>20833655000</v>
      </c>
    </row>
    <row r="6" spans="1:8" x14ac:dyDescent="0.35">
      <c r="A6" s="597"/>
      <c r="H6" s="537"/>
    </row>
    <row r="7" spans="1:8" x14ac:dyDescent="0.35">
      <c r="A7" s="639" t="s">
        <v>471</v>
      </c>
      <c r="B7" s="640">
        <f>SUM(B4:B5)-B2</f>
        <v>43452805000</v>
      </c>
      <c r="C7" s="641">
        <f t="shared" ref="C7:H7" si="0">SUM(C4:C5)-SUM(C2:C2)</f>
        <v>57631923000</v>
      </c>
      <c r="D7" s="641">
        <f t="shared" si="0"/>
        <v>36620333000</v>
      </c>
      <c r="E7" s="641">
        <f t="shared" si="0"/>
        <v>53610634000</v>
      </c>
      <c r="F7" s="641">
        <f t="shared" si="0"/>
        <v>34872083000</v>
      </c>
      <c r="G7" s="641">
        <f t="shared" si="0"/>
        <v>19116799000</v>
      </c>
      <c r="H7" s="642">
        <f t="shared" si="0"/>
        <v>10007262000</v>
      </c>
    </row>
    <row r="8" spans="1:8" x14ac:dyDescent="0.35">
      <c r="A8" s="597"/>
      <c r="H8" s="537"/>
    </row>
    <row r="9" spans="1:8" x14ac:dyDescent="0.35">
      <c r="A9" s="597"/>
      <c r="H9" s="537"/>
    </row>
    <row r="10" spans="1:8" x14ac:dyDescent="0.35">
      <c r="A10" s="594" t="s">
        <v>200</v>
      </c>
      <c r="B10" s="299">
        <v>53214000</v>
      </c>
      <c r="C10" s="299">
        <v>451408000</v>
      </c>
      <c r="D10" s="299">
        <v>668820000</v>
      </c>
      <c r="E10" s="299">
        <v>156852000</v>
      </c>
      <c r="F10" s="299">
        <v>87206000</v>
      </c>
      <c r="G10" s="299">
        <v>1245125000</v>
      </c>
      <c r="H10" s="537">
        <v>804706000</v>
      </c>
    </row>
    <row r="11" spans="1:8" x14ac:dyDescent="0.35">
      <c r="A11" s="594" t="s">
        <v>472</v>
      </c>
      <c r="B11" s="299">
        <v>1418588000</v>
      </c>
      <c r="C11" s="299">
        <v>4949207000</v>
      </c>
      <c r="D11" s="299">
        <v>4706978000</v>
      </c>
      <c r="E11" s="299">
        <v>3254319000</v>
      </c>
      <c r="F11" s="299">
        <v>2495806000</v>
      </c>
      <c r="G11" s="299">
        <v>1803873000</v>
      </c>
      <c r="H11" s="537">
        <v>2121092000</v>
      </c>
    </row>
    <row r="12" spans="1:8" x14ac:dyDescent="0.35">
      <c r="A12" s="594" t="s">
        <v>178</v>
      </c>
      <c r="B12" s="299">
        <v>168926000</v>
      </c>
      <c r="C12" s="299">
        <v>715732000</v>
      </c>
      <c r="D12" s="299">
        <v>352911000</v>
      </c>
      <c r="E12" s="299">
        <v>456720000</v>
      </c>
      <c r="F12" s="299">
        <v>147881000</v>
      </c>
      <c r="G12" s="299">
        <v>376627000</v>
      </c>
      <c r="H12" s="537">
        <v>597542000</v>
      </c>
    </row>
    <row r="13" spans="1:8" x14ac:dyDescent="0.35">
      <c r="A13" s="597"/>
      <c r="H13" s="537"/>
    </row>
    <row r="14" spans="1:8" x14ac:dyDescent="0.35">
      <c r="A14" s="639" t="s">
        <v>473</v>
      </c>
      <c r="B14" s="1">
        <f>SUM(B10:B11)-B12</f>
        <v>1302876000</v>
      </c>
      <c r="C14" s="1">
        <f t="shared" ref="C14:H14" si="1">SUM(C10:C11)-C12</f>
        <v>4684883000</v>
      </c>
      <c r="D14" s="1">
        <f t="shared" si="1"/>
        <v>5022887000</v>
      </c>
      <c r="E14" s="1">
        <f t="shared" si="1"/>
        <v>2954451000</v>
      </c>
      <c r="F14" s="1">
        <f t="shared" si="1"/>
        <v>2435131000</v>
      </c>
      <c r="G14" s="1">
        <f t="shared" si="1"/>
        <v>2672371000</v>
      </c>
      <c r="H14" s="643">
        <f t="shared" si="1"/>
        <v>2328256000</v>
      </c>
    </row>
    <row r="15" spans="1:8" x14ac:dyDescent="0.35">
      <c r="A15" s="597"/>
      <c r="H15" s="537"/>
    </row>
    <row r="16" spans="1:8" x14ac:dyDescent="0.35">
      <c r="A16" s="597"/>
      <c r="H16" s="537"/>
    </row>
    <row r="17" spans="1:8" x14ac:dyDescent="0.35">
      <c r="A17" s="594" t="s">
        <v>474</v>
      </c>
      <c r="B17" s="299">
        <v>11005978000</v>
      </c>
      <c r="C17" s="299">
        <v>53543224000</v>
      </c>
      <c r="D17" s="299">
        <v>54323873000</v>
      </c>
      <c r="E17" s="299">
        <v>30091598000</v>
      </c>
      <c r="F17" s="299">
        <v>34129056000</v>
      </c>
      <c r="G17" s="299">
        <v>37187037000</v>
      </c>
      <c r="H17" s="537">
        <v>34516760000</v>
      </c>
    </row>
    <row r="18" spans="1:8" x14ac:dyDescent="0.35">
      <c r="A18" s="594" t="s">
        <v>170</v>
      </c>
      <c r="B18" s="299">
        <v>4666667000</v>
      </c>
      <c r="C18" s="299">
        <v>17234497000</v>
      </c>
      <c r="D18" s="299">
        <v>21249000000</v>
      </c>
      <c r="E18" s="299">
        <v>21898505000</v>
      </c>
      <c r="F18" s="299">
        <v>26691690000</v>
      </c>
      <c r="G18" s="299">
        <v>25613869000</v>
      </c>
      <c r="H18" s="537">
        <v>29382199000</v>
      </c>
    </row>
    <row r="19" spans="1:8" x14ac:dyDescent="0.35">
      <c r="A19" s="597"/>
      <c r="H19" s="537"/>
    </row>
    <row r="20" spans="1:8" ht="15" thickBot="1" x14ac:dyDescent="0.4">
      <c r="A20" s="633" t="s">
        <v>475</v>
      </c>
      <c r="B20" s="634">
        <f>B18/B17</f>
        <v>0.42401202328407345</v>
      </c>
      <c r="C20" s="634">
        <f>C18/C17</f>
        <v>0.32188007580567057</v>
      </c>
      <c r="D20" s="634">
        <f>D18/D17</f>
        <v>0.39115399596048683</v>
      </c>
      <c r="E20" s="634">
        <f t="shared" ref="E20:H20" si="2">E18/E17</f>
        <v>0.7277282183551701</v>
      </c>
      <c r="F20" s="634">
        <f t="shared" si="2"/>
        <v>0.78208111000784786</v>
      </c>
      <c r="G20" s="634">
        <f t="shared" si="2"/>
        <v>0.68878488490491996</v>
      </c>
      <c r="H20" s="635">
        <f t="shared" si="2"/>
        <v>0.85124440996200101</v>
      </c>
    </row>
    <row r="23" spans="1:8" x14ac:dyDescent="0.35">
      <c r="A23" s="624" t="s">
        <v>476</v>
      </c>
      <c r="B23" s="625"/>
      <c r="C23" s="625"/>
      <c r="D23" s="626"/>
    </row>
    <row r="24" spans="1:8" x14ac:dyDescent="0.35">
      <c r="A24" s="627"/>
      <c r="B24" s="628"/>
      <c r="C24" s="628"/>
      <c r="D24" s="629"/>
    </row>
    <row r="25" spans="1:8" ht="15" thickBot="1" x14ac:dyDescent="0.4">
      <c r="A25" s="630"/>
      <c r="B25" s="631"/>
      <c r="C25" s="631"/>
      <c r="D25" s="632"/>
      <c r="G25" s="299" t="s">
        <v>373</v>
      </c>
    </row>
    <row r="27" spans="1:8" ht="15" thickBot="1" x14ac:dyDescent="0.4"/>
    <row r="28" spans="1:8" x14ac:dyDescent="0.35">
      <c r="A28" s="621" t="s">
        <v>219</v>
      </c>
      <c r="B28" s="622" t="s">
        <v>471</v>
      </c>
      <c r="C28" s="622" t="s">
        <v>477</v>
      </c>
      <c r="D28" s="622" t="s">
        <v>478</v>
      </c>
      <c r="E28" s="623" t="s">
        <v>479</v>
      </c>
    </row>
    <row r="29" spans="1:8" x14ac:dyDescent="0.35">
      <c r="A29" s="594">
        <v>2019</v>
      </c>
      <c r="B29" s="299">
        <v>10007262000</v>
      </c>
      <c r="D29" s="299">
        <v>2328256000</v>
      </c>
      <c r="E29" s="598"/>
    </row>
    <row r="30" spans="1:8" x14ac:dyDescent="0.35">
      <c r="A30" s="594">
        <v>2020</v>
      </c>
      <c r="B30" s="299">
        <v>19116799000</v>
      </c>
      <c r="C30" s="299">
        <f>AVERAGE(B29,B30)</f>
        <v>14562030500</v>
      </c>
      <c r="D30" s="299">
        <v>2672371000</v>
      </c>
      <c r="E30" s="599">
        <f>D30/C30</f>
        <v>0.18351637156645154</v>
      </c>
    </row>
    <row r="31" spans="1:8" x14ac:dyDescent="0.35">
      <c r="A31" s="594">
        <v>2021</v>
      </c>
      <c r="B31" s="299">
        <v>34872083000</v>
      </c>
      <c r="C31" s="299">
        <f>AVERAGE(B30,B31)</f>
        <v>26994441000</v>
      </c>
      <c r="D31" s="299">
        <v>2435131000</v>
      </c>
      <c r="E31" s="599">
        <f>D31/C31</f>
        <v>9.0208609987515578E-2</v>
      </c>
    </row>
    <row r="32" spans="1:8" x14ac:dyDescent="0.35">
      <c r="A32" s="594">
        <v>2022</v>
      </c>
      <c r="B32" s="299">
        <v>53610634000</v>
      </c>
      <c r="C32" s="299">
        <f>AVERAGE(B31,B32)</f>
        <v>44241358500</v>
      </c>
      <c r="D32" s="299">
        <v>2954451000</v>
      </c>
      <c r="E32" s="599">
        <f>D32/C32</f>
        <v>6.6780295636717391E-2</v>
      </c>
    </row>
    <row r="33" spans="1:6" x14ac:dyDescent="0.35">
      <c r="A33" s="594">
        <v>2023</v>
      </c>
      <c r="B33" s="299">
        <v>36620333000</v>
      </c>
      <c r="C33" s="299">
        <f>AVERAGE(B32,B33)</f>
        <v>45115483500</v>
      </c>
      <c r="D33" s="299">
        <v>5022887000</v>
      </c>
      <c r="E33" s="599">
        <f>D33/C33</f>
        <v>0.11133399468056239</v>
      </c>
    </row>
    <row r="34" spans="1:6" x14ac:dyDescent="0.35">
      <c r="A34" s="594">
        <v>2024</v>
      </c>
      <c r="B34" s="299">
        <v>57631923000</v>
      </c>
      <c r="C34" s="299">
        <f>AVERAGE(B33,B34)</f>
        <v>47126128000</v>
      </c>
      <c r="D34" s="299">
        <v>4684883000</v>
      </c>
      <c r="E34" s="599">
        <f>D34/C34</f>
        <v>9.9411583315310775E-2</v>
      </c>
    </row>
    <row r="35" spans="1:6" ht="15" thickBot="1" x14ac:dyDescent="0.4">
      <c r="A35" s="594">
        <v>2025</v>
      </c>
      <c r="B35" s="299">
        <v>43452805000</v>
      </c>
      <c r="C35" s="299">
        <f>AVERAGE(B34,B35)</f>
        <v>50542364000</v>
      </c>
      <c r="D35" s="299">
        <v>1302876000</v>
      </c>
      <c r="E35" s="599">
        <f>D35/C35</f>
        <v>2.5777899901951559E-2</v>
      </c>
    </row>
    <row r="36" spans="1:6" ht="15" thickBot="1" x14ac:dyDescent="0.4">
      <c r="A36" s="600"/>
      <c r="B36" s="36"/>
      <c r="C36" s="601">
        <f>SUM(C30:C35)</f>
        <v>228581805500</v>
      </c>
      <c r="D36" s="36">
        <f>SUM(D30:D35)</f>
        <v>19072599000</v>
      </c>
      <c r="E36" s="644">
        <f>D36/C36</f>
        <v>8.3438832580224762E-2</v>
      </c>
    </row>
    <row r="38" spans="1:6" ht="15" thickBot="1" x14ac:dyDescent="0.4"/>
    <row r="39" spans="1:6" x14ac:dyDescent="0.35">
      <c r="A39" s="607" t="s">
        <v>480</v>
      </c>
      <c r="B39" s="608"/>
      <c r="C39" s="608"/>
      <c r="D39" s="609"/>
    </row>
    <row r="40" spans="1:6" x14ac:dyDescent="0.35">
      <c r="A40" s="610"/>
      <c r="B40" s="611"/>
      <c r="C40" s="611"/>
      <c r="D40" s="612"/>
    </row>
    <row r="41" spans="1:6" ht="15" thickBot="1" x14ac:dyDescent="0.4">
      <c r="A41" s="613"/>
      <c r="B41" s="614"/>
      <c r="C41" s="614"/>
      <c r="D41" s="615"/>
    </row>
    <row r="43" spans="1:6" ht="15" thickBot="1" x14ac:dyDescent="0.4"/>
    <row r="44" spans="1:6" ht="29.5" thickBot="1" x14ac:dyDescent="0.4">
      <c r="A44" s="618" t="s">
        <v>219</v>
      </c>
      <c r="B44" s="619" t="s">
        <v>481</v>
      </c>
      <c r="E44" s="616" t="s">
        <v>482</v>
      </c>
      <c r="F44" s="645">
        <v>0.1244</v>
      </c>
    </row>
    <row r="45" spans="1:6" ht="15" thickBot="1" x14ac:dyDescent="0.4">
      <c r="A45" s="594">
        <v>2019</v>
      </c>
      <c r="B45" s="602">
        <v>0.85124440996200101</v>
      </c>
      <c r="E45" s="617" t="s">
        <v>483</v>
      </c>
      <c r="F45" s="648">
        <f>F44*(1-B52)</f>
        <v>4.9993077292278129E-2</v>
      </c>
    </row>
    <row r="46" spans="1:6" x14ac:dyDescent="0.35">
      <c r="A46" s="594">
        <v>2020</v>
      </c>
      <c r="B46" s="602">
        <v>0.68878488490491996</v>
      </c>
    </row>
    <row r="47" spans="1:6" x14ac:dyDescent="0.35">
      <c r="A47" s="594">
        <v>2021</v>
      </c>
      <c r="B47" s="602">
        <v>0.78208111000784786</v>
      </c>
    </row>
    <row r="48" spans="1:6" x14ac:dyDescent="0.35">
      <c r="A48" s="594">
        <v>2022</v>
      </c>
      <c r="B48" s="602">
        <v>0.7277282183551701</v>
      </c>
    </row>
    <row r="49" spans="1:2" x14ac:dyDescent="0.35">
      <c r="A49" s="594">
        <v>2023</v>
      </c>
      <c r="B49" s="602">
        <v>0.39115399596048683</v>
      </c>
    </row>
    <row r="50" spans="1:2" x14ac:dyDescent="0.35">
      <c r="A50" s="594">
        <v>2024</v>
      </c>
      <c r="B50" s="602">
        <v>0.32188007580567057</v>
      </c>
    </row>
    <row r="51" spans="1:2" ht="15" thickBot="1" x14ac:dyDescent="0.4">
      <c r="A51" s="594">
        <v>2025</v>
      </c>
      <c r="B51" s="602">
        <v>0.42401202328407345</v>
      </c>
    </row>
    <row r="52" spans="1:2" ht="15" thickBot="1" x14ac:dyDescent="0.4">
      <c r="A52" s="597"/>
      <c r="B52" s="646">
        <f>AVERAGE(B45:B51)</f>
        <v>0.5981263883257385</v>
      </c>
    </row>
    <row r="53" spans="1:2" ht="15" thickBot="1" x14ac:dyDescent="0.4">
      <c r="A53" s="597"/>
      <c r="B53" s="537"/>
    </row>
    <row r="54" spans="1:2" ht="15" thickBot="1" x14ac:dyDescent="0.4">
      <c r="A54" s="620" t="s">
        <v>484</v>
      </c>
      <c r="B54" s="647">
        <v>0.4</v>
      </c>
    </row>
  </sheetData>
  <mergeCells count="2">
    <mergeCell ref="A23:D25"/>
    <mergeCell ref="A39:D4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29A4A-AE22-4C3A-8D07-131378FF7230}">
  <dimension ref="A1:H17"/>
  <sheetViews>
    <sheetView zoomScale="83" workbookViewId="0">
      <selection activeCell="B3" sqref="B3"/>
    </sheetView>
  </sheetViews>
  <sheetFormatPr defaultRowHeight="14.5" x14ac:dyDescent="0.35"/>
  <cols>
    <col min="1" max="1" width="26.81640625" style="299" customWidth="1"/>
    <col min="2" max="2" width="23.453125" style="299" customWidth="1"/>
    <col min="3" max="3" width="16.1796875" style="299" customWidth="1"/>
    <col min="4" max="5" width="16.453125" style="299" customWidth="1"/>
    <col min="6" max="6" width="15.453125" style="299" customWidth="1"/>
    <col min="7" max="7" width="15.1796875" style="299" customWidth="1"/>
    <col min="8" max="8" width="14.81640625" style="299" customWidth="1"/>
    <col min="9" max="16384" width="8.7265625" style="299"/>
  </cols>
  <sheetData>
    <row r="1" spans="1:8" x14ac:dyDescent="0.35">
      <c r="A1" s="299" t="s">
        <v>486</v>
      </c>
      <c r="B1" s="30">
        <f>[2]CAPM!M14</f>
        <v>0.14200259368030532</v>
      </c>
    </row>
    <row r="3" spans="1:8" x14ac:dyDescent="0.35">
      <c r="A3" s="299" t="s">
        <v>487</v>
      </c>
      <c r="B3" s="30">
        <f>'[2]Debt Calculations'!F47</f>
        <v>4.9993077292278129E-2</v>
      </c>
    </row>
    <row r="4" spans="1:8" x14ac:dyDescent="0.35">
      <c r="B4" s="30"/>
    </row>
    <row r="5" spans="1:8" x14ac:dyDescent="0.35">
      <c r="A5" s="667" t="s">
        <v>488</v>
      </c>
    </row>
    <row r="6" spans="1:8" x14ac:dyDescent="0.35">
      <c r="A6" s="299" t="s">
        <v>489</v>
      </c>
      <c r="B6" s="299">
        <v>278.39999999999998</v>
      </c>
    </row>
    <row r="7" spans="1:8" x14ac:dyDescent="0.35">
      <c r="A7" s="299" t="s">
        <v>490</v>
      </c>
      <c r="B7" s="299">
        <v>1350300022</v>
      </c>
    </row>
    <row r="9" spans="1:8" x14ac:dyDescent="0.35">
      <c r="A9" s="667" t="s">
        <v>491</v>
      </c>
    </row>
    <row r="10" spans="1:8" x14ac:dyDescent="0.35">
      <c r="A10" s="603" t="s">
        <v>219</v>
      </c>
      <c r="B10" s="604">
        <v>2025</v>
      </c>
      <c r="C10" s="604">
        <v>2024</v>
      </c>
      <c r="D10" s="604">
        <v>2023</v>
      </c>
      <c r="E10" s="604">
        <v>2022</v>
      </c>
      <c r="F10" s="604">
        <v>2021</v>
      </c>
      <c r="G10" s="604">
        <v>2020</v>
      </c>
      <c r="H10" s="604">
        <v>2019</v>
      </c>
    </row>
    <row r="11" spans="1:8" x14ac:dyDescent="0.35">
      <c r="A11" s="497" t="s">
        <v>469</v>
      </c>
      <c r="B11" s="497">
        <v>0</v>
      </c>
      <c r="C11" s="497">
        <v>5000000000</v>
      </c>
      <c r="D11" s="497">
        <v>3119599000</v>
      </c>
      <c r="E11" s="497">
        <v>5037394000</v>
      </c>
      <c r="F11" s="497">
        <v>5500000000</v>
      </c>
      <c r="G11" s="497">
        <v>1240000000</v>
      </c>
      <c r="H11" s="497">
        <v>2934284000</v>
      </c>
    </row>
    <row r="12" spans="1:8" x14ac:dyDescent="0.35">
      <c r="A12" s="497" t="s">
        <v>470</v>
      </c>
      <c r="B12" s="497">
        <v>59159272000</v>
      </c>
      <c r="C12" s="497">
        <v>59966355000</v>
      </c>
      <c r="D12" s="497">
        <v>50219072000</v>
      </c>
      <c r="E12" s="497">
        <v>51899162000</v>
      </c>
      <c r="F12" s="497">
        <v>32120744000</v>
      </c>
      <c r="G12" s="497">
        <v>20475537000</v>
      </c>
      <c r="H12" s="497">
        <v>20833655000</v>
      </c>
    </row>
    <row r="13" spans="1:8" x14ac:dyDescent="0.35">
      <c r="A13" s="497" t="s">
        <v>349</v>
      </c>
      <c r="B13" s="497">
        <f>B11+B12</f>
        <v>59159272000</v>
      </c>
      <c r="C13" s="497">
        <f t="shared" ref="C13:H13" si="0">C11+C12</f>
        <v>64966355000</v>
      </c>
      <c r="D13" s="497">
        <f t="shared" si="0"/>
        <v>53338671000</v>
      </c>
      <c r="E13" s="497">
        <f t="shared" si="0"/>
        <v>56936556000</v>
      </c>
      <c r="F13" s="497">
        <f t="shared" si="0"/>
        <v>37620744000</v>
      </c>
      <c r="G13" s="497">
        <f t="shared" si="0"/>
        <v>21715537000</v>
      </c>
      <c r="H13" s="497">
        <f t="shared" si="0"/>
        <v>23767939000</v>
      </c>
    </row>
    <row r="15" spans="1:8" ht="15" thickBot="1" x14ac:dyDescent="0.4">
      <c r="A15" s="664" t="s">
        <v>492</v>
      </c>
      <c r="B15" s="605">
        <f>AVERAGE(B13:H13)</f>
        <v>45357867714.285713</v>
      </c>
    </row>
    <row r="16" spans="1:8" ht="15" thickBot="1" x14ac:dyDescent="0.4">
      <c r="A16" s="665" t="s">
        <v>493</v>
      </c>
      <c r="B16" s="606">
        <f>B7*B6</f>
        <v>375923526124.79999</v>
      </c>
    </row>
    <row r="17" spans="1:2" ht="15" thickBot="1" x14ac:dyDescent="0.4">
      <c r="A17" s="666" t="s">
        <v>485</v>
      </c>
      <c r="B17" s="668">
        <f>(B16/(B16+B15)*B1)+(B15/(B15+B16)*B3)</f>
        <v>0.13209625664806124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
  <sheetViews>
    <sheetView zoomScale="82" zoomScaleNormal="100" workbookViewId="0">
      <selection activeCell="J1" sqref="J1"/>
    </sheetView>
  </sheetViews>
  <sheetFormatPr defaultRowHeight="14.5" x14ac:dyDescent="0.35"/>
  <cols>
    <col min="1" max="1" width="57.453125" bestFit="1" customWidth="1"/>
    <col min="2" max="2" width="14.453125" customWidth="1"/>
    <col min="3" max="3" width="14.7265625" customWidth="1"/>
    <col min="4" max="4" width="14.54296875" customWidth="1"/>
    <col min="5" max="5" width="15.7265625" customWidth="1"/>
    <col min="6" max="7" width="14.26953125" customWidth="1"/>
    <col min="8" max="8" width="11" bestFit="1" customWidth="1"/>
    <col min="9" max="9" width="10.08984375" bestFit="1" customWidth="1"/>
    <col min="10" max="10" width="49" customWidth="1"/>
    <col min="13" max="13" width="17" customWidth="1"/>
    <col min="14" max="14" width="16.81640625" bestFit="1" customWidth="1"/>
  </cols>
  <sheetData>
    <row r="1" spans="1:16" x14ac:dyDescent="0.35">
      <c r="A1" s="141" t="s">
        <v>312</v>
      </c>
      <c r="J1" s="141" t="s">
        <v>313</v>
      </c>
    </row>
    <row r="2" spans="1:16" x14ac:dyDescent="0.35">
      <c r="A2" s="10" t="s">
        <v>145</v>
      </c>
      <c r="B2" s="68">
        <v>2019</v>
      </c>
      <c r="C2" s="68">
        <v>2020</v>
      </c>
      <c r="D2" s="68">
        <v>2021</v>
      </c>
      <c r="E2" s="68">
        <v>2022</v>
      </c>
      <c r="F2" s="68">
        <v>2023</v>
      </c>
      <c r="G2" s="69">
        <v>2024</v>
      </c>
      <c r="H2" s="75"/>
      <c r="J2" s="10" t="s">
        <v>145</v>
      </c>
      <c r="K2" s="68">
        <v>2019</v>
      </c>
      <c r="L2" s="68">
        <v>2020</v>
      </c>
      <c r="M2" s="68">
        <v>2021</v>
      </c>
      <c r="N2" s="68">
        <v>2022</v>
      </c>
      <c r="O2" s="68">
        <v>2023</v>
      </c>
      <c r="P2" s="69">
        <v>2024</v>
      </c>
    </row>
    <row r="3" spans="1:16" x14ac:dyDescent="0.35">
      <c r="A3" s="5" t="s">
        <v>0</v>
      </c>
      <c r="B3" s="11">
        <v>143656271</v>
      </c>
      <c r="C3" s="11">
        <v>139606161</v>
      </c>
      <c r="D3" s="11">
        <v>143065872</v>
      </c>
      <c r="E3" s="11">
        <v>150403469</v>
      </c>
      <c r="F3" s="11">
        <v>158715818</v>
      </c>
      <c r="G3" s="12">
        <v>158447003</v>
      </c>
      <c r="J3" s="5" t="s">
        <v>0</v>
      </c>
      <c r="K3" s="154">
        <v>1</v>
      </c>
      <c r="L3" s="154">
        <v>1</v>
      </c>
      <c r="M3" s="154">
        <v>1</v>
      </c>
      <c r="N3" s="154">
        <v>1</v>
      </c>
      <c r="O3" s="154">
        <v>1</v>
      </c>
      <c r="P3" s="154">
        <v>1</v>
      </c>
    </row>
    <row r="4" spans="1:16" x14ac:dyDescent="0.35">
      <c r="A4" s="6" t="s">
        <v>1</v>
      </c>
      <c r="B4" s="4">
        <v>-8465283</v>
      </c>
      <c r="C4" s="4">
        <v>-8812905</v>
      </c>
      <c r="D4" s="4">
        <v>-9604705</v>
      </c>
      <c r="E4" s="4">
        <v>-10088492</v>
      </c>
      <c r="F4" s="4">
        <v>-9961041</v>
      </c>
      <c r="G4" s="7">
        <v>-9825692</v>
      </c>
      <c r="H4" s="20"/>
      <c r="J4" s="6" t="s">
        <v>1</v>
      </c>
      <c r="K4" s="155">
        <f ca="1">'Income Statement'!K4/'Income Statement'!$B$3*-1</f>
        <v>5.8927347487670763E-2</v>
      </c>
      <c r="L4" s="155">
        <f ca="1">'Income Statement'!L4/'Income Statement'!$C$3*-1</f>
        <v>6.3126905982322651E-2</v>
      </c>
      <c r="M4" s="155">
        <f ca="1">'Income Statement'!M4/'Income Statement'!$D$3*-1</f>
        <v>6.7134844010876327E-2</v>
      </c>
      <c r="N4" s="155">
        <f ca="1">'Income Statement'!N4/'Income Statement'!$E$3*-1</f>
        <v>6.7076192238624502E-2</v>
      </c>
      <c r="O4" s="155">
        <f ca="1">'Income Statement'!O4/'Income Statement'!$F$3*-1</f>
        <v>6.2760228473257781E-2</v>
      </c>
      <c r="P4" s="155">
        <f ca="1">'Income Statement'!P4/'Income Statement'!$G$3*-1</f>
        <v>6.2012482495487783E-2</v>
      </c>
    </row>
    <row r="5" spans="1:16" x14ac:dyDescent="0.35">
      <c r="A5" s="6" t="s">
        <v>5</v>
      </c>
      <c r="B5" s="13">
        <v>-10107313</v>
      </c>
      <c r="C5" s="13">
        <v>-10478334</v>
      </c>
      <c r="D5" s="13">
        <v>-10895286</v>
      </c>
      <c r="E5" s="13">
        <v>-12583383</v>
      </c>
      <c r="F5" s="13">
        <v>-12009842</v>
      </c>
      <c r="G5" s="14">
        <v>-12068041</v>
      </c>
      <c r="H5" s="20"/>
      <c r="J5" s="6" t="s">
        <v>5</v>
      </c>
      <c r="K5" s="155">
        <f ca="1">'Income Statement'!K5/'Income Statement'!$B$3*-1</f>
        <v>7.0357617733234915E-2</v>
      </c>
      <c r="L5" s="155">
        <f ca="1">'Income Statement'!L5/'Income Statement'!$C$3*-1</f>
        <v>7.5056386659038632E-2</v>
      </c>
      <c r="M5" s="155">
        <f ca="1">'Income Statement'!M5/'Income Statement'!$D$3*-1</f>
        <v>7.6155730557459569E-2</v>
      </c>
      <c r="N5" s="155">
        <f ca="1">'Income Statement'!N5/'Income Statement'!$E$3*-1</f>
        <v>8.3664180644663189E-2</v>
      </c>
      <c r="O5" s="155">
        <f ca="1">'Income Statement'!O5/'Income Statement'!$F$3*-1</f>
        <v>7.5668841022512326E-2</v>
      </c>
      <c r="P5" s="155">
        <f ca="1">'Income Statement'!P5/'Income Statement'!$G$3*-1</f>
        <v>7.616452675977721E-2</v>
      </c>
    </row>
    <row r="6" spans="1:16" x14ac:dyDescent="0.35">
      <c r="A6" s="8" t="s">
        <v>146</v>
      </c>
      <c r="B6" s="150">
        <f t="shared" ref="B6:G6" si="0">B3+B4+B5</f>
        <v>125083675</v>
      </c>
      <c r="C6" s="150">
        <f t="shared" si="0"/>
        <v>120314922</v>
      </c>
      <c r="D6" s="150">
        <f t="shared" si="0"/>
        <v>122565881</v>
      </c>
      <c r="E6" s="150">
        <f t="shared" si="0"/>
        <v>127731594</v>
      </c>
      <c r="F6" s="150">
        <f t="shared" si="0"/>
        <v>136744935</v>
      </c>
      <c r="G6" s="151">
        <f t="shared" si="0"/>
        <v>136553270</v>
      </c>
      <c r="J6" s="8" t="s">
        <v>146</v>
      </c>
      <c r="K6" s="156">
        <f ca="1">'Income Statement'!K6/'Income Statement'!$B$3</f>
        <v>0.87071503477909429</v>
      </c>
      <c r="L6" s="156">
        <f ca="1">'Income Statement'!L6/'Income Statement'!$C$3</f>
        <v>0.86181670735863869</v>
      </c>
      <c r="M6" s="156">
        <f ca="1">'Income Statement'!M6/'Income Statement'!$D$3</f>
        <v>0.85670942543166406</v>
      </c>
      <c r="N6" s="156">
        <f ca="1">'Income Statement'!N6/'Income Statement'!$E$3</f>
        <v>0.84925962711671232</v>
      </c>
      <c r="O6" s="156">
        <f ca="1">'Income Statement'!O6/'Income Statement'!$F$3</f>
        <v>0.86157093050422995</v>
      </c>
      <c r="P6" s="156">
        <f ca="1">'Income Statement'!P6/'Income Statement'!$G$3</f>
        <v>0.86182299074473501</v>
      </c>
    </row>
    <row r="7" spans="1:16" x14ac:dyDescent="0.35">
      <c r="A7" s="6" t="s">
        <v>2</v>
      </c>
      <c r="B7" s="13">
        <v>-9437578</v>
      </c>
      <c r="C7" s="13">
        <v>-10027226</v>
      </c>
      <c r="D7" s="13">
        <v>-11507572</v>
      </c>
      <c r="E7" s="13">
        <v>-9235728</v>
      </c>
      <c r="F7" s="13">
        <v>-8494009</v>
      </c>
      <c r="G7" s="14">
        <v>-8517867</v>
      </c>
      <c r="J7" s="6" t="s">
        <v>2</v>
      </c>
      <c r="K7" s="155">
        <f ca="1">'Income Statement'!K7/'Income Statement'!$B$3*-1</f>
        <v>6.5695551849595205E-2</v>
      </c>
      <c r="L7" s="155">
        <f ca="1">'Income Statement'!L7/'Income Statement'!$C$3*-1</f>
        <v>7.1825096601574767E-2</v>
      </c>
      <c r="M7" s="155">
        <f ca="1">'Income Statement'!M7/'Income Statement'!$D$3*-1</f>
        <v>8.0435479399307758E-2</v>
      </c>
      <c r="N7" s="155">
        <f ca="1">'Income Statement'!N7/'Income Statement'!$E$3*-1</f>
        <v>6.1406349610194165E-2</v>
      </c>
      <c r="O7" s="155">
        <f ca="1">'Income Statement'!O7/'Income Statement'!$F$3*-1</f>
        <v>5.3517091787284872E-2</v>
      </c>
      <c r="P7" s="155">
        <f ca="1">'Income Statement'!P7/'Income Statement'!$G$3*-1</f>
        <v>5.3758460802190121E-2</v>
      </c>
    </row>
    <row r="8" spans="1:16" x14ac:dyDescent="0.35">
      <c r="A8" s="6" t="s">
        <v>3</v>
      </c>
      <c r="B8" s="4">
        <v>-5898863</v>
      </c>
      <c r="C8" s="4">
        <v>-4984745</v>
      </c>
      <c r="D8" s="4">
        <v>-5550948</v>
      </c>
      <c r="E8" s="4">
        <v>-4252580</v>
      </c>
      <c r="F8" s="4">
        <v>-6272385</v>
      </c>
      <c r="G8" s="7">
        <v>-6942686</v>
      </c>
      <c r="J8" s="6" t="s">
        <v>3</v>
      </c>
      <c r="K8" s="155">
        <f ca="1">'Income Statement'!K8/'Income Statement'!$B$3*-1</f>
        <v>4.1062342485557068E-2</v>
      </c>
      <c r="L8" s="155">
        <f ca="1">'Income Statement'!L8/'Income Statement'!$C$3*-1</f>
        <v>3.5705766595787988E-2</v>
      </c>
      <c r="M8" s="155">
        <f ca="1">'Income Statement'!M8/'Income Statement'!$D$3*-1</f>
        <v>3.8799945244803034E-2</v>
      </c>
      <c r="N8" s="155">
        <f ca="1">'Income Statement'!N8/'Income Statement'!$E$3*-1</f>
        <v>2.827448082331133E-2</v>
      </c>
      <c r="O8" s="155">
        <f ca="1">'Income Statement'!O8/'Income Statement'!$F$3*-1</f>
        <v>3.9519595961128459E-2</v>
      </c>
      <c r="P8" s="155">
        <f ca="1">'Income Statement'!P8/'Income Statement'!$G$3*-1</f>
        <v>4.3817086272057791E-2</v>
      </c>
    </row>
    <row r="9" spans="1:16" x14ac:dyDescent="0.35">
      <c r="A9" s="6" t="s">
        <v>4</v>
      </c>
      <c r="B9" s="13">
        <v>-13480018</v>
      </c>
      <c r="C9" s="13">
        <v>-11771112</v>
      </c>
      <c r="D9" s="13">
        <v>-13341089</v>
      </c>
      <c r="E9" s="13">
        <v>-15278933</v>
      </c>
      <c r="F9" s="13">
        <v>-15428172</v>
      </c>
      <c r="G9" s="14">
        <v>-16247666</v>
      </c>
      <c r="J9" s="6" t="s">
        <v>4</v>
      </c>
      <c r="K9" s="155">
        <f ca="1">'Income Statement'!K9/'Income Statement'!$B$3*-1</f>
        <v>9.3835221436313079E-2</v>
      </c>
      <c r="L9" s="155">
        <f ca="1">'Income Statement'!L9/'Income Statement'!$C$3*-1</f>
        <v>8.4316565369919452E-2</v>
      </c>
      <c r="M9" s="155">
        <f ca="1">'Income Statement'!M9/'Income Statement'!$D$3*-1</f>
        <v>9.3251373045837235E-2</v>
      </c>
      <c r="N9" s="155">
        <f ca="1">'Income Statement'!N9/'Income Statement'!$E$3*-1</f>
        <v>0.10158630716157219</v>
      </c>
      <c r="O9" s="155">
        <f ca="1">'Income Statement'!O9/'Income Statement'!$F$3*-1</f>
        <v>9.7206265855618756E-2</v>
      </c>
      <c r="P9" s="155">
        <f ca="1">'Income Statement'!P9/'Income Statement'!$G$3*-1</f>
        <v>0.10254322071336369</v>
      </c>
    </row>
    <row r="10" spans="1:16" x14ac:dyDescent="0.35">
      <c r="A10" s="6" t="s">
        <v>7</v>
      </c>
      <c r="B10" s="4">
        <v>-23451039</v>
      </c>
      <c r="C10" s="4">
        <v>-23649950</v>
      </c>
      <c r="D10" s="4">
        <v>-23016177</v>
      </c>
      <c r="E10" s="4">
        <v>-27899584</v>
      </c>
      <c r="F10" s="4">
        <v>-32321703</v>
      </c>
      <c r="G10" s="7">
        <v>-34551840</v>
      </c>
      <c r="J10" s="6" t="s">
        <v>7</v>
      </c>
      <c r="K10" s="155">
        <f ca="1">'Income Statement'!K10/'Income Statement'!$B$3*-1</f>
        <v>0.16324410230584366</v>
      </c>
      <c r="L10" s="155">
        <f ca="1">'Income Statement'!L10/'Income Statement'!$C$3*-1</f>
        <v>0.16940477290253686</v>
      </c>
      <c r="M10" s="155">
        <f ca="1">'Income Statement'!M10/'Income Statement'!$D$3*-1</f>
        <v>0.16087817924878689</v>
      </c>
      <c r="N10" s="155">
        <f ca="1">'Income Statement'!N10/'Income Statement'!$E$3*-1</f>
        <v>0.18549827464418389</v>
      </c>
      <c r="O10" s="155">
        <f ca="1">'Income Statement'!O10/'Income Statement'!$F$3*-1</f>
        <v>0.20364512754488023</v>
      </c>
      <c r="P10" s="155">
        <f ca="1">'Income Statement'!P10/'Income Statement'!$G$3*-1</f>
        <v>0.21806559509364781</v>
      </c>
    </row>
    <row r="11" spans="1:16" x14ac:dyDescent="0.35">
      <c r="A11" s="8" t="s">
        <v>147</v>
      </c>
      <c r="B11" s="152">
        <f t="shared" ref="B11:F11" si="1">B6+B7+B8+B9+B10</f>
        <v>72816177</v>
      </c>
      <c r="C11" s="152">
        <f t="shared" si="1"/>
        <v>69881889</v>
      </c>
      <c r="D11" s="152">
        <f t="shared" si="1"/>
        <v>69150095</v>
      </c>
      <c r="E11" s="152">
        <f t="shared" si="1"/>
        <v>71064769</v>
      </c>
      <c r="F11" s="152">
        <f t="shared" si="1"/>
        <v>74228666</v>
      </c>
      <c r="G11" s="153">
        <v>59129211</v>
      </c>
      <c r="J11" s="8" t="s">
        <v>147</v>
      </c>
      <c r="K11" s="156">
        <f ca="1">'Income Statement'!K11/'Income Statement'!$B$3</f>
        <v>0.50687781670178533</v>
      </c>
      <c r="L11" s="156">
        <f ca="1">'Income Statement'!L11/'Income Statement'!$C$3</f>
        <v>0.50056450588881962</v>
      </c>
      <c r="M11" s="156">
        <f ca="1">'Income Statement'!M11/'Income Statement'!$D$3</f>
        <v>0.48334444849292918</v>
      </c>
      <c r="N11" s="156">
        <f ca="1">'Income Statement'!N11/'Income Statement'!$E$3</f>
        <v>0.47249421487745075</v>
      </c>
      <c r="O11" s="156">
        <f ca="1">'Income Statement'!O11/'Income Statement'!$F$3</f>
        <v>0.46768284935531756</v>
      </c>
      <c r="P11" s="156">
        <f ca="1">'Income Statement'!P11/'Income Statement'!$G$3</f>
        <v>0.37317973758077327</v>
      </c>
    </row>
    <row r="12" spans="1:16" x14ac:dyDescent="0.35">
      <c r="A12" s="6" t="s">
        <v>6</v>
      </c>
      <c r="B12" s="4">
        <v>-6164349</v>
      </c>
      <c r="C12" s="4">
        <v>-6442284</v>
      </c>
      <c r="D12" s="4">
        <v>-5814523</v>
      </c>
      <c r="E12" s="4">
        <v>-7466582</v>
      </c>
      <c r="F12" s="4">
        <v>-9799694</v>
      </c>
      <c r="G12" s="7">
        <v>-11164000</v>
      </c>
      <c r="J12" s="6" t="s">
        <v>6</v>
      </c>
      <c r="K12" s="155">
        <f ca="1">'Income Statement'!K12/'Income Statement'!$B$3*-1</f>
        <v>4.2910406605222266E-2</v>
      </c>
      <c r="L12" s="155">
        <f ca="1">'Income Statement'!L12/'Income Statement'!$C$3*-1</f>
        <v>4.6146129610999044E-2</v>
      </c>
      <c r="M12" s="155">
        <f ca="1">'Income Statement'!M12/'Income Statement'!$D$3*-1</f>
        <v>4.0642278404454141E-2</v>
      </c>
      <c r="N12" s="155">
        <f ca="1">'Income Statement'!N12/'Income Statement'!$E$3*-1</f>
        <v>4.9643682088210343E-2</v>
      </c>
      <c r="O12" s="155">
        <f ca="1">'Income Statement'!O12/'Income Statement'!$F$3*-1</f>
        <v>6.1743650528896875E-2</v>
      </c>
      <c r="P12" s="155">
        <f ca="1">'Income Statement'!P12/'Income Statement'!$G$3*-1</f>
        <v>7.0458890282702288E-2</v>
      </c>
    </row>
    <row r="13" spans="1:16" x14ac:dyDescent="0.35">
      <c r="A13" s="6" t="s">
        <v>8</v>
      </c>
      <c r="B13" s="13">
        <v>-2523060</v>
      </c>
      <c r="C13" s="13">
        <v>-376473</v>
      </c>
      <c r="D13" s="13">
        <v>-2595396</v>
      </c>
      <c r="E13" s="13">
        <v>-10177407</v>
      </c>
      <c r="F13" s="13">
        <v>-9383833</v>
      </c>
      <c r="G13" s="14">
        <v>-4986593</v>
      </c>
      <c r="J13" s="6" t="s">
        <v>8</v>
      </c>
      <c r="K13" s="155">
        <f ca="1">'Income Statement'!K13/'Income Statement'!$B$3*-1</f>
        <v>1.7563173416912652E-2</v>
      </c>
      <c r="L13" s="155">
        <f ca="1">'Income Statement'!L13/'Income Statement'!$C$3*-1</f>
        <v>2.6966789810945377E-3</v>
      </c>
      <c r="M13" s="155">
        <f ca="1">'Income Statement'!M13/'Income Statement'!$D$3*-1</f>
        <v>1.8141265724085476E-2</v>
      </c>
      <c r="N13" s="155">
        <f ca="1">'Income Statement'!N13/'Income Statement'!$E$3*-1</f>
        <v>6.7667368762618099E-2</v>
      </c>
      <c r="O13" s="155">
        <f ca="1">'Income Statement'!O13/'Income Statement'!$F$3*-1</f>
        <v>5.9123489506257024E-2</v>
      </c>
      <c r="P13" s="155">
        <f ca="1">'Income Statement'!P13/'Income Statement'!$G$3*-1</f>
        <v>3.1471677630911077E-2</v>
      </c>
    </row>
    <row r="14" spans="1:16" x14ac:dyDescent="0.35">
      <c r="A14" s="6" t="s">
        <v>9</v>
      </c>
      <c r="B14" s="4">
        <v>-229809</v>
      </c>
      <c r="C14" s="4">
        <v>-262226</v>
      </c>
      <c r="D14" s="4">
        <v>80570</v>
      </c>
      <c r="E14" s="4">
        <v>-1430677</v>
      </c>
      <c r="F14" s="4">
        <v>-721266</v>
      </c>
      <c r="G14" s="7">
        <v>-599394</v>
      </c>
      <c r="J14" s="6" t="s">
        <v>9</v>
      </c>
      <c r="K14" s="155">
        <f ca="1">'Income Statement'!K14/'Income Statement'!$B$3*-1</f>
        <v>1.5997143626260493E-3</v>
      </c>
      <c r="L14" s="155">
        <f ca="1">'Income Statement'!L14/'Income Statement'!$C$3*-1</f>
        <v>1.8783268454749644E-3</v>
      </c>
      <c r="M14" s="155">
        <f ca="1">'Income Statement'!M14/'Income Statement'!$D$3</f>
        <v>5.63167154218303E-4</v>
      </c>
      <c r="N14" s="155">
        <f ca="1">'Income Statement'!N14/'Income Statement'!$E$3*-1</f>
        <v>9.5122606513816516E-3</v>
      </c>
      <c r="O14" s="155">
        <f ca="1">'Income Statement'!O14/'Income Statement'!$F$3*-1</f>
        <v>4.544386369857603E-3</v>
      </c>
      <c r="P14" s="155">
        <f ca="1">'Income Statement'!P14/'Income Statement'!$G$3*-1</f>
        <v>3.7829304982183853E-3</v>
      </c>
    </row>
    <row r="15" spans="1:16" x14ac:dyDescent="0.35">
      <c r="A15" s="5" t="s">
        <v>10</v>
      </c>
      <c r="B15" s="11">
        <f t="shared" ref="B15:G15" si="2">B11+B12+B13+B14</f>
        <v>63898959</v>
      </c>
      <c r="C15" s="11">
        <f t="shared" si="2"/>
        <v>62800906</v>
      </c>
      <c r="D15" s="11">
        <f t="shared" si="2"/>
        <v>60820746</v>
      </c>
      <c r="E15" s="11">
        <f t="shared" si="2"/>
        <v>51990103</v>
      </c>
      <c r="F15" s="11">
        <f t="shared" si="2"/>
        <v>54323873</v>
      </c>
      <c r="G15" s="12">
        <f t="shared" si="2"/>
        <v>42379224</v>
      </c>
      <c r="J15" s="5" t="s">
        <v>10</v>
      </c>
      <c r="K15" s="156">
        <f ca="1">'Income Statement'!K15/'Income Statement'!$B$3</f>
        <v>0.44480452231702439</v>
      </c>
      <c r="L15" s="156">
        <f ca="1">'Income Statement'!L15/'Income Statement'!$C$3</f>
        <v>0.44984337045125106</v>
      </c>
      <c r="M15" s="156">
        <f ca="1">'Income Statement'!M15/'Income Statement'!$D$3</f>
        <v>0.42512407151860787</v>
      </c>
      <c r="N15" s="156">
        <f ca="1">'Income Statement'!N15/'Income Statement'!$E$3</f>
        <v>0.34567090337524065</v>
      </c>
      <c r="O15" s="156">
        <f ca="1">'Income Statement'!O15/'Income Statement'!$F$3</f>
        <v>0.34227132295030605</v>
      </c>
      <c r="P15" s="156">
        <f ca="1">'Income Statement'!P15/'Income Statement'!$G$3</f>
        <v>0.26746623916894158</v>
      </c>
    </row>
    <row r="16" spans="1:16" x14ac:dyDescent="0.35">
      <c r="A16" s="6" t="s">
        <v>11</v>
      </c>
      <c r="B16" s="4">
        <v>-29382199</v>
      </c>
      <c r="C16" s="4">
        <v>-25613869</v>
      </c>
      <c r="D16" s="4">
        <v>-26691690</v>
      </c>
      <c r="E16" s="4">
        <v>-21898505</v>
      </c>
      <c r="F16" s="4">
        <v>-21249000</v>
      </c>
      <c r="G16" s="7">
        <v>-17234497</v>
      </c>
      <c r="J16" s="6" t="s">
        <v>11</v>
      </c>
      <c r="K16" s="155">
        <f ca="1">'Income Statement'!K16/'Income Statement'!$B$3*-1</f>
        <v>0.20453126616380013</v>
      </c>
      <c r="L16" s="155">
        <f ca="1">'Income Statement'!L16/'Income Statement'!$C$3*-1</f>
        <v>0.1834723397343474</v>
      </c>
      <c r="M16" s="155">
        <f ca="1">'Income Statement'!M16/'Income Statement'!$D$3*-1</f>
        <v>0.18656923294746353</v>
      </c>
      <c r="N16" s="155">
        <f ca="1">'Income Statement'!N16/'Income Statement'!$E$3*-1</f>
        <v>0.14559840371766958</v>
      </c>
      <c r="O16" s="155">
        <f ca="1">'Income Statement'!O16/'Income Statement'!$F$3*-1</f>
        <v>0.13388079567469449</v>
      </c>
      <c r="P16" s="155">
        <f ca="1">'Income Statement'!P16/'Income Statement'!$G$3*-1</f>
        <v>0.10877136628453617</v>
      </c>
    </row>
    <row r="17" spans="1:16" x14ac:dyDescent="0.35">
      <c r="A17" s="5" t="s">
        <v>12</v>
      </c>
      <c r="B17" s="11">
        <f t="shared" ref="B17:G17" si="3">B15+B16</f>
        <v>34516760</v>
      </c>
      <c r="C17" s="11">
        <f t="shared" si="3"/>
        <v>37187037</v>
      </c>
      <c r="D17" s="11">
        <f t="shared" si="3"/>
        <v>34129056</v>
      </c>
      <c r="E17" s="11">
        <f t="shared" si="3"/>
        <v>30091598</v>
      </c>
      <c r="F17" s="11">
        <f t="shared" si="3"/>
        <v>33074873</v>
      </c>
      <c r="G17" s="12">
        <f t="shared" si="3"/>
        <v>25144727</v>
      </c>
      <c r="J17" s="5" t="s">
        <v>12</v>
      </c>
      <c r="K17" s="156">
        <f ca="1">'Income Statement'!K17/'Income Statement'!$B$3</f>
        <v>0.24027325615322426</v>
      </c>
      <c r="L17" s="156">
        <f ca="1">'Income Statement'!L17/'Income Statement'!$C$3</f>
        <v>0.26637103071690366</v>
      </c>
      <c r="M17" s="156">
        <f ca="1">'Income Statement'!M17/'Income Statement'!$D$3</f>
        <v>0.23855483857114435</v>
      </c>
      <c r="N17" s="156">
        <f ca="1">'Income Statement'!N17/'Income Statement'!$E$3</f>
        <v>0.20007249965757107</v>
      </c>
      <c r="O17" s="156">
        <f ca="1">'Income Statement'!O17/'Income Statement'!$F$3</f>
        <v>0.20839052727561155</v>
      </c>
      <c r="P17" s="156">
        <f ca="1">'Income Statement'!P17/'Income Statement'!$G$3</f>
        <v>0.1586948728844054</v>
      </c>
    </row>
    <row r="18" spans="1:16" x14ac:dyDescent="0.35">
      <c r="A18" s="5" t="s">
        <v>13</v>
      </c>
      <c r="B18" s="4"/>
      <c r="C18" s="4"/>
      <c r="D18" s="4"/>
      <c r="E18" s="4"/>
      <c r="F18" s="4"/>
      <c r="G18" s="7"/>
      <c r="J18" s="5" t="s">
        <v>13</v>
      </c>
      <c r="K18" s="155"/>
      <c r="L18" s="155"/>
      <c r="M18" s="155"/>
      <c r="N18" s="155"/>
      <c r="O18" s="155"/>
      <c r="P18" s="155"/>
    </row>
    <row r="19" spans="1:16" x14ac:dyDescent="0.35">
      <c r="A19" s="5" t="s">
        <v>14</v>
      </c>
      <c r="B19" s="13"/>
      <c r="C19" s="13"/>
      <c r="D19" s="13"/>
      <c r="E19" s="13"/>
      <c r="F19" s="13"/>
      <c r="G19" s="14"/>
      <c r="H19" s="75"/>
      <c r="J19" s="5" t="s">
        <v>14</v>
      </c>
      <c r="K19" s="155"/>
      <c r="L19" s="155"/>
      <c r="M19" s="155"/>
      <c r="N19" s="155"/>
      <c r="O19" s="155"/>
      <c r="P19" s="155"/>
    </row>
    <row r="20" spans="1:16" x14ac:dyDescent="0.35">
      <c r="A20" s="6" t="s">
        <v>15</v>
      </c>
      <c r="B20" s="4">
        <v>127659</v>
      </c>
      <c r="C20" s="4">
        <v>-783080</v>
      </c>
      <c r="D20" s="4">
        <v>166647</v>
      </c>
      <c r="E20" s="4">
        <v>-3164</v>
      </c>
      <c r="F20" s="4">
        <v>386265</v>
      </c>
      <c r="G20" s="7">
        <v>379566</v>
      </c>
      <c r="I20" s="3"/>
      <c r="J20" s="6" t="s">
        <v>15</v>
      </c>
      <c r="K20" s="155">
        <f ca="1">'Income Statement'!K20/'Income Statement'!$B$3</f>
        <v>8.8864202802535507E-4</v>
      </c>
      <c r="L20" s="155">
        <f ca="1">'Income Statement'!L20/'Income Statement'!$C$3*-1</f>
        <v>5.6092080348803522E-3</v>
      </c>
      <c r="M20" s="155">
        <f ca="1">'Income Statement'!M20/'Income Statement'!$D$3</f>
        <v>1.1648270665138084E-3</v>
      </c>
      <c r="N20" s="155">
        <f ca="1">'Income Statement'!N20/'Income Statement'!$E$3</f>
        <v>-2.1036748826584579E-5</v>
      </c>
      <c r="O20" s="155">
        <f ca="1">'Income Statement'!O20/'Income Statement'!$F$3</f>
        <v>2.4336893755605381E-3</v>
      </c>
      <c r="P20" s="155">
        <f ca="1">'Income Statement'!P20/'Income Statement'!$G$3</f>
        <v>2.3955391570265297E-3</v>
      </c>
    </row>
    <row r="21" spans="1:16" x14ac:dyDescent="0.35">
      <c r="A21" s="6" t="s">
        <v>16</v>
      </c>
      <c r="B21" s="13">
        <v>-51063</v>
      </c>
      <c r="C21" s="13">
        <v>313232</v>
      </c>
      <c r="D21" s="13">
        <v>-66659</v>
      </c>
      <c r="E21" s="13">
        <v>1266</v>
      </c>
      <c r="F21" s="13">
        <v>-154506</v>
      </c>
      <c r="G21" s="14">
        <v>-151826</v>
      </c>
      <c r="J21" s="6" t="s">
        <v>16</v>
      </c>
      <c r="K21" s="155">
        <f ca="1">'Income Statement'!K21/'Income Statement'!$B$3*-1</f>
        <v>3.5545263457381545E-4</v>
      </c>
      <c r="L21" s="155">
        <f ca="1">'Income Statement'!L21/'Income Statement'!$C$3</f>
        <v>2.2436832139521405E-3</v>
      </c>
      <c r="M21" s="155">
        <f ca="1">'Income Statement'!M21/'Income Statement'!$D$3*-1</f>
        <v>4.6593222456296215E-4</v>
      </c>
      <c r="N21" s="155">
        <f ca="1">'Income Statement'!N21/'Income Statement'!$E$3</f>
        <v>8.4173590437598223E-6</v>
      </c>
      <c r="O21" s="155">
        <f ca="1">'Income Statement'!O21/'Income Statement'!$F$3*-1</f>
        <v>9.7347575022421523E-4</v>
      </c>
      <c r="P21" s="155">
        <f ca="1">'Income Statement'!P21/'Income Statement'!$G$3*-1</f>
        <v>9.5821313830719791E-4</v>
      </c>
    </row>
    <row r="22" spans="1:16" x14ac:dyDescent="0.35">
      <c r="A22" s="5" t="s">
        <v>17</v>
      </c>
      <c r="B22" s="150">
        <f>B17+B20+B21</f>
        <v>34593356</v>
      </c>
      <c r="C22" s="150">
        <f>C17+C20-C21</f>
        <v>36090725</v>
      </c>
      <c r="D22" s="150">
        <f>D17-D20+D21</f>
        <v>33895750</v>
      </c>
      <c r="E22" s="150">
        <f>E17+E20-E21</f>
        <v>30087168</v>
      </c>
      <c r="F22" s="150">
        <f>F17-F20+F21</f>
        <v>32534102</v>
      </c>
      <c r="G22" s="151">
        <f>G17-G20+G21</f>
        <v>24613335</v>
      </c>
      <c r="J22" s="5" t="s">
        <v>17</v>
      </c>
      <c r="K22" s="156">
        <f ca="1">'Income Statement'!K22/'Income Statement'!$B$3</f>
        <v>0.2408064455466758</v>
      </c>
      <c r="L22" s="156">
        <f ca="1">'Income Statement'!L22/'Income Statement'!$C$3</f>
        <v>0.25851813946807117</v>
      </c>
      <c r="M22" s="156">
        <f ca="1">'Income Statement'!M22/'Income Statement'!$D$3</f>
        <v>0.23692407928006759</v>
      </c>
      <c r="N22" s="156">
        <f ca="1">'Income Statement'!N22/'Income Statement'!$E$3</f>
        <v>0.20004304554970073</v>
      </c>
      <c r="O22" s="156">
        <f ca="1">'Income Statement'!O22/'Income Statement'!$F$3</f>
        <v>0.20498336214982679</v>
      </c>
      <c r="P22" s="156">
        <f ca="1">'Income Statement'!P22/'Income Statement'!$G$3</f>
        <v>0.15534112058907168</v>
      </c>
    </row>
    <row r="23" spans="1:16" x14ac:dyDescent="0.35">
      <c r="A23" s="5" t="s">
        <v>18</v>
      </c>
      <c r="B23" s="18"/>
      <c r="C23" s="18"/>
      <c r="D23" s="18"/>
      <c r="E23" s="13"/>
      <c r="F23" s="13"/>
      <c r="G23" s="14"/>
    </row>
    <row r="24" spans="1:16" x14ac:dyDescent="0.35">
      <c r="A24" s="6" t="s">
        <v>19</v>
      </c>
      <c r="B24" s="17"/>
      <c r="C24" s="17"/>
      <c r="D24" s="17"/>
      <c r="E24" s="4"/>
      <c r="F24" s="4"/>
      <c r="G24" s="7"/>
    </row>
    <row r="25" spans="1:16" x14ac:dyDescent="0.35">
      <c r="A25" s="9" t="s">
        <v>20</v>
      </c>
      <c r="B25" s="149">
        <v>25.56</v>
      </c>
      <c r="C25" s="149">
        <v>27.54</v>
      </c>
      <c r="D25" s="149">
        <v>25.28</v>
      </c>
      <c r="E25" s="15">
        <v>22.29</v>
      </c>
      <c r="F25" s="15">
        <v>24.49</v>
      </c>
      <c r="G25" s="16">
        <v>26.89</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1"/>
  <sheetViews>
    <sheetView zoomScale="65" zoomScaleNormal="100" workbookViewId="0">
      <selection activeCell="I6" sqref="I6"/>
    </sheetView>
  </sheetViews>
  <sheetFormatPr defaultRowHeight="14.5" x14ac:dyDescent="0.35"/>
  <cols>
    <col min="1" max="1" width="36.26953125" bestFit="1" customWidth="1"/>
    <col min="2" max="2" width="15.54296875" customWidth="1"/>
    <col min="3" max="3" width="12.54296875" customWidth="1"/>
    <col min="4" max="4" width="11.54296875" customWidth="1"/>
    <col min="5" max="5" width="12.54296875" customWidth="1"/>
    <col min="6" max="6" width="12.81640625" customWidth="1"/>
    <col min="7" max="7" width="11.453125" customWidth="1"/>
    <col min="9" max="9" width="46.7265625" customWidth="1"/>
  </cols>
  <sheetData>
    <row r="1" spans="1:15" x14ac:dyDescent="0.35">
      <c r="A1" s="141" t="s">
        <v>319</v>
      </c>
      <c r="I1" s="141" t="s">
        <v>320</v>
      </c>
    </row>
    <row r="2" spans="1:15" x14ac:dyDescent="0.35">
      <c r="A2" s="176" t="s">
        <v>145</v>
      </c>
      <c r="B2" s="99">
        <v>2019</v>
      </c>
      <c r="C2" s="99">
        <v>2020</v>
      </c>
      <c r="D2" s="99">
        <v>2021</v>
      </c>
      <c r="E2" s="99">
        <v>2022</v>
      </c>
      <c r="F2" s="99">
        <v>2023</v>
      </c>
      <c r="G2" s="99">
        <v>2024</v>
      </c>
      <c r="H2" s="73"/>
      <c r="I2" s="176" t="s">
        <v>145</v>
      </c>
      <c r="J2" s="99">
        <v>2019</v>
      </c>
      <c r="K2" s="99">
        <v>2020</v>
      </c>
      <c r="L2" s="99">
        <v>2021</v>
      </c>
      <c r="M2" s="99">
        <v>2022</v>
      </c>
      <c r="N2" s="99">
        <v>2023</v>
      </c>
      <c r="O2" s="99">
        <v>2024</v>
      </c>
    </row>
    <row r="3" spans="1:15" x14ac:dyDescent="0.35">
      <c r="A3" s="77" t="s">
        <v>21</v>
      </c>
      <c r="B3" s="90"/>
      <c r="C3" s="90"/>
      <c r="D3" s="90"/>
      <c r="E3" s="90"/>
      <c r="F3" s="90"/>
      <c r="G3" s="90"/>
      <c r="H3" s="73"/>
      <c r="I3" s="77" t="s">
        <v>21</v>
      </c>
      <c r="J3" s="90"/>
      <c r="K3" s="90"/>
      <c r="L3" s="90"/>
      <c r="M3" s="90"/>
      <c r="N3" s="90"/>
      <c r="O3" s="90"/>
    </row>
    <row r="4" spans="1:15" x14ac:dyDescent="0.35">
      <c r="A4" s="77" t="s">
        <v>22</v>
      </c>
      <c r="B4" s="90"/>
      <c r="C4" s="90"/>
      <c r="D4" s="90"/>
      <c r="E4" s="90"/>
      <c r="F4" s="90"/>
      <c r="G4" s="90"/>
      <c r="H4" s="73"/>
      <c r="I4" s="77" t="s">
        <v>22</v>
      </c>
      <c r="J4" s="90"/>
      <c r="K4" s="90"/>
      <c r="L4" s="90"/>
      <c r="M4" s="90"/>
      <c r="N4" s="90"/>
      <c r="O4" s="90"/>
    </row>
    <row r="5" spans="1:15" x14ac:dyDescent="0.35">
      <c r="A5" s="185" t="s">
        <v>23</v>
      </c>
      <c r="B5" s="186" t="s">
        <v>24</v>
      </c>
      <c r="C5" s="186">
        <v>56901192</v>
      </c>
      <c r="D5" s="186" t="s">
        <v>95</v>
      </c>
      <c r="E5" s="186">
        <v>62849119</v>
      </c>
      <c r="F5" s="186">
        <v>67019995</v>
      </c>
      <c r="G5" s="186" t="s">
        <v>121</v>
      </c>
      <c r="H5" s="73"/>
      <c r="I5" s="78" t="s">
        <v>23</v>
      </c>
      <c r="J5" s="155">
        <v>0.41951659313941464</v>
      </c>
      <c r="K5" s="155">
        <v>0.38398929894855205</v>
      </c>
      <c r="L5" s="155">
        <v>0.37046303869264746</v>
      </c>
      <c r="M5" s="155">
        <v>0.33956451690913442</v>
      </c>
      <c r="N5" s="155">
        <v>0.33439739270203733</v>
      </c>
      <c r="O5" s="155">
        <v>0.3436476341417381</v>
      </c>
    </row>
    <row r="6" spans="1:15" x14ac:dyDescent="0.35">
      <c r="A6" s="185" t="s">
        <v>25</v>
      </c>
      <c r="B6" s="186" t="s">
        <v>26</v>
      </c>
      <c r="C6" s="186">
        <v>2316587</v>
      </c>
      <c r="D6" s="186" t="s">
        <v>96</v>
      </c>
      <c r="E6" s="186">
        <v>4023092</v>
      </c>
      <c r="F6" s="186">
        <v>4396001</v>
      </c>
      <c r="G6" s="186" t="s">
        <v>122</v>
      </c>
      <c r="H6" s="73"/>
      <c r="I6" s="78" t="s">
        <v>25</v>
      </c>
      <c r="J6" s="155">
        <v>1.5294394998892725E-2</v>
      </c>
      <c r="K6" s="155">
        <v>1.5633145577746935E-2</v>
      </c>
      <c r="L6" s="155">
        <v>2.2283111342430873E-2</v>
      </c>
      <c r="M6" s="155">
        <v>2.1736172490516591E-2</v>
      </c>
      <c r="N6" s="155">
        <v>2.1933920954717301E-2</v>
      </c>
      <c r="O6" s="155">
        <v>2.4009864320683114E-2</v>
      </c>
    </row>
    <row r="7" spans="1:15" x14ac:dyDescent="0.35">
      <c r="A7" s="185" t="s">
        <v>27</v>
      </c>
      <c r="B7" s="186" t="s">
        <v>28</v>
      </c>
      <c r="C7" s="186">
        <v>53532673</v>
      </c>
      <c r="D7" s="186" t="s">
        <v>97</v>
      </c>
      <c r="E7" s="186">
        <v>80501010</v>
      </c>
      <c r="F7" s="186">
        <v>76086723</v>
      </c>
      <c r="G7" s="186" t="s">
        <v>123</v>
      </c>
      <c r="H7" s="73"/>
      <c r="I7" s="78" t="s">
        <v>27</v>
      </c>
      <c r="J7" s="155">
        <v>0.39014864360047063</v>
      </c>
      <c r="K7" s="155">
        <v>0.36125734547199079</v>
      </c>
      <c r="L7" s="155">
        <v>0.38362741944072476</v>
      </c>
      <c r="M7" s="155">
        <v>0.43493507954100996</v>
      </c>
      <c r="N7" s="155">
        <v>0.37963598461089315</v>
      </c>
      <c r="O7" s="155">
        <v>0.39079522707469061</v>
      </c>
    </row>
    <row r="8" spans="1:15" x14ac:dyDescent="0.35">
      <c r="A8" s="185" t="s">
        <v>30</v>
      </c>
      <c r="B8" s="186" t="s">
        <v>31</v>
      </c>
      <c r="C8" s="186">
        <v>4934438</v>
      </c>
      <c r="D8" s="186" t="s">
        <v>98</v>
      </c>
      <c r="E8" s="186">
        <v>5148908</v>
      </c>
      <c r="F8" s="186">
        <v>7141432</v>
      </c>
      <c r="G8" s="186" t="s">
        <v>124</v>
      </c>
      <c r="H8" s="73"/>
      <c r="I8" s="78" t="s">
        <v>30</v>
      </c>
      <c r="J8" s="155">
        <v>3.012185706413005E-2</v>
      </c>
      <c r="K8" s="155">
        <v>3.3299326810677272E-2</v>
      </c>
      <c r="L8" s="155">
        <v>3.7028899674540948E-2</v>
      </c>
      <c r="M8" s="155">
        <v>2.7818790230449812E-2</v>
      </c>
      <c r="N8" s="155">
        <v>3.5632295122655498E-2</v>
      </c>
      <c r="O8" s="155">
        <v>5.2485932249920188E-2</v>
      </c>
    </row>
    <row r="9" spans="1:15" x14ac:dyDescent="0.35">
      <c r="A9" s="185" t="s">
        <v>32</v>
      </c>
      <c r="B9" s="186" t="s">
        <v>33</v>
      </c>
      <c r="C9" s="186">
        <v>20568456</v>
      </c>
      <c r="D9" s="186" t="s">
        <v>99</v>
      </c>
      <c r="E9" s="186">
        <v>20471567</v>
      </c>
      <c r="F9" s="186">
        <v>20471568</v>
      </c>
      <c r="G9" s="186" t="s">
        <v>125</v>
      </c>
      <c r="H9" s="73"/>
      <c r="I9" s="78" t="s">
        <v>32</v>
      </c>
      <c r="J9" s="155">
        <v>3.7328278991126881E-3</v>
      </c>
      <c r="K9" s="155">
        <v>0.13880319062374191</v>
      </c>
      <c r="L9" s="155">
        <v>0.1260627294537868</v>
      </c>
      <c r="M9" s="155">
        <v>0.11060485603191954</v>
      </c>
      <c r="N9" s="155">
        <v>0.10214323298177597</v>
      </c>
      <c r="O9" s="155">
        <v>7.3351537815375756E-3</v>
      </c>
    </row>
    <row r="10" spans="1:15" x14ac:dyDescent="0.35">
      <c r="A10" s="77" t="s">
        <v>34</v>
      </c>
      <c r="B10" s="187" t="s">
        <v>35</v>
      </c>
      <c r="C10" s="187" t="s">
        <v>86</v>
      </c>
      <c r="D10" s="187" t="s">
        <v>100</v>
      </c>
      <c r="E10" s="187">
        <v>172993696</v>
      </c>
      <c r="F10" s="187">
        <v>175115719</v>
      </c>
      <c r="G10" s="187" t="s">
        <v>126</v>
      </c>
      <c r="H10" s="71"/>
      <c r="I10" s="77" t="s">
        <v>34</v>
      </c>
      <c r="J10" s="156">
        <v>0.85881431670202069</v>
      </c>
      <c r="K10" s="156">
        <v>0.93298230743270893</v>
      </c>
      <c r="L10" s="156">
        <v>0.9394651986041308</v>
      </c>
      <c r="M10" s="156">
        <v>0.93465941520303031</v>
      </c>
      <c r="N10" s="156">
        <v>0.87374282637207923</v>
      </c>
      <c r="O10" s="156">
        <v>0.10322595368291408</v>
      </c>
    </row>
    <row r="11" spans="1:15" x14ac:dyDescent="0.35">
      <c r="A11" s="77" t="s">
        <v>36</v>
      </c>
      <c r="B11" s="186"/>
      <c r="C11" s="186"/>
      <c r="D11" s="186"/>
      <c r="E11" s="186"/>
      <c r="F11" s="186"/>
      <c r="G11" s="186"/>
      <c r="H11" s="73"/>
      <c r="I11" s="77" t="s">
        <v>36</v>
      </c>
      <c r="J11" s="155"/>
      <c r="K11" s="155"/>
      <c r="L11" s="155"/>
      <c r="M11" s="155"/>
      <c r="N11" s="155"/>
      <c r="O11" s="155"/>
    </row>
    <row r="12" spans="1:15" x14ac:dyDescent="0.35">
      <c r="A12" s="185" t="s">
        <v>37</v>
      </c>
      <c r="B12" s="186" t="s">
        <v>38</v>
      </c>
      <c r="C12" s="186">
        <v>201068</v>
      </c>
      <c r="D12" s="186" t="s">
        <v>101</v>
      </c>
      <c r="E12" s="186">
        <v>1088393</v>
      </c>
      <c r="F12" s="186">
        <v>591449</v>
      </c>
      <c r="G12" s="145">
        <v>407655</v>
      </c>
      <c r="H12" s="73"/>
      <c r="I12" s="78" t="s">
        <v>37</v>
      </c>
      <c r="J12" s="155">
        <v>1.5157284841568147E-3</v>
      </c>
      <c r="K12" s="155">
        <v>1.3568777322096777E-3</v>
      </c>
      <c r="L12" s="155">
        <v>1.5964376429235907E-3</v>
      </c>
      <c r="M12" s="155">
        <v>5.8804267924946344E-3</v>
      </c>
      <c r="N12" s="155">
        <v>2.9510447369658454E-3</v>
      </c>
      <c r="O12" s="155">
        <v>2.0500295929318764E-3</v>
      </c>
    </row>
    <row r="13" spans="1:15" x14ac:dyDescent="0.35">
      <c r="A13" s="185" t="s">
        <v>39</v>
      </c>
      <c r="B13" s="186" t="s">
        <v>40</v>
      </c>
      <c r="C13" s="186">
        <v>7131165</v>
      </c>
      <c r="D13" s="186" t="s">
        <v>102</v>
      </c>
      <c r="E13" s="186">
        <v>7679405</v>
      </c>
      <c r="F13" s="186">
        <v>7994702</v>
      </c>
      <c r="G13" s="186" t="s">
        <v>127</v>
      </c>
      <c r="H13" s="73"/>
      <c r="I13" s="78" t="s">
        <v>39</v>
      </c>
      <c r="J13" s="155">
        <v>4.715151278162092E-2</v>
      </c>
      <c r="K13" s="155">
        <v>4.8123614862698325E-2</v>
      </c>
      <c r="L13" s="155">
        <v>4.2076103875006841E-2</v>
      </c>
      <c r="M13" s="155">
        <v>4.1490692160292518E-2</v>
      </c>
      <c r="N13" s="155">
        <v>3.9889700144408589E-2</v>
      </c>
      <c r="O13" s="155">
        <v>3.9566559309595718E-2</v>
      </c>
    </row>
    <row r="14" spans="1:15" x14ac:dyDescent="0.35">
      <c r="A14" s="185" t="s">
        <v>41</v>
      </c>
      <c r="B14" s="186" t="s">
        <v>42</v>
      </c>
      <c r="C14" s="186">
        <v>2598738</v>
      </c>
      <c r="D14" s="186" t="s">
        <v>103</v>
      </c>
      <c r="E14" s="186">
        <v>3325922</v>
      </c>
      <c r="F14" s="186">
        <v>16718338</v>
      </c>
      <c r="G14" s="79" t="s">
        <v>128</v>
      </c>
      <c r="H14" s="73"/>
      <c r="I14" s="78" t="s">
        <v>41</v>
      </c>
      <c r="J14" s="155">
        <v>9.2518442032201526E-2</v>
      </c>
      <c r="K14" s="155">
        <v>1.7537199972383042E-2</v>
      </c>
      <c r="L14" s="155">
        <v>1.6862259877938744E-2</v>
      </c>
      <c r="M14" s="155">
        <v>1.7969465844182513E-2</v>
      </c>
      <c r="N14" s="155">
        <v>8.3416428746546353E-2</v>
      </c>
      <c r="O14" s="155">
        <v>3.6883645845988709E-2</v>
      </c>
    </row>
    <row r="15" spans="1:15" x14ac:dyDescent="0.35">
      <c r="A15" s="77" t="s">
        <v>43</v>
      </c>
      <c r="B15" s="187" t="s">
        <v>44</v>
      </c>
      <c r="C15" s="187" t="s">
        <v>87</v>
      </c>
      <c r="D15" s="187" t="s">
        <v>104</v>
      </c>
      <c r="E15" s="187">
        <v>12093720</v>
      </c>
      <c r="F15" s="187">
        <v>25304489</v>
      </c>
      <c r="G15" s="187" t="s">
        <v>129</v>
      </c>
      <c r="H15" s="73"/>
      <c r="I15" s="77" t="s">
        <v>43</v>
      </c>
      <c r="J15" s="156">
        <v>0.14118568329797926</v>
      </c>
      <c r="K15" s="156">
        <v>6.7017692567291051E-2</v>
      </c>
      <c r="L15" s="156">
        <v>6.0534801395869177E-2</v>
      </c>
      <c r="M15" s="156">
        <v>6.5340584796969664E-2</v>
      </c>
      <c r="N15" s="156">
        <v>0.1262571736279208</v>
      </c>
      <c r="O15" s="156">
        <v>7.8500234748516307E-2</v>
      </c>
    </row>
    <row r="16" spans="1:15" x14ac:dyDescent="0.35">
      <c r="A16" s="77" t="s">
        <v>45</v>
      </c>
      <c r="B16" s="187" t="s">
        <v>46</v>
      </c>
      <c r="C16" s="187" t="s">
        <v>88</v>
      </c>
      <c r="D16" s="187" t="s">
        <v>105</v>
      </c>
      <c r="E16" s="187">
        <v>185087416</v>
      </c>
      <c r="F16" s="187">
        <v>200420208</v>
      </c>
      <c r="G16" s="187" t="s">
        <v>130</v>
      </c>
      <c r="H16" s="73"/>
      <c r="I16" s="77" t="s">
        <v>45</v>
      </c>
      <c r="J16" s="156">
        <v>1</v>
      </c>
      <c r="K16" s="156">
        <v>1</v>
      </c>
      <c r="L16" s="156">
        <v>1</v>
      </c>
      <c r="M16" s="156">
        <v>1</v>
      </c>
      <c r="N16" s="156">
        <v>1</v>
      </c>
      <c r="O16" s="156">
        <v>1</v>
      </c>
    </row>
    <row r="17" spans="1:15" x14ac:dyDescent="0.35">
      <c r="A17" s="77" t="s">
        <v>47</v>
      </c>
      <c r="B17" s="186"/>
      <c r="C17" s="186"/>
      <c r="D17" s="186"/>
      <c r="E17" s="186"/>
      <c r="F17" s="186"/>
      <c r="G17" s="186"/>
      <c r="H17" s="73"/>
      <c r="I17" s="77" t="s">
        <v>47</v>
      </c>
      <c r="J17" s="155"/>
      <c r="K17" s="155"/>
      <c r="L17" s="155"/>
      <c r="M17" s="155"/>
      <c r="N17" s="155"/>
      <c r="O17" s="155"/>
    </row>
    <row r="18" spans="1:15" x14ac:dyDescent="0.35">
      <c r="A18" s="77" t="s">
        <v>48</v>
      </c>
      <c r="B18" s="186"/>
      <c r="C18" s="186"/>
      <c r="D18" s="186"/>
      <c r="E18" s="186"/>
      <c r="F18" s="186"/>
      <c r="G18" s="186"/>
      <c r="H18" s="73"/>
      <c r="I18" s="77" t="s">
        <v>48</v>
      </c>
      <c r="J18" s="155"/>
      <c r="K18" s="155"/>
      <c r="L18" s="155"/>
      <c r="M18" s="155"/>
      <c r="N18" s="155"/>
      <c r="O18" s="155"/>
    </row>
    <row r="19" spans="1:15" x14ac:dyDescent="0.35">
      <c r="A19" s="185" t="s">
        <v>49</v>
      </c>
      <c r="B19" s="186" t="s">
        <v>50</v>
      </c>
      <c r="C19" s="186">
        <v>13503000</v>
      </c>
      <c r="D19" s="186" t="s">
        <v>50</v>
      </c>
      <c r="E19" s="186">
        <v>13503000</v>
      </c>
      <c r="F19" s="186">
        <v>13503000</v>
      </c>
      <c r="G19" s="186">
        <v>13503000</v>
      </c>
      <c r="H19" s="73"/>
      <c r="I19" s="78" t="s">
        <v>49</v>
      </c>
      <c r="J19" s="155">
        <v>9.0785978245170443E-2</v>
      </c>
      <c r="K19" s="155">
        <v>9.1123003252766621E-2</v>
      </c>
      <c r="L19" s="155">
        <v>8.2837096001219093E-2</v>
      </c>
      <c r="M19" s="155">
        <v>7.2954716705321554E-2</v>
      </c>
      <c r="N19" s="155">
        <v>6.7373445695655607E-2</v>
      </c>
      <c r="O19" s="155">
        <v>6.7904354401047765E-2</v>
      </c>
    </row>
    <row r="20" spans="1:15" x14ac:dyDescent="0.35">
      <c r="A20" s="185" t="s">
        <v>51</v>
      </c>
      <c r="B20" s="186" t="s">
        <v>52</v>
      </c>
      <c r="C20" s="186">
        <v>7840226</v>
      </c>
      <c r="D20" s="186" t="s">
        <v>52</v>
      </c>
      <c r="E20" s="186">
        <v>7840226</v>
      </c>
      <c r="F20" s="186">
        <v>7840226</v>
      </c>
      <c r="G20" s="186" t="s">
        <v>52</v>
      </c>
      <c r="H20" s="73"/>
      <c r="I20" s="78" t="s">
        <v>51</v>
      </c>
      <c r="J20" s="155">
        <v>5.2712922096809577E-2</v>
      </c>
      <c r="K20" s="155">
        <v>5.2908608405571017E-2</v>
      </c>
      <c r="L20" s="155">
        <v>4.8097574896930603E-2</v>
      </c>
      <c r="M20" s="155">
        <v>4.235958429502306E-2</v>
      </c>
      <c r="N20" s="155">
        <v>3.9118939543262024E-2</v>
      </c>
      <c r="O20" s="155">
        <v>3.9427200243524335E-2</v>
      </c>
    </row>
    <row r="21" spans="1:15" x14ac:dyDescent="0.35">
      <c r="A21" s="185" t="s">
        <v>53</v>
      </c>
      <c r="B21" s="186" t="s">
        <v>54</v>
      </c>
      <c r="C21" s="186">
        <v>14446</v>
      </c>
      <c r="D21" s="186" t="s">
        <v>54</v>
      </c>
      <c r="E21" s="186">
        <v>14446</v>
      </c>
      <c r="F21" s="186">
        <v>14446</v>
      </c>
      <c r="G21" s="186" t="s">
        <v>54</v>
      </c>
      <c r="H21" s="73"/>
      <c r="I21" s="78" t="s">
        <v>53</v>
      </c>
      <c r="J21" s="155">
        <v>9.7126138023382374E-5</v>
      </c>
      <c r="K21" s="155">
        <v>9.7486699621526072E-5</v>
      </c>
      <c r="L21" s="155">
        <v>8.86221349947131E-5</v>
      </c>
      <c r="M21" s="155">
        <v>7.8049606570767624E-5</v>
      </c>
      <c r="N21" s="155">
        <v>7.2078560062166982E-5</v>
      </c>
      <c r="O21" s="155">
        <v>7.2646545484524624E-5</v>
      </c>
    </row>
    <row r="22" spans="1:15" x14ac:dyDescent="0.35">
      <c r="A22" s="185" t="s">
        <v>55</v>
      </c>
      <c r="B22" s="186" t="s">
        <v>56</v>
      </c>
      <c r="C22" s="186"/>
      <c r="D22" s="186"/>
      <c r="E22" s="186"/>
      <c r="F22" s="186"/>
      <c r="G22" s="90"/>
      <c r="H22" s="73"/>
      <c r="I22" s="78" t="s">
        <v>55</v>
      </c>
      <c r="J22" s="155">
        <v>1.2639979197283599E-5</v>
      </c>
      <c r="K22" s="155">
        <v>0</v>
      </c>
      <c r="L22" s="155">
        <v>0</v>
      </c>
      <c r="M22" s="155">
        <v>0</v>
      </c>
      <c r="N22" s="155">
        <v>0</v>
      </c>
      <c r="O22" s="155">
        <v>0</v>
      </c>
    </row>
    <row r="23" spans="1:15" x14ac:dyDescent="0.35">
      <c r="A23" s="185" t="s">
        <v>57</v>
      </c>
      <c r="B23" s="186" t="s">
        <v>58</v>
      </c>
      <c r="C23" s="186">
        <v>30749942</v>
      </c>
      <c r="D23" s="186" t="s">
        <v>106</v>
      </c>
      <c r="E23" s="186">
        <v>24853086</v>
      </c>
      <c r="F23" s="186">
        <v>45331868</v>
      </c>
      <c r="G23" s="186" t="s">
        <v>131</v>
      </c>
      <c r="H23" s="73"/>
      <c r="I23" s="78" t="s">
        <v>57</v>
      </c>
      <c r="J23" s="155">
        <v>0.11421601517367648</v>
      </c>
      <c r="K23" s="155">
        <v>0.20751144670727875</v>
      </c>
      <c r="L23" s="155">
        <v>0.17496759028525702</v>
      </c>
      <c r="M23" s="155">
        <v>0.13427755671946925</v>
      </c>
      <c r="N23" s="155">
        <v>0.22618411812046418</v>
      </c>
      <c r="O23" s="155">
        <v>0.21817491048309717</v>
      </c>
    </row>
    <row r="24" spans="1:15" x14ac:dyDescent="0.35">
      <c r="A24" s="77" t="s">
        <v>59</v>
      </c>
      <c r="B24" s="187" t="s">
        <v>60</v>
      </c>
      <c r="C24" s="187" t="s">
        <v>89</v>
      </c>
      <c r="D24" s="187" t="s">
        <v>107</v>
      </c>
      <c r="E24" s="187">
        <v>46210758</v>
      </c>
      <c r="F24" s="187">
        <v>66689540</v>
      </c>
      <c r="G24" s="187" t="s">
        <v>132</v>
      </c>
      <c r="H24" s="73"/>
      <c r="I24" s="77" t="s">
        <v>59</v>
      </c>
      <c r="J24" s="155">
        <v>0.25782468163287714</v>
      </c>
      <c r="K24" s="155">
        <v>0.3516405450652379</v>
      </c>
      <c r="L24" s="155">
        <v>0.30599088331840141</v>
      </c>
      <c r="M24" s="155">
        <v>0.24966990732638464</v>
      </c>
      <c r="N24" s="155">
        <v>0.33274858191944395</v>
      </c>
      <c r="O24" s="155">
        <v>0.32557911167315379</v>
      </c>
    </row>
    <row r="25" spans="1:15" x14ac:dyDescent="0.35">
      <c r="A25" s="77" t="s">
        <v>90</v>
      </c>
      <c r="B25" s="186"/>
      <c r="C25" s="186"/>
      <c r="D25" s="186"/>
      <c r="E25" s="186"/>
      <c r="F25" s="186"/>
      <c r="G25" s="186"/>
      <c r="H25" s="73"/>
      <c r="I25" s="77" t="s">
        <v>90</v>
      </c>
      <c r="J25" s="155"/>
      <c r="K25" s="155"/>
      <c r="L25" s="155"/>
      <c r="M25" s="155"/>
      <c r="N25" s="155"/>
      <c r="O25" s="155"/>
    </row>
    <row r="26" spans="1:15" ht="17.25" customHeight="1" x14ac:dyDescent="0.35">
      <c r="A26" s="188" t="s">
        <v>93</v>
      </c>
      <c r="B26" s="186" t="s">
        <v>61</v>
      </c>
      <c r="C26" s="186">
        <v>14146840</v>
      </c>
      <c r="D26" s="186" t="s">
        <v>108</v>
      </c>
      <c r="E26" s="186">
        <v>41046666</v>
      </c>
      <c r="F26" s="186">
        <v>40212825</v>
      </c>
      <c r="G26" s="186" t="s">
        <v>133</v>
      </c>
      <c r="H26" s="73"/>
      <c r="I26" s="148" t="s">
        <v>93</v>
      </c>
      <c r="J26" s="155">
        <v>9.0658946454237749E-2</v>
      </c>
      <c r="K26" s="155">
        <v>9.5467862499916234E-2</v>
      </c>
      <c r="L26" s="155">
        <v>0.13910555690110368</v>
      </c>
      <c r="M26" s="155">
        <v>0.22176908018425195</v>
      </c>
      <c r="N26" s="155">
        <v>0.20064256694115395</v>
      </c>
      <c r="O26" s="155">
        <v>0.2456781151456999</v>
      </c>
    </row>
    <row r="27" spans="1:15" x14ac:dyDescent="0.35">
      <c r="A27" s="185" t="s">
        <v>63</v>
      </c>
      <c r="B27" s="186" t="s">
        <v>64</v>
      </c>
      <c r="C27" s="186">
        <v>3350834</v>
      </c>
      <c r="D27" s="186" t="s">
        <v>109</v>
      </c>
      <c r="E27" s="186">
        <v>3060593</v>
      </c>
      <c r="F27" s="186">
        <v>479369</v>
      </c>
      <c r="G27" s="186" t="s">
        <v>29</v>
      </c>
      <c r="H27" s="73"/>
      <c r="I27" s="78" t="s">
        <v>63</v>
      </c>
      <c r="J27" s="155">
        <v>3.5069413857674453E-2</v>
      </c>
      <c r="K27" s="155">
        <v>2.2612608863325261E-2</v>
      </c>
      <c r="L27" s="155">
        <v>2.1014402599942531E-2</v>
      </c>
      <c r="M27" s="155">
        <v>1.65359324050426E-2</v>
      </c>
      <c r="N27" s="155">
        <v>2.3918196911560932E-3</v>
      </c>
      <c r="O27" s="155" t="s">
        <v>29</v>
      </c>
    </row>
    <row r="28" spans="1:15" x14ac:dyDescent="0.35">
      <c r="A28" s="185" t="s">
        <v>65</v>
      </c>
      <c r="B28" s="186" t="s">
        <v>66</v>
      </c>
      <c r="C28" s="186">
        <v>1641383</v>
      </c>
      <c r="D28" s="186" t="s">
        <v>110</v>
      </c>
      <c r="E28" s="186">
        <v>1340324</v>
      </c>
      <c r="F28" s="186">
        <v>384470</v>
      </c>
      <c r="G28" s="186" t="s">
        <v>134</v>
      </c>
      <c r="H28" s="73"/>
      <c r="I28" s="78" t="s">
        <v>65</v>
      </c>
      <c r="J28" s="155">
        <v>6.2978225712942227E-3</v>
      </c>
      <c r="K28" s="155">
        <v>1.1076631004075823E-2</v>
      </c>
      <c r="L28" s="155">
        <v>8.1965045849654757E-3</v>
      </c>
      <c r="M28" s="155">
        <v>7.2415728144370438E-3</v>
      </c>
      <c r="N28" s="155">
        <v>1.9183195339264392E-3</v>
      </c>
      <c r="O28" s="155">
        <v>1.9905937960966557E-3</v>
      </c>
    </row>
    <row r="29" spans="1:15" x14ac:dyDescent="0.35">
      <c r="A29" s="185" t="s">
        <v>67</v>
      </c>
      <c r="B29" s="186" t="s">
        <v>68</v>
      </c>
      <c r="C29" s="186">
        <v>281272</v>
      </c>
      <c r="D29" s="186" t="s">
        <v>111</v>
      </c>
      <c r="E29" s="186">
        <v>496323</v>
      </c>
      <c r="F29" s="186">
        <v>456235</v>
      </c>
      <c r="G29" s="186" t="s">
        <v>135</v>
      </c>
      <c r="H29" s="82"/>
      <c r="I29" s="78" t="s">
        <v>67</v>
      </c>
      <c r="J29" s="155">
        <v>2.1780902876672357E-3</v>
      </c>
      <c r="K29" s="155">
        <v>1.8981225928247185E-3</v>
      </c>
      <c r="L29" s="155">
        <v>2.7931861442733511E-3</v>
      </c>
      <c r="M29" s="155">
        <v>2.6815599392235288E-3</v>
      </c>
      <c r="N29" s="155">
        <v>2.2763922089133848E-3</v>
      </c>
      <c r="O29" s="155">
        <v>2.7464125588467316E-3</v>
      </c>
    </row>
    <row r="30" spans="1:15" x14ac:dyDescent="0.35">
      <c r="A30" s="77" t="s">
        <v>69</v>
      </c>
      <c r="B30" s="187" t="s">
        <v>70</v>
      </c>
      <c r="C30" s="187" t="s">
        <v>91</v>
      </c>
      <c r="D30" s="187" t="s">
        <v>112</v>
      </c>
      <c r="E30" s="187">
        <v>45943906</v>
      </c>
      <c r="F30" s="187">
        <v>41532899</v>
      </c>
      <c r="G30" s="187" t="s">
        <v>136</v>
      </c>
      <c r="H30" s="73"/>
      <c r="I30" s="77" t="s">
        <v>69</v>
      </c>
      <c r="J30" s="156">
        <v>0.13420427317087366</v>
      </c>
      <c r="K30" s="156">
        <v>0.13105522496014205</v>
      </c>
      <c r="L30" s="156">
        <v>0.17110965023028504</v>
      </c>
      <c r="M30" s="156">
        <v>0.24822814534295515</v>
      </c>
      <c r="N30" s="156">
        <v>0.20722909837514988</v>
      </c>
      <c r="O30" s="156">
        <v>0.25041512150064327</v>
      </c>
    </row>
    <row r="31" spans="1:15" x14ac:dyDescent="0.35">
      <c r="A31" s="77" t="s">
        <v>71</v>
      </c>
      <c r="B31" s="186"/>
      <c r="C31" s="186"/>
      <c r="D31" s="186"/>
      <c r="E31" s="186"/>
      <c r="F31" s="186"/>
      <c r="G31" s="186"/>
      <c r="H31" s="73"/>
      <c r="I31" s="77" t="s">
        <v>71</v>
      </c>
      <c r="J31" s="155"/>
      <c r="K31" s="155"/>
      <c r="L31" s="155"/>
      <c r="M31" s="155"/>
      <c r="N31" s="155"/>
      <c r="O31" s="155"/>
    </row>
    <row r="32" spans="1:15" x14ac:dyDescent="0.35">
      <c r="A32" s="185" t="s">
        <v>72</v>
      </c>
      <c r="B32" s="186" t="s">
        <v>73</v>
      </c>
      <c r="C32" s="186">
        <v>23988115</v>
      </c>
      <c r="D32" s="186" t="s">
        <v>113</v>
      </c>
      <c r="E32" s="186">
        <v>27275330</v>
      </c>
      <c r="F32" s="186">
        <v>29619417</v>
      </c>
      <c r="G32" s="186" t="s">
        <v>137</v>
      </c>
      <c r="H32" s="73"/>
      <c r="I32" s="78" t="s">
        <v>72</v>
      </c>
      <c r="J32" s="155">
        <v>0.15246239367508349</v>
      </c>
      <c r="K32" s="155">
        <v>0.1618802548450522</v>
      </c>
      <c r="L32" s="155">
        <v>0.15656795169375881</v>
      </c>
      <c r="M32" s="155">
        <v>0.14736458366245708</v>
      </c>
      <c r="N32" s="155">
        <v>0.14778657948503876</v>
      </c>
      <c r="O32" s="155">
        <v>0.14265198723679751</v>
      </c>
    </row>
    <row r="33" spans="1:15" x14ac:dyDescent="0.35">
      <c r="A33" s="185" t="s">
        <v>74</v>
      </c>
      <c r="B33" s="186" t="s">
        <v>75</v>
      </c>
      <c r="C33" s="186">
        <v>14402559</v>
      </c>
      <c r="D33" s="186" t="s">
        <v>114</v>
      </c>
      <c r="E33" s="186">
        <v>23612398</v>
      </c>
      <c r="F33" s="186">
        <v>23946716</v>
      </c>
      <c r="G33" s="186" t="s">
        <v>138</v>
      </c>
      <c r="H33" s="73"/>
      <c r="I33" s="78" t="s">
        <v>74</v>
      </c>
      <c r="J33" s="155">
        <v>0.1266626900933531</v>
      </c>
      <c r="K33" s="155">
        <v>9.7193544442358226E-2</v>
      </c>
      <c r="L33" s="155">
        <v>9.6336229901743897E-2</v>
      </c>
      <c r="M33" s="155">
        <v>0.12757430251227886</v>
      </c>
      <c r="N33" s="155">
        <v>0.11948254239911776</v>
      </c>
      <c r="O33" s="155">
        <v>0.12532099868814298</v>
      </c>
    </row>
    <row r="34" spans="1:15" x14ac:dyDescent="0.35">
      <c r="A34" s="185" t="s">
        <v>76</v>
      </c>
      <c r="B34" s="186" t="s">
        <v>77</v>
      </c>
      <c r="C34" s="186">
        <v>6328697</v>
      </c>
      <c r="D34" s="186" t="s">
        <v>115</v>
      </c>
      <c r="E34" s="186">
        <v>10852496</v>
      </c>
      <c r="F34" s="186">
        <v>10006247</v>
      </c>
      <c r="G34" s="186" t="s">
        <v>139</v>
      </c>
      <c r="H34" s="73"/>
      <c r="I34" s="78" t="s">
        <v>76</v>
      </c>
      <c r="J34" s="155">
        <v>4.9413907696498123E-2</v>
      </c>
      <c r="K34" s="155">
        <v>4.2708277961695504E-2</v>
      </c>
      <c r="L34" s="155">
        <v>5.7946146746869515E-2</v>
      </c>
      <c r="M34" s="155">
        <v>5.8634434660863169E-2</v>
      </c>
      <c r="N34" s="155">
        <v>4.99263377672974E-2</v>
      </c>
      <c r="O34" s="155">
        <v>5.5882769254732789E-2</v>
      </c>
    </row>
    <row r="35" spans="1:15" x14ac:dyDescent="0.35">
      <c r="A35" s="185" t="s">
        <v>62</v>
      </c>
      <c r="B35" s="186" t="s">
        <v>78</v>
      </c>
      <c r="C35" s="186">
        <v>1240000</v>
      </c>
      <c r="D35" s="186" t="s">
        <v>116</v>
      </c>
      <c r="E35" s="186">
        <v>5037394</v>
      </c>
      <c r="F35" s="186">
        <v>3119599</v>
      </c>
      <c r="G35" s="186" t="s">
        <v>140</v>
      </c>
      <c r="H35" s="73"/>
      <c r="I35" s="78" t="s">
        <v>62</v>
      </c>
      <c r="J35" s="155">
        <v>1.972834506325644E-2</v>
      </c>
      <c r="K35" s="155">
        <v>8.3679570490580325E-3</v>
      </c>
      <c r="L35" s="155">
        <v>3.3740948530452862E-2</v>
      </c>
      <c r="M35" s="155">
        <v>2.7216296541737878E-2</v>
      </c>
      <c r="N35" s="155">
        <v>1.5565291699527625E-2</v>
      </c>
      <c r="O35" s="155">
        <v>2.5144173295211347E-2</v>
      </c>
    </row>
    <row r="36" spans="1:15" x14ac:dyDescent="0.35">
      <c r="A36" s="185" t="s">
        <v>79</v>
      </c>
      <c r="B36" s="186" t="s">
        <v>80</v>
      </c>
      <c r="C36" s="186">
        <v>24870650</v>
      </c>
      <c r="D36" s="186" t="s">
        <v>117</v>
      </c>
      <c r="E36" s="186">
        <v>23779920</v>
      </c>
      <c r="F36" s="186">
        <v>19459679</v>
      </c>
      <c r="G36" s="186" t="s">
        <v>141</v>
      </c>
      <c r="H36" s="73"/>
      <c r="I36" s="78" t="s">
        <v>79</v>
      </c>
      <c r="J36" s="155">
        <v>0.18917762695174895</v>
      </c>
      <c r="K36" s="155">
        <v>0.16783591208238319</v>
      </c>
      <c r="L36" s="155">
        <v>0.15707250770336528</v>
      </c>
      <c r="M36" s="155">
        <v>0.12847939916131304</v>
      </c>
      <c r="N36" s="155">
        <v>9.7094395790667976E-2</v>
      </c>
      <c r="O36" s="155">
        <v>6.4217811260362398E-2</v>
      </c>
    </row>
    <row r="37" spans="1:15" x14ac:dyDescent="0.35">
      <c r="A37" s="185" t="s">
        <v>81</v>
      </c>
      <c r="B37" s="186" t="s">
        <v>82</v>
      </c>
      <c r="C37" s="186">
        <v>5690023</v>
      </c>
      <c r="D37" s="186" t="s">
        <v>118</v>
      </c>
      <c r="E37" s="186">
        <v>2316342</v>
      </c>
      <c r="F37" s="186">
        <v>5968502</v>
      </c>
      <c r="G37" s="186" t="s">
        <v>142</v>
      </c>
      <c r="H37" s="73"/>
      <c r="I37" s="78" t="s">
        <v>81</v>
      </c>
      <c r="J37" s="155">
        <v>7.0526081716309086E-2</v>
      </c>
      <c r="K37" s="155">
        <v>3.8398280703348657E-2</v>
      </c>
      <c r="L37" s="155">
        <v>2.0945975956322773E-2</v>
      </c>
      <c r="M37" s="155">
        <v>1.2514854062255642E-2</v>
      </c>
      <c r="N37" s="155">
        <v>2.9779941152441074E-2</v>
      </c>
      <c r="O37" s="155">
        <v>1.0445794777069421E-2</v>
      </c>
    </row>
    <row r="38" spans="1:15" x14ac:dyDescent="0.35">
      <c r="A38" s="185" t="s">
        <v>94</v>
      </c>
      <c r="B38" s="186"/>
      <c r="C38" s="186">
        <v>136330</v>
      </c>
      <c r="D38" s="186" t="s">
        <v>119</v>
      </c>
      <c r="E38" s="186">
        <v>58872</v>
      </c>
      <c r="F38" s="186">
        <v>77609</v>
      </c>
      <c r="G38" s="186" t="s">
        <v>143</v>
      </c>
      <c r="H38" s="73"/>
      <c r="I38" s="78" t="s">
        <v>94</v>
      </c>
      <c r="J38" s="155">
        <v>0</v>
      </c>
      <c r="K38" s="155">
        <v>9.2000289072425928E-4</v>
      </c>
      <c r="L38" s="155">
        <v>2.8970591880038291E-4</v>
      </c>
      <c r="M38" s="155">
        <v>3.1807672975455012E-4</v>
      </c>
      <c r="N38" s="155">
        <v>3.8723141131556953E-4</v>
      </c>
      <c r="O38" s="155">
        <v>3.422323138864626E-4</v>
      </c>
    </row>
    <row r="39" spans="1:15" x14ac:dyDescent="0.35">
      <c r="A39" s="77" t="s">
        <v>83</v>
      </c>
      <c r="B39" s="187" t="s">
        <v>84</v>
      </c>
      <c r="C39" s="187" t="s">
        <v>92</v>
      </c>
      <c r="D39" s="187" t="s">
        <v>120</v>
      </c>
      <c r="E39" s="187">
        <v>92932752</v>
      </c>
      <c r="F39" s="187">
        <v>92197769</v>
      </c>
      <c r="G39" s="187" t="s">
        <v>144</v>
      </c>
      <c r="H39" s="73"/>
      <c r="I39" s="77" t="s">
        <v>83</v>
      </c>
      <c r="J39" s="156">
        <v>0.60797104519624923</v>
      </c>
      <c r="K39" s="156">
        <v>0.51730422997462</v>
      </c>
      <c r="L39" s="156">
        <v>0.52289946645131358</v>
      </c>
      <c r="M39" s="156">
        <v>0.50210194733066027</v>
      </c>
      <c r="N39" s="156">
        <v>0.46002231970540614</v>
      </c>
      <c r="O39" s="156">
        <v>0.42400576682620295</v>
      </c>
    </row>
    <row r="40" spans="1:15" x14ac:dyDescent="0.35">
      <c r="A40" s="77" t="s">
        <v>85</v>
      </c>
      <c r="B40" s="187" t="s">
        <v>46</v>
      </c>
      <c r="C40" s="187" t="s">
        <v>88</v>
      </c>
      <c r="D40" s="187" t="s">
        <v>105</v>
      </c>
      <c r="E40" s="187">
        <v>185087416</v>
      </c>
      <c r="F40" s="187">
        <v>200420208</v>
      </c>
      <c r="G40" s="187" t="s">
        <v>130</v>
      </c>
      <c r="H40" s="73"/>
      <c r="I40" s="77" t="s">
        <v>85</v>
      </c>
      <c r="J40" s="156">
        <v>1</v>
      </c>
      <c r="K40" s="156">
        <v>1</v>
      </c>
      <c r="L40" s="156">
        <v>1</v>
      </c>
      <c r="M40" s="156">
        <v>1</v>
      </c>
      <c r="N40" s="156">
        <v>1</v>
      </c>
      <c r="O40" s="156">
        <v>1</v>
      </c>
    </row>
    <row r="41" spans="1:15" x14ac:dyDescent="0.35">
      <c r="H41" s="73"/>
      <c r="I41" s="73"/>
      <c r="J41" s="73"/>
      <c r="K41" s="73"/>
      <c r="L41" s="73"/>
      <c r="M41" s="73"/>
      <c r="N41" s="73"/>
      <c r="O41" s="73"/>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6"/>
  <sheetViews>
    <sheetView zoomScale="73" workbookViewId="0">
      <selection activeCell="J8" sqref="J8"/>
    </sheetView>
  </sheetViews>
  <sheetFormatPr defaultRowHeight="14.5" x14ac:dyDescent="0.35"/>
  <cols>
    <col min="2" max="2" width="15.1796875" customWidth="1"/>
    <col min="3" max="3" width="13" customWidth="1"/>
    <col min="4" max="4" width="33.1796875" customWidth="1"/>
    <col min="5" max="5" width="11.1796875" customWidth="1"/>
    <col min="6" max="6" width="11.54296875" customWidth="1"/>
    <col min="7" max="10" width="11.81640625" bestFit="1" customWidth="1"/>
  </cols>
  <sheetData>
    <row r="1" spans="1:10" x14ac:dyDescent="0.35">
      <c r="A1" s="90" t="s">
        <v>219</v>
      </c>
      <c r="B1" s="90" t="s">
        <v>218</v>
      </c>
      <c r="C1" s="90" t="s">
        <v>217</v>
      </c>
      <c r="D1" s="96" t="s">
        <v>216</v>
      </c>
      <c r="E1" s="98">
        <f>((B8/B2)^(1/7))-1</f>
        <v>4.8474211902413744E-2</v>
      </c>
    </row>
    <row r="2" spans="1:10" x14ac:dyDescent="0.35">
      <c r="A2" s="90">
        <v>2018</v>
      </c>
      <c r="B2" s="90">
        <v>30381750</v>
      </c>
      <c r="C2" s="90"/>
      <c r="D2" s="96" t="s">
        <v>215</v>
      </c>
      <c r="E2" s="97">
        <v>279</v>
      </c>
    </row>
    <row r="3" spans="1:10" x14ac:dyDescent="0.35">
      <c r="A3" s="90">
        <v>2019</v>
      </c>
      <c r="B3" s="90">
        <v>26301675</v>
      </c>
      <c r="C3" s="91">
        <f>(B3/B2)-1</f>
        <v>-0.13429361376484239</v>
      </c>
      <c r="D3" s="96" t="s">
        <v>214</v>
      </c>
      <c r="E3" s="97">
        <v>33</v>
      </c>
    </row>
    <row r="4" spans="1:10" x14ac:dyDescent="0.35">
      <c r="A4" s="90">
        <v>2020</v>
      </c>
      <c r="B4" s="90">
        <v>28110077</v>
      </c>
      <c r="C4" s="91">
        <f t="shared" ref="C4:C8" si="0">(B4/B3)-1</f>
        <v>6.8756153362856232E-2</v>
      </c>
      <c r="D4" s="94" t="s">
        <v>213</v>
      </c>
      <c r="E4" s="95">
        <f>E3*(1+E1)</f>
        <v>34.599648992779656</v>
      </c>
    </row>
    <row r="5" spans="1:10" x14ac:dyDescent="0.35">
      <c r="A5" s="90">
        <v>2021</v>
      </c>
      <c r="B5" s="90">
        <v>33058662</v>
      </c>
      <c r="C5" s="91">
        <f t="shared" si="0"/>
        <v>0.17604309657351713</v>
      </c>
    </row>
    <row r="6" spans="1:10" x14ac:dyDescent="0.35">
      <c r="A6" s="90">
        <v>2022</v>
      </c>
      <c r="B6" s="90">
        <v>33584032</v>
      </c>
      <c r="C6" s="91">
        <f t="shared" si="0"/>
        <v>1.5892052739460594E-2</v>
      </c>
    </row>
    <row r="7" spans="1:10" x14ac:dyDescent="0.35">
      <c r="A7" s="90">
        <v>2023</v>
      </c>
      <c r="B7" s="90">
        <v>9093155</v>
      </c>
      <c r="C7" s="91">
        <f t="shared" si="0"/>
        <v>-0.72924171225182255</v>
      </c>
    </row>
    <row r="8" spans="1:10" x14ac:dyDescent="0.35">
      <c r="A8" s="90">
        <v>2024</v>
      </c>
      <c r="B8" s="90">
        <v>42317213</v>
      </c>
      <c r="C8" s="91">
        <f t="shared" si="0"/>
        <v>3.6537437226133287</v>
      </c>
    </row>
    <row r="11" spans="1:10" x14ac:dyDescent="0.35">
      <c r="D11" s="88" t="s">
        <v>145</v>
      </c>
      <c r="E11" s="86">
        <v>2019</v>
      </c>
      <c r="F11" s="86">
        <v>2020</v>
      </c>
      <c r="G11" s="86">
        <v>2021</v>
      </c>
      <c r="H11" s="86">
        <v>2022</v>
      </c>
      <c r="I11" s="86">
        <v>2023</v>
      </c>
      <c r="J11" s="87">
        <v>2024</v>
      </c>
    </row>
    <row r="12" spans="1:10" x14ac:dyDescent="0.35">
      <c r="D12" s="1" t="s">
        <v>0</v>
      </c>
      <c r="E12" s="89">
        <v>143656271</v>
      </c>
      <c r="F12" s="89">
        <v>139606161</v>
      </c>
      <c r="G12" s="89">
        <v>143065872</v>
      </c>
      <c r="H12" s="2">
        <v>150403469</v>
      </c>
      <c r="I12" s="2">
        <v>158715818</v>
      </c>
      <c r="J12" s="2">
        <v>158447003</v>
      </c>
    </row>
    <row r="15" spans="1:10" x14ac:dyDescent="0.35">
      <c r="D15" s="88" t="s">
        <v>220</v>
      </c>
      <c r="E15" s="88">
        <v>2025</v>
      </c>
      <c r="F15" s="88">
        <v>2026</v>
      </c>
      <c r="G15" s="88">
        <v>2027</v>
      </c>
      <c r="H15" s="88">
        <v>2028</v>
      </c>
      <c r="I15" s="88">
        <v>2029</v>
      </c>
      <c r="J15" s="88">
        <v>2030</v>
      </c>
    </row>
    <row r="16" spans="1:10" x14ac:dyDescent="0.35">
      <c r="D16" s="2"/>
      <c r="E16" s="2">
        <f>J12*(1+E1)</f>
        <v>166127596.5987244</v>
      </c>
      <c r="F16" s="2">
        <f>E16*(1+E1)</f>
        <v>174180500.91908967</v>
      </c>
      <c r="G16" s="2">
        <f>F16*(1+E1)</f>
        <v>182623763.42991021</v>
      </c>
      <c r="H16" s="2">
        <f>G16*(1+E1)</f>
        <v>191476306.43682796</v>
      </c>
      <c r="I16" s="2">
        <f>H16*(1+E1)</f>
        <v>200757969.48933828</v>
      </c>
      <c r="J16" s="2">
        <f>I16*(1+E1)</f>
        <v>210489553.84346277</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3"/>
  <sheetViews>
    <sheetView topLeftCell="A16" zoomScale="65" workbookViewId="0">
      <selection activeCell="E38" sqref="E38"/>
    </sheetView>
  </sheetViews>
  <sheetFormatPr defaultRowHeight="14.5" x14ac:dyDescent="0.35"/>
  <cols>
    <col min="1" max="1" width="26.81640625" customWidth="1"/>
    <col min="2" max="2" width="20.81640625" customWidth="1"/>
    <col min="3" max="3" width="22.54296875" customWidth="1"/>
    <col min="4" max="4" width="20.81640625" customWidth="1"/>
    <col min="5" max="5" width="16.54296875" customWidth="1"/>
    <col min="6" max="6" width="17.1796875" customWidth="1"/>
    <col min="7" max="7" width="16.54296875" customWidth="1"/>
    <col min="8" max="8" width="12.453125" customWidth="1"/>
    <col min="9" max="9" width="18.453125" customWidth="1"/>
  </cols>
  <sheetData>
    <row r="1" spans="1:10" s="21" customFormat="1" x14ac:dyDescent="0.35">
      <c r="A1" s="351" t="s">
        <v>234</v>
      </c>
      <c r="B1" s="351"/>
      <c r="C1" s="351"/>
    </row>
    <row r="2" spans="1:10" x14ac:dyDescent="0.35">
      <c r="A2" s="85"/>
      <c r="B2" s="349" t="s">
        <v>221</v>
      </c>
      <c r="C2" s="350"/>
      <c r="D2" s="350"/>
      <c r="E2" s="350"/>
      <c r="F2" s="350"/>
      <c r="G2" s="350"/>
      <c r="H2" s="21"/>
      <c r="I2" s="21"/>
      <c r="J2" s="21"/>
    </row>
    <row r="3" spans="1:10" x14ac:dyDescent="0.35">
      <c r="A3" s="99" t="s">
        <v>219</v>
      </c>
      <c r="B3" s="99">
        <v>2019</v>
      </c>
      <c r="C3" s="99">
        <v>2020</v>
      </c>
      <c r="D3" s="99">
        <v>2021</v>
      </c>
      <c r="E3" s="99">
        <v>2022</v>
      </c>
      <c r="F3" s="99">
        <v>2023</v>
      </c>
      <c r="G3" s="99">
        <v>2024</v>
      </c>
      <c r="H3" s="21"/>
      <c r="I3" s="21"/>
      <c r="J3" s="21"/>
    </row>
    <row r="4" spans="1:10" x14ac:dyDescent="0.35">
      <c r="A4" s="100" t="s">
        <v>222</v>
      </c>
      <c r="B4" s="101">
        <f>163.05*10^6</f>
        <v>163050000</v>
      </c>
      <c r="C4" s="101">
        <f>164.69*10^6</f>
        <v>164690000</v>
      </c>
      <c r="D4" s="101">
        <f>166.66*10^6</f>
        <v>166660000</v>
      </c>
      <c r="E4" s="101">
        <f>168.52*10^6</f>
        <v>168520000</v>
      </c>
      <c r="F4" s="101">
        <f>170.28*10^6</f>
        <v>170280000</v>
      </c>
      <c r="G4" s="101">
        <f>172.02*10^6</f>
        <v>172020000</v>
      </c>
      <c r="H4" s="21"/>
      <c r="I4" s="21"/>
      <c r="J4" s="21"/>
    </row>
    <row r="5" spans="1:10" x14ac:dyDescent="0.35">
      <c r="A5" s="100" t="s">
        <v>223</v>
      </c>
      <c r="B5" s="102">
        <v>0.1183</v>
      </c>
      <c r="C5" s="102">
        <v>7.4200000000000002E-2</v>
      </c>
      <c r="D5" s="102">
        <v>0.1135</v>
      </c>
      <c r="E5" s="102">
        <v>0.12509999999999999</v>
      </c>
      <c r="F5" s="102">
        <v>0.13070000000000001</v>
      </c>
      <c r="G5" s="102">
        <v>0.11397</v>
      </c>
      <c r="H5" s="21"/>
      <c r="I5" s="21"/>
      <c r="J5" s="21"/>
    </row>
    <row r="6" spans="1:10" x14ac:dyDescent="0.35">
      <c r="A6" s="100" t="s">
        <v>224</v>
      </c>
      <c r="B6" s="102">
        <v>5.4800000000000001E-2</v>
      </c>
      <c r="C6" s="102">
        <v>5.5599999999999997E-2</v>
      </c>
      <c r="D6" s="102">
        <v>5.6500000000000002E-2</v>
      </c>
      <c r="E6" s="102">
        <v>6.1499999999999999E-2</v>
      </c>
      <c r="F6" s="102">
        <v>9.0200000000000002E-2</v>
      </c>
      <c r="G6" s="102">
        <v>9.3700000000000006E-2</v>
      </c>
      <c r="H6" s="21"/>
      <c r="I6" s="21"/>
      <c r="J6" s="21"/>
    </row>
    <row r="7" spans="1:10" x14ac:dyDescent="0.35">
      <c r="A7" s="100" t="s">
        <v>225</v>
      </c>
      <c r="B7" s="101">
        <v>165570000</v>
      </c>
      <c r="C7" s="101">
        <v>170100000</v>
      </c>
      <c r="D7" s="101">
        <v>181020000</v>
      </c>
      <c r="E7" s="101">
        <v>180200000</v>
      </c>
      <c r="F7" s="101">
        <v>190810000</v>
      </c>
      <c r="G7" s="101">
        <v>187580000</v>
      </c>
      <c r="H7" s="21"/>
      <c r="I7" s="21"/>
      <c r="J7" s="21"/>
    </row>
    <row r="8" spans="1:10" x14ac:dyDescent="0.35">
      <c r="A8" s="103" t="s">
        <v>226</v>
      </c>
      <c r="B8" s="104"/>
      <c r="C8" s="105">
        <f>C7/B7-1</f>
        <v>2.7360028990759178E-2</v>
      </c>
      <c r="D8" s="105">
        <f>D7/C7-1</f>
        <v>6.419753086419755E-2</v>
      </c>
      <c r="E8" s="105">
        <f t="shared" ref="E8:G8" si="0">E7/D7-1</f>
        <v>-4.5298862004198304E-3</v>
      </c>
      <c r="F8" s="105">
        <f t="shared" si="0"/>
        <v>5.8879023307436107E-2</v>
      </c>
      <c r="G8" s="105">
        <f t="shared" si="0"/>
        <v>-1.6927833970965867E-2</v>
      </c>
      <c r="H8" s="21"/>
      <c r="I8" s="104" t="s">
        <v>227</v>
      </c>
      <c r="J8" s="106">
        <f>GEOMEAN(C8+1, D8+1, E8+1, F8+1, G8+1)-1</f>
        <v>2.5276437132052632E-2</v>
      </c>
    </row>
    <row r="9" spans="1:10" x14ac:dyDescent="0.35">
      <c r="A9" s="100" t="s">
        <v>228</v>
      </c>
      <c r="B9" s="101">
        <v>76460000</v>
      </c>
      <c r="C9" s="101">
        <v>79040000</v>
      </c>
      <c r="D9" s="101">
        <v>83460000</v>
      </c>
      <c r="E9" s="101">
        <v>79290000</v>
      </c>
      <c r="F9" s="101">
        <v>82200000</v>
      </c>
      <c r="G9" s="101">
        <v>84520000</v>
      </c>
      <c r="H9" s="21"/>
      <c r="I9" s="107"/>
      <c r="J9" s="106"/>
    </row>
    <row r="10" spans="1:10" x14ac:dyDescent="0.35">
      <c r="A10" s="103" t="s">
        <v>226</v>
      </c>
      <c r="B10" s="104"/>
      <c r="C10" s="105">
        <f>C9/B9-1</f>
        <v>3.3743133664661196E-2</v>
      </c>
      <c r="D10" s="105">
        <f t="shared" ref="D10:G10" si="1">D9/C9-1</f>
        <v>5.5921052631578982E-2</v>
      </c>
      <c r="E10" s="105">
        <f t="shared" si="1"/>
        <v>-4.996405463695186E-2</v>
      </c>
      <c r="F10" s="105">
        <f t="shared" si="1"/>
        <v>3.6700718880060546E-2</v>
      </c>
      <c r="G10" s="105">
        <f t="shared" si="1"/>
        <v>2.8223844282238453E-2</v>
      </c>
      <c r="H10" s="21"/>
      <c r="I10" s="104" t="s">
        <v>227</v>
      </c>
      <c r="J10" s="106">
        <f t="shared" ref="J10:J17" si="2">GEOMEAN(C10+1, D10+1, E10+1, F10+1, G10+1)-1</f>
        <v>2.0246324650000647E-2</v>
      </c>
    </row>
    <row r="11" spans="1:10" x14ac:dyDescent="0.35">
      <c r="A11" s="100" t="s">
        <v>229</v>
      </c>
      <c r="B11" s="102">
        <f>B9/B7</f>
        <v>0.46179863501842122</v>
      </c>
      <c r="C11" s="102">
        <f t="shared" ref="C11:G11" si="3">C9/C7</f>
        <v>0.46466784244562021</v>
      </c>
      <c r="D11" s="102">
        <f t="shared" si="3"/>
        <v>0.46105402717931721</v>
      </c>
      <c r="E11" s="102">
        <f t="shared" si="3"/>
        <v>0.4400110987791343</v>
      </c>
      <c r="F11" s="102">
        <f t="shared" si="3"/>
        <v>0.43079503170693362</v>
      </c>
      <c r="G11" s="102">
        <f t="shared" si="3"/>
        <v>0.45058108540356112</v>
      </c>
      <c r="H11" s="108" t="str">
        <f ca="1">_xlfn.FORMULATEXT(G11)</f>
        <v>=G9/G7</v>
      </c>
      <c r="I11" s="107"/>
      <c r="J11" s="106"/>
    </row>
    <row r="12" spans="1:10" x14ac:dyDescent="0.35">
      <c r="A12" s="103" t="s">
        <v>226</v>
      </c>
      <c r="B12" s="104"/>
      <c r="C12" s="105">
        <f>C11/B11-1</f>
        <v>6.2131137028687E-3</v>
      </c>
      <c r="D12" s="105">
        <f t="shared" ref="D12:G12" si="4">D11/C11-1</f>
        <v>-7.777201123458255E-3</v>
      </c>
      <c r="E12" s="105">
        <f t="shared" si="4"/>
        <v>-4.5640916594789194E-2</v>
      </c>
      <c r="F12" s="105">
        <f t="shared" si="4"/>
        <v>-2.0945078653178961E-2</v>
      </c>
      <c r="G12" s="105">
        <f t="shared" si="4"/>
        <v>4.592915943860687E-2</v>
      </c>
      <c r="H12" s="21"/>
      <c r="I12" s="104" t="s">
        <v>227</v>
      </c>
      <c r="J12" s="106">
        <f t="shared" si="2"/>
        <v>-4.906103661293959E-3</v>
      </c>
    </row>
    <row r="13" spans="1:10" x14ac:dyDescent="0.35">
      <c r="A13" s="100" t="s">
        <v>230</v>
      </c>
      <c r="B13" s="109">
        <v>157</v>
      </c>
      <c r="C13" s="109">
        <v>150</v>
      </c>
      <c r="D13" s="109">
        <v>143</v>
      </c>
      <c r="E13" s="109">
        <v>149</v>
      </c>
      <c r="F13" s="109">
        <v>161</v>
      </c>
      <c r="G13" s="109">
        <v>155</v>
      </c>
      <c r="H13" s="21"/>
      <c r="I13" s="107"/>
      <c r="J13" s="106"/>
    </row>
    <row r="14" spans="1:10" x14ac:dyDescent="0.35">
      <c r="A14" s="103" t="s">
        <v>226</v>
      </c>
      <c r="B14" s="104"/>
      <c r="C14" s="105">
        <f>C13/B13-1</f>
        <v>-4.4585987261146487E-2</v>
      </c>
      <c r="D14" s="105">
        <f t="shared" ref="D14:G14" si="5">D13/C13-1</f>
        <v>-4.6666666666666634E-2</v>
      </c>
      <c r="E14" s="105">
        <f t="shared" si="5"/>
        <v>4.195804195804187E-2</v>
      </c>
      <c r="F14" s="105">
        <f t="shared" si="5"/>
        <v>8.0536912751677958E-2</v>
      </c>
      <c r="G14" s="105">
        <f t="shared" si="5"/>
        <v>-3.7267080745341574E-2</v>
      </c>
      <c r="H14" s="21"/>
      <c r="I14" s="110" t="s">
        <v>227</v>
      </c>
      <c r="J14" s="111">
        <f>GEOMEAN(D14+1, E14+1, F14+1)-1</f>
        <v>2.3870127843470534E-2</v>
      </c>
    </row>
    <row r="15" spans="1:10" x14ac:dyDescent="0.35">
      <c r="A15" s="100" t="s">
        <v>231</v>
      </c>
      <c r="B15" s="101">
        <v>40600000</v>
      </c>
      <c r="C15" s="101">
        <v>41300000</v>
      </c>
      <c r="D15" s="101">
        <v>44600000</v>
      </c>
      <c r="E15" s="101">
        <v>43600000</v>
      </c>
      <c r="F15" s="101">
        <v>46600000</v>
      </c>
      <c r="G15" s="101">
        <v>48000000</v>
      </c>
      <c r="H15" s="21"/>
      <c r="I15" s="107"/>
      <c r="J15" s="106"/>
    </row>
    <row r="16" spans="1:10" x14ac:dyDescent="0.35">
      <c r="A16" s="100" t="s">
        <v>232</v>
      </c>
      <c r="B16" s="101">
        <f>B15/0.95</f>
        <v>42736842.105263159</v>
      </c>
      <c r="C16" s="101">
        <f t="shared" ref="C16:F16" si="6">C15/0.95</f>
        <v>43473684.210526317</v>
      </c>
      <c r="D16" s="101">
        <f t="shared" si="6"/>
        <v>46947368.421052635</v>
      </c>
      <c r="E16" s="101">
        <f t="shared" si="6"/>
        <v>45894736.842105262</v>
      </c>
      <c r="F16" s="101">
        <f t="shared" si="6"/>
        <v>49052631.578947373</v>
      </c>
      <c r="G16" s="101">
        <f>G15/0.95</f>
        <v>50526315.78947369</v>
      </c>
      <c r="H16" s="112" t="str">
        <f ca="1">_xlfn.FORMULATEXT(G16)</f>
        <v>=G15/0.95</v>
      </c>
      <c r="I16" s="107"/>
      <c r="J16" s="106"/>
    </row>
    <row r="17" spans="1:10" x14ac:dyDescent="0.35">
      <c r="A17" s="103" t="s">
        <v>226</v>
      </c>
      <c r="B17" s="104"/>
      <c r="C17" s="105">
        <f>C16/B16-1</f>
        <v>1.7241379310344751E-2</v>
      </c>
      <c r="D17" s="105">
        <f t="shared" ref="D17:G17" si="7">D16/C16-1</f>
        <v>7.9903147699757815E-2</v>
      </c>
      <c r="E17" s="105">
        <f t="shared" si="7"/>
        <v>-2.2421524663677195E-2</v>
      </c>
      <c r="F17" s="105">
        <f t="shared" si="7"/>
        <v>6.8807339449541427E-2</v>
      </c>
      <c r="G17" s="105">
        <f t="shared" si="7"/>
        <v>3.0042918454935563E-2</v>
      </c>
      <c r="H17" s="21"/>
      <c r="I17" s="113" t="s">
        <v>227</v>
      </c>
      <c r="J17" s="114">
        <f t="shared" si="2"/>
        <v>3.4053575796056057E-2</v>
      </c>
    </row>
    <row r="18" spans="1:10" x14ac:dyDescent="0.35">
      <c r="A18" s="100" t="s">
        <v>233</v>
      </c>
      <c r="B18" s="101">
        <f>B9*B13*12</f>
        <v>144050640000</v>
      </c>
      <c r="C18" s="101">
        <f t="shared" ref="C18:G18" si="8">C9*C13*12</f>
        <v>142272000000</v>
      </c>
      <c r="D18" s="101">
        <f t="shared" si="8"/>
        <v>143217360000</v>
      </c>
      <c r="E18" s="101">
        <f t="shared" si="8"/>
        <v>141770520000</v>
      </c>
      <c r="F18" s="101">
        <f t="shared" si="8"/>
        <v>158810400000</v>
      </c>
      <c r="G18" s="101">
        <f t="shared" si="8"/>
        <v>157207200000</v>
      </c>
      <c r="H18" s="112" t="str">
        <f ca="1">_xlfn.FORMULATEXT(G18)</f>
        <v>=G9*G13*12</v>
      </c>
      <c r="I18" s="21"/>
      <c r="J18" s="21"/>
    </row>
    <row r="19" spans="1:10" x14ac:dyDescent="0.35">
      <c r="A19" s="103" t="s">
        <v>226</v>
      </c>
      <c r="B19" s="104"/>
      <c r="C19" s="105">
        <f>C18/B18-1</f>
        <v>-1.2347324524208947E-2</v>
      </c>
      <c r="D19" s="105">
        <f t="shared" ref="D19:G19" si="9">D18/C18-1</f>
        <v>6.6447368421052033E-3</v>
      </c>
      <c r="E19" s="105">
        <f t="shared" si="9"/>
        <v>-1.0102406579761025E-2</v>
      </c>
      <c r="F19" s="105">
        <f t="shared" si="9"/>
        <v>0.12019339422610575</v>
      </c>
      <c r="G19" s="105">
        <f t="shared" si="9"/>
        <v>-1.0095056746913356E-2</v>
      </c>
      <c r="H19" s="21"/>
      <c r="I19" s="21"/>
      <c r="J19" s="21"/>
    </row>
    <row r="20" spans="1:10" x14ac:dyDescent="0.35">
      <c r="A20" s="21"/>
      <c r="B20" s="21"/>
      <c r="C20" s="21" t="str">
        <f ca="1">_xlfn.FORMULATEXT(C19)</f>
        <v>=C18/B18-1</v>
      </c>
      <c r="D20" s="21" t="str">
        <f t="shared" ref="D20:G20" ca="1" si="10">_xlfn.FORMULATEXT(D19)</f>
        <v>=D18/C18-1</v>
      </c>
      <c r="E20" s="21" t="str">
        <f t="shared" ca="1" si="10"/>
        <v>=E18/D18-1</v>
      </c>
      <c r="F20" s="21" t="str">
        <f t="shared" ca="1" si="10"/>
        <v>=F18/E18-1</v>
      </c>
      <c r="G20" s="21" t="str">
        <f t="shared" ca="1" si="10"/>
        <v>=G18/F18-1</v>
      </c>
      <c r="H20" s="21"/>
      <c r="I20" s="21"/>
      <c r="J20" s="21"/>
    </row>
    <row r="23" spans="1:10" x14ac:dyDescent="0.35">
      <c r="A23" s="352" t="s">
        <v>235</v>
      </c>
      <c r="B23" s="352"/>
      <c r="C23" s="352"/>
      <c r="D23" s="21"/>
      <c r="E23" s="21"/>
      <c r="F23" s="21"/>
    </row>
    <row r="24" spans="1:10" x14ac:dyDescent="0.35">
      <c r="A24" s="99" t="s">
        <v>219</v>
      </c>
      <c r="B24" s="99" t="s">
        <v>236</v>
      </c>
      <c r="C24" s="99" t="s">
        <v>237</v>
      </c>
      <c r="D24" s="99" t="s">
        <v>238</v>
      </c>
      <c r="E24" s="99" t="s">
        <v>239</v>
      </c>
      <c r="F24" s="99" t="s">
        <v>240</v>
      </c>
    </row>
    <row r="25" spans="1:10" x14ac:dyDescent="0.35">
      <c r="A25" s="115">
        <v>2024</v>
      </c>
      <c r="B25" s="116">
        <f>B35</f>
        <v>187580000</v>
      </c>
      <c r="C25" s="106">
        <f>B36</f>
        <v>0.45058108540356112</v>
      </c>
      <c r="D25" s="116">
        <f>B25*C25</f>
        <v>84520000</v>
      </c>
      <c r="E25" s="107">
        <f>B37</f>
        <v>155</v>
      </c>
      <c r="F25" s="116">
        <f>D25*E25*12</f>
        <v>157207200000</v>
      </c>
    </row>
    <row r="26" spans="1:10" x14ac:dyDescent="0.35">
      <c r="A26" s="115">
        <v>2025</v>
      </c>
      <c r="B26" s="116">
        <f>B25*(1+$B$40)</f>
        <v>192321354.07723042</v>
      </c>
      <c r="C26" s="106">
        <f>C25*(1+$B$41)</f>
        <v>0.4483704878907529</v>
      </c>
      <c r="D26" s="116">
        <f>B26*C26</f>
        <v>86231219.359418049</v>
      </c>
      <c r="E26" s="117">
        <f>E25*(1+$B$42)</f>
        <v>158.69986981573794</v>
      </c>
      <c r="F26" s="116">
        <f>D26*E26*12</f>
        <v>164218599436.70383</v>
      </c>
    </row>
    <row r="27" spans="1:10" x14ac:dyDescent="0.35">
      <c r="A27" s="115">
        <v>2026</v>
      </c>
      <c r="B27" s="116">
        <f t="shared" ref="B27:B31" si="11">B26*(1+$B$40)</f>
        <v>197182552.69271478</v>
      </c>
      <c r="C27" s="106">
        <f t="shared" ref="C27:C31" si="12">C26*(1+$B$41)</f>
        <v>0.44617073579849592</v>
      </c>
      <c r="D27" s="116">
        <f>B27*C27</f>
        <v>87977084.621534243</v>
      </c>
      <c r="E27" s="117">
        <f t="shared" ref="E27:E31" si="13">E26*(1+$B$42)</f>
        <v>162.48805599698173</v>
      </c>
      <c r="F27" s="116">
        <f t="shared" ref="F27:F31" si="14">D27*E27*12</f>
        <v>171542705429.22067</v>
      </c>
    </row>
    <row r="28" spans="1:10" x14ac:dyDescent="0.35">
      <c r="A28" s="115">
        <v>2027</v>
      </c>
      <c r="B28" s="116">
        <f t="shared" si="11"/>
        <v>202166625.08938983</v>
      </c>
      <c r="C28" s="106">
        <f t="shared" si="12"/>
        <v>0.44398177591803267</v>
      </c>
      <c r="D28" s="116">
        <f t="shared" ref="D28:D31" si="15">B28*C28</f>
        <v>89758297.238542393</v>
      </c>
      <c r="E28" s="117">
        <f t="shared" si="13"/>
        <v>166.36666666666667</v>
      </c>
      <c r="F28" s="116">
        <f t="shared" si="14"/>
        <v>179193464607.02606</v>
      </c>
    </row>
    <row r="29" spans="1:10" x14ac:dyDescent="0.35">
      <c r="A29" s="115">
        <v>2028</v>
      </c>
      <c r="B29" s="116">
        <f t="shared" si="11"/>
        <v>207276677.07866105</v>
      </c>
      <c r="C29" s="106">
        <f t="shared" si="12"/>
        <v>0.44180355530165344</v>
      </c>
      <c r="D29" s="116">
        <f t="shared" si="15"/>
        <v>91575572.864465192</v>
      </c>
      <c r="E29" s="117">
        <f t="shared" si="13"/>
        <v>170.33786026889206</v>
      </c>
      <c r="F29" s="116">
        <f t="shared" si="14"/>
        <v>187185445615.5722</v>
      </c>
    </row>
    <row r="30" spans="1:10" x14ac:dyDescent="0.35">
      <c r="A30" s="115">
        <v>2029</v>
      </c>
      <c r="B30" s="116">
        <f t="shared" si="11"/>
        <v>212515892.97578061</v>
      </c>
      <c r="C30" s="106">
        <f t="shared" si="12"/>
        <v>0.43963602126141532</v>
      </c>
      <c r="D30" s="116">
        <f t="shared" si="15"/>
        <v>93429641.642688945</v>
      </c>
      <c r="E30" s="117">
        <f t="shared" si="13"/>
        <v>174.40384677009374</v>
      </c>
      <c r="F30" s="116">
        <f t="shared" si="14"/>
        <v>195533866858.03552</v>
      </c>
    </row>
    <row r="31" spans="1:10" x14ac:dyDescent="0.35">
      <c r="A31" s="115">
        <v>2030</v>
      </c>
      <c r="B31" s="116">
        <f t="shared" si="11"/>
        <v>217887537.58414495</v>
      </c>
      <c r="C31" s="106">
        <f t="shared" si="12"/>
        <v>0.43747912136786798</v>
      </c>
      <c r="D31" s="116">
        <f t="shared" si="15"/>
        <v>95321248.499320045</v>
      </c>
      <c r="E31" s="117">
        <f t="shared" si="13"/>
        <v>178.56688888888891</v>
      </c>
      <c r="F31" s="116">
        <f t="shared" si="14"/>
        <v>204254625474.33902</v>
      </c>
    </row>
    <row r="34" spans="1:5" x14ac:dyDescent="0.35">
      <c r="A34" s="103" t="s">
        <v>241</v>
      </c>
      <c r="B34" s="118">
        <v>2024</v>
      </c>
    </row>
    <row r="35" spans="1:5" x14ac:dyDescent="0.35">
      <c r="A35" s="103" t="s">
        <v>236</v>
      </c>
      <c r="B35" s="121">
        <f>G7</f>
        <v>187580000</v>
      </c>
      <c r="D35" s="119" t="s">
        <v>242</v>
      </c>
      <c r="E35" s="120">
        <f>(F31/F26)^(1/5)-1</f>
        <v>4.4599734851227035E-2</v>
      </c>
    </row>
    <row r="36" spans="1:5" x14ac:dyDescent="0.35">
      <c r="A36" s="103" t="s">
        <v>237</v>
      </c>
      <c r="B36" s="122">
        <f>G11</f>
        <v>0.45058108540356112</v>
      </c>
    </row>
    <row r="37" spans="1:5" x14ac:dyDescent="0.35">
      <c r="A37" s="103" t="s">
        <v>239</v>
      </c>
      <c r="B37" s="118">
        <f>G13</f>
        <v>155</v>
      </c>
    </row>
    <row r="38" spans="1:5" x14ac:dyDescent="0.35">
      <c r="A38" s="103" t="s">
        <v>243</v>
      </c>
      <c r="B38" s="118">
        <v>6</v>
      </c>
    </row>
    <row r="39" spans="1:5" x14ac:dyDescent="0.35">
      <c r="A39" s="123"/>
      <c r="B39" s="26"/>
    </row>
    <row r="40" spans="1:5" x14ac:dyDescent="0.35">
      <c r="A40" s="103" t="s">
        <v>244</v>
      </c>
      <c r="B40" s="122">
        <f>J8</f>
        <v>2.5276437132052632E-2</v>
      </c>
    </row>
    <row r="41" spans="1:5" x14ac:dyDescent="0.35">
      <c r="A41" s="103" t="s">
        <v>245</v>
      </c>
      <c r="B41" s="122">
        <f>J12</f>
        <v>-4.906103661293959E-3</v>
      </c>
    </row>
    <row r="42" spans="1:5" x14ac:dyDescent="0.35">
      <c r="A42" s="103" t="s">
        <v>246</v>
      </c>
      <c r="B42" s="122">
        <f>J14</f>
        <v>2.3870127843470534E-2</v>
      </c>
    </row>
    <row r="43" spans="1:5" x14ac:dyDescent="0.35">
      <c r="A43" s="21"/>
      <c r="B43" s="21"/>
    </row>
  </sheetData>
  <mergeCells count="3">
    <mergeCell ref="B2:G2"/>
    <mergeCell ref="A1:C1"/>
    <mergeCell ref="A23:C2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44"/>
  <sheetViews>
    <sheetView zoomScale="64" workbookViewId="0">
      <selection activeCell="H23" sqref="H23"/>
    </sheetView>
  </sheetViews>
  <sheetFormatPr defaultColWidth="11.54296875" defaultRowHeight="14.5" x14ac:dyDescent="0.35"/>
  <cols>
    <col min="1" max="1" width="11.54296875" style="21"/>
    <col min="2" max="2" width="50.1796875" style="21" bestFit="1" customWidth="1"/>
    <col min="3" max="3" width="16" style="21" bestFit="1" customWidth="1"/>
    <col min="4" max="4" width="16.453125" style="21" bestFit="1" customWidth="1"/>
    <col min="5" max="8" width="16" style="21" bestFit="1" customWidth="1"/>
    <col min="9" max="9" width="8.81640625" style="21" customWidth="1"/>
    <col min="10" max="10" width="50.1796875" style="21" bestFit="1" customWidth="1"/>
    <col min="11" max="12" width="12.453125" style="21" bestFit="1" customWidth="1"/>
    <col min="13" max="13" width="12" style="21" bestFit="1" customWidth="1"/>
    <col min="14" max="16" width="12.453125" style="21" bestFit="1" customWidth="1"/>
    <col min="17" max="16384" width="11.54296875" style="21"/>
  </cols>
  <sheetData>
    <row r="2" spans="2:16" ht="15.5" x14ac:dyDescent="0.35">
      <c r="B2" s="353" t="s">
        <v>247</v>
      </c>
      <c r="C2" s="354"/>
      <c r="D2" s="354"/>
      <c r="E2" s="354"/>
      <c r="F2" s="354"/>
      <c r="G2" s="354"/>
      <c r="H2" s="355"/>
      <c r="J2" s="353" t="s">
        <v>248</v>
      </c>
      <c r="K2" s="354"/>
      <c r="L2" s="354"/>
      <c r="M2" s="354"/>
      <c r="N2" s="354"/>
      <c r="O2" s="355"/>
      <c r="P2" s="124"/>
    </row>
    <row r="3" spans="2:16" ht="15.5" x14ac:dyDescent="0.35">
      <c r="B3" s="356"/>
      <c r="C3" s="357"/>
      <c r="D3" s="357"/>
      <c r="E3" s="357"/>
      <c r="F3" s="357"/>
      <c r="G3" s="357"/>
      <c r="H3" s="358"/>
      <c r="J3" s="356"/>
      <c r="K3" s="357"/>
      <c r="L3" s="357"/>
      <c r="M3" s="357"/>
      <c r="N3" s="357"/>
      <c r="O3" s="358"/>
      <c r="P3" s="124"/>
    </row>
    <row r="4" spans="2:16" ht="15.5" x14ac:dyDescent="0.35">
      <c r="B4" s="92"/>
      <c r="C4" s="125">
        <v>2019</v>
      </c>
      <c r="D4" s="125">
        <v>2020</v>
      </c>
      <c r="E4" s="125">
        <v>2021</v>
      </c>
      <c r="F4" s="125">
        <v>2022</v>
      </c>
      <c r="G4" s="125">
        <v>2023</v>
      </c>
      <c r="H4" s="126">
        <v>2024</v>
      </c>
      <c r="J4" s="92"/>
      <c r="K4" s="125">
        <v>2020</v>
      </c>
      <c r="L4" s="125">
        <v>2021</v>
      </c>
      <c r="M4" s="125">
        <v>2022</v>
      </c>
      <c r="N4" s="125">
        <v>2023</v>
      </c>
      <c r="O4" s="126">
        <v>2024</v>
      </c>
    </row>
    <row r="5" spans="2:16" ht="15.5" x14ac:dyDescent="0.35">
      <c r="B5" s="127" t="s">
        <v>249</v>
      </c>
      <c r="C5" s="3">
        <v>141546924000</v>
      </c>
      <c r="D5" s="3">
        <v>137760475000</v>
      </c>
      <c r="E5" s="3">
        <v>140865753000</v>
      </c>
      <c r="F5" s="3">
        <v>148179973000</v>
      </c>
      <c r="G5" s="3">
        <v>156331347000</v>
      </c>
      <c r="H5" s="128">
        <v>155759617000</v>
      </c>
      <c r="J5" s="92" t="s">
        <v>250</v>
      </c>
      <c r="K5" s="129">
        <f>(D7/C7)-1</f>
        <v>-7.1756243813502985E-2</v>
      </c>
      <c r="L5" s="129">
        <f>(E7/D7)-1</f>
        <v>-8.1262279758333555E-2</v>
      </c>
      <c r="M5" s="129">
        <f>(F7/E7)-1</f>
        <v>-4.2093419704852919E-2</v>
      </c>
      <c r="N5" s="129">
        <f>(G7/F7)-1</f>
        <v>1.3981792375320934E-2</v>
      </c>
      <c r="O5" s="130">
        <f>(H7/G7)-1</f>
        <v>4.0496753261599627E-2</v>
      </c>
    </row>
    <row r="6" spans="2:16" x14ac:dyDescent="0.35">
      <c r="B6" s="92" t="s">
        <v>251</v>
      </c>
      <c r="C6" s="30">
        <v>0.69199999999999995</v>
      </c>
      <c r="D6" s="30">
        <v>0.66</v>
      </c>
      <c r="E6" s="30">
        <v>0.59299999999999997</v>
      </c>
      <c r="F6" s="30">
        <v>0.54</v>
      </c>
      <c r="G6" s="30">
        <v>0.51900000000000002</v>
      </c>
      <c r="H6" s="131">
        <v>0.54200000000000004</v>
      </c>
      <c r="J6" s="92" t="s">
        <v>252</v>
      </c>
      <c r="K6" s="129">
        <f>(D9/C9)-1</f>
        <v>0.13930156385480985</v>
      </c>
      <c r="L6" s="129">
        <f>(E9/D9)-1</f>
        <v>2.2541138886171819E-2</v>
      </c>
      <c r="M6" s="129">
        <f>(F9/E9)-1</f>
        <v>9.0252527676156102E-2</v>
      </c>
      <c r="N6" s="129">
        <f>(G9/F9)-1</f>
        <v>0.19924959999592007</v>
      </c>
      <c r="O6" s="130">
        <f>(H9/G9)-1</f>
        <v>-4.1319611823488867E-2</v>
      </c>
    </row>
    <row r="7" spans="2:16" ht="15.5" x14ac:dyDescent="0.35">
      <c r="B7" s="127" t="s">
        <v>253</v>
      </c>
      <c r="C7" s="74">
        <f t="shared" ref="C7:H7" si="0">C5*C6</f>
        <v>97950471408</v>
      </c>
      <c r="D7" s="74">
        <f t="shared" si="0"/>
        <v>90921913500</v>
      </c>
      <c r="E7" s="74">
        <f t="shared" si="0"/>
        <v>83533391529</v>
      </c>
      <c r="F7" s="74">
        <f t="shared" si="0"/>
        <v>80017185420</v>
      </c>
      <c r="G7" s="74">
        <f t="shared" si="0"/>
        <v>81135969093</v>
      </c>
      <c r="H7" s="132">
        <f t="shared" si="0"/>
        <v>84421712414</v>
      </c>
      <c r="J7" s="92" t="s">
        <v>254</v>
      </c>
      <c r="K7" s="133" t="s">
        <v>29</v>
      </c>
      <c r="L7" s="133" t="s">
        <v>29</v>
      </c>
      <c r="M7" s="129">
        <f>(F11/E11)-1</f>
        <v>0.63765337730972327</v>
      </c>
      <c r="N7" s="129">
        <f>(G11/F11)-1</f>
        <v>-5.2801279136340029E-2</v>
      </c>
      <c r="O7" s="130">
        <f>(H11/G11)-1</f>
        <v>-5.2259257368011958E-2</v>
      </c>
    </row>
    <row r="8" spans="2:16" x14ac:dyDescent="0.35">
      <c r="B8" s="92" t="s">
        <v>255</v>
      </c>
      <c r="C8" s="30">
        <v>0.21099999999999999</v>
      </c>
      <c r="D8" s="30">
        <v>0.247</v>
      </c>
      <c r="E8" s="30">
        <v>0.247</v>
      </c>
      <c r="F8" s="30">
        <v>0.25600000000000001</v>
      </c>
      <c r="G8" s="30">
        <v>0.29099999999999998</v>
      </c>
      <c r="H8" s="131">
        <v>0.28000000000000003</v>
      </c>
      <c r="J8" s="92" t="s">
        <v>256</v>
      </c>
      <c r="K8" s="129">
        <f>(D13/C13)-1</f>
        <v>-0.23666704779434822</v>
      </c>
      <c r="L8" s="129">
        <f>(E13/D13)-1</f>
        <v>-2.8585918058136817E-2</v>
      </c>
      <c r="M8" s="129">
        <f>(F13/E13)-1</f>
        <v>-3.1123242006540819E-2</v>
      </c>
      <c r="N8" s="129">
        <f>(G13/F13)-1</f>
        <v>0.14543938230341769</v>
      </c>
      <c r="O8" s="130">
        <f>(H13/G13)-1</f>
        <v>-3.6571680022688957E-3</v>
      </c>
    </row>
    <row r="9" spans="2:16" ht="15.5" x14ac:dyDescent="0.35">
      <c r="B9" s="127" t="s">
        <v>257</v>
      </c>
      <c r="C9" s="74">
        <f t="shared" ref="C9:H9" si="1">C5*C8</f>
        <v>29866400964</v>
      </c>
      <c r="D9" s="74">
        <f t="shared" si="1"/>
        <v>34026837325</v>
      </c>
      <c r="E9" s="74">
        <f t="shared" si="1"/>
        <v>34793840991</v>
      </c>
      <c r="F9" s="74">
        <f t="shared" si="1"/>
        <v>37934073088</v>
      </c>
      <c r="G9" s="74">
        <f t="shared" si="1"/>
        <v>45492421977</v>
      </c>
      <c r="H9" s="132">
        <f t="shared" si="1"/>
        <v>43612692760.000008</v>
      </c>
      <c r="J9" s="92" t="s">
        <v>258</v>
      </c>
      <c r="K9" s="129">
        <f>(D15/C15)-1</f>
        <v>9.7494132878657824E-2</v>
      </c>
      <c r="L9" s="129">
        <f>(E15/D15)-1</f>
        <v>-0.34403021279000301</v>
      </c>
      <c r="M9" s="129">
        <f>(F15/E15)-1</f>
        <v>-4.0893427801433013E-2</v>
      </c>
      <c r="N9" s="129">
        <f>(G15/F15)-1</f>
        <v>2.0977378114251932E-2</v>
      </c>
      <c r="O9" s="130">
        <f>(H15/G15)-1</f>
        <v>-0.10329145120204208</v>
      </c>
    </row>
    <row r="10" spans="2:16" x14ac:dyDescent="0.35">
      <c r="B10" s="92" t="s">
        <v>259</v>
      </c>
      <c r="C10" s="30">
        <v>0</v>
      </c>
      <c r="D10" s="30">
        <v>0</v>
      </c>
      <c r="E10" s="30">
        <v>8.7999999999999995E-2</v>
      </c>
      <c r="F10" s="30">
        <v>0.13700000000000001</v>
      </c>
      <c r="G10" s="30">
        <v>0.123</v>
      </c>
      <c r="H10" s="131">
        <v>0.11700000000000001</v>
      </c>
      <c r="J10" s="92"/>
      <c r="O10" s="93"/>
    </row>
    <row r="11" spans="2:16" ht="15.5" x14ac:dyDescent="0.35">
      <c r="B11" s="127" t="s">
        <v>260</v>
      </c>
      <c r="C11" s="74">
        <f t="shared" ref="C11:H11" si="2">C5*C10</f>
        <v>0</v>
      </c>
      <c r="D11" s="74">
        <f t="shared" si="2"/>
        <v>0</v>
      </c>
      <c r="E11" s="74">
        <f t="shared" si="2"/>
        <v>12396186264</v>
      </c>
      <c r="F11" s="74">
        <f t="shared" si="2"/>
        <v>20300656301</v>
      </c>
      <c r="G11" s="74">
        <f t="shared" si="2"/>
        <v>19228755681</v>
      </c>
      <c r="H11" s="132">
        <f t="shared" si="2"/>
        <v>18223875189</v>
      </c>
      <c r="J11" s="92" t="s">
        <v>261</v>
      </c>
      <c r="K11" s="129">
        <f>(D17/C17)-1</f>
        <v>2.0443718666139699E-2</v>
      </c>
      <c r="L11" s="129">
        <f t="shared" ref="L11:O11" si="3">(E17/D17)-1</f>
        <v>0.10917361058023078</v>
      </c>
      <c r="M11" s="129">
        <f t="shared" si="3"/>
        <v>3.2163722537350115E-2</v>
      </c>
      <c r="N11" s="129">
        <f t="shared" si="3"/>
        <v>0.10840179579008757</v>
      </c>
      <c r="O11" s="130">
        <f t="shared" si="3"/>
        <v>0.1265535418444701</v>
      </c>
    </row>
    <row r="12" spans="2:16" x14ac:dyDescent="0.35">
      <c r="B12" s="92" t="s">
        <v>262</v>
      </c>
      <c r="C12" s="30">
        <v>5.0999999999999997E-2</v>
      </c>
      <c r="D12" s="30">
        <v>0.04</v>
      </c>
      <c r="E12" s="30">
        <v>3.7999999999999999E-2</v>
      </c>
      <c r="F12" s="30">
        <v>3.5000000000000003E-2</v>
      </c>
      <c r="G12" s="30">
        <v>3.7999999999999999E-2</v>
      </c>
      <c r="H12" s="131">
        <v>3.7999999999999999E-2</v>
      </c>
      <c r="J12" s="92"/>
      <c r="O12" s="93"/>
    </row>
    <row r="13" spans="2:16" ht="15.5" x14ac:dyDescent="0.35">
      <c r="B13" s="127" t="s">
        <v>263</v>
      </c>
      <c r="C13" s="74">
        <f t="shared" ref="C13:H13" si="4">C5*C12</f>
        <v>7218893124</v>
      </c>
      <c r="D13" s="74">
        <f t="shared" si="4"/>
        <v>5510419000</v>
      </c>
      <c r="E13" s="74">
        <f t="shared" si="4"/>
        <v>5352898614</v>
      </c>
      <c r="F13" s="74">
        <f t="shared" si="4"/>
        <v>5186299055.000001</v>
      </c>
      <c r="G13" s="74">
        <f t="shared" si="4"/>
        <v>5940591186</v>
      </c>
      <c r="H13" s="132">
        <f t="shared" si="4"/>
        <v>5918865446</v>
      </c>
      <c r="J13" s="92" t="s">
        <v>264</v>
      </c>
      <c r="K13" s="129">
        <f>(D19/C19)-1</f>
        <v>-0.29362129149559479</v>
      </c>
      <c r="L13" s="129">
        <f>(E19/D19)-1</f>
        <v>0.9016864230722228</v>
      </c>
      <c r="M13" s="129">
        <f>(F19/E19)-1</f>
        <v>0.18314831475114857</v>
      </c>
      <c r="N13" s="129">
        <f>(G19/F19)-1</f>
        <v>4.1760442656618713E-2</v>
      </c>
      <c r="O13" s="130">
        <f>(H19/G19)-1</f>
        <v>0.19169270773933067</v>
      </c>
    </row>
    <row r="14" spans="2:16" x14ac:dyDescent="0.35">
      <c r="B14" s="92" t="s">
        <v>265</v>
      </c>
      <c r="C14" s="30">
        <v>4.7E-2</v>
      </c>
      <c r="D14" s="30">
        <v>5.2999999999999999E-2</v>
      </c>
      <c r="E14" s="30">
        <v>3.4000000000000002E-2</v>
      </c>
      <c r="F14" s="30">
        <v>3.1E-2</v>
      </c>
      <c r="G14" s="30">
        <v>0.03</v>
      </c>
      <c r="H14" s="131">
        <v>2.7E-2</v>
      </c>
      <c r="J14" s="92"/>
      <c r="O14" s="93"/>
    </row>
    <row r="15" spans="2:16" ht="15.5" x14ac:dyDescent="0.35">
      <c r="B15" s="127" t="s">
        <v>266</v>
      </c>
      <c r="C15" s="74">
        <f>C5*C14</f>
        <v>6652705428</v>
      </c>
      <c r="D15" s="74">
        <f t="shared" ref="D15:H15" si="5">D5*D14</f>
        <v>7301305175</v>
      </c>
      <c r="E15" s="74">
        <f t="shared" si="5"/>
        <v>4789435602</v>
      </c>
      <c r="F15" s="74">
        <f t="shared" si="5"/>
        <v>4593579163</v>
      </c>
      <c r="G15" s="74">
        <f t="shared" si="5"/>
        <v>4689940410</v>
      </c>
      <c r="H15" s="132">
        <f t="shared" si="5"/>
        <v>4205509659</v>
      </c>
      <c r="J15" s="94" t="s">
        <v>267</v>
      </c>
      <c r="K15" s="134">
        <f>(D21/C21)-1</f>
        <v>-0.62398502556231916</v>
      </c>
      <c r="L15" s="134">
        <f t="shared" ref="L15:O15" si="6">(E21/D21)-1</f>
        <v>0.44201519601759531</v>
      </c>
      <c r="M15" s="134">
        <f t="shared" si="6"/>
        <v>-0.36973038102387312</v>
      </c>
      <c r="N15" s="134">
        <f t="shared" si="6"/>
        <v>-0.34998748283631342</v>
      </c>
      <c r="O15" s="135">
        <f t="shared" si="6"/>
        <v>-9.3307968815648179E-2</v>
      </c>
    </row>
    <row r="16" spans="2:16" ht="15.5" x14ac:dyDescent="0.35">
      <c r="B16" s="127"/>
      <c r="C16" s="74"/>
      <c r="D16" s="74"/>
      <c r="E16" s="74"/>
      <c r="F16" s="74"/>
      <c r="G16" s="74"/>
      <c r="H16" s="132"/>
    </row>
    <row r="17" spans="2:11" ht="15.5" x14ac:dyDescent="0.35">
      <c r="B17" s="127" t="s">
        <v>268</v>
      </c>
      <c r="C17" s="3">
        <v>1538272000</v>
      </c>
      <c r="D17" s="3">
        <v>1569720000</v>
      </c>
      <c r="E17" s="3">
        <v>1741092000</v>
      </c>
      <c r="F17" s="3">
        <v>1797092000</v>
      </c>
      <c r="G17" s="3">
        <v>1991900000</v>
      </c>
      <c r="H17" s="128">
        <v>2243982000</v>
      </c>
    </row>
    <row r="18" spans="2:11" ht="15.5" x14ac:dyDescent="0.35">
      <c r="B18" s="127"/>
      <c r="C18" s="3"/>
      <c r="D18" s="3"/>
      <c r="E18" s="3"/>
      <c r="F18" s="3"/>
      <c r="G18" s="3"/>
      <c r="H18" s="128"/>
      <c r="J18" s="353" t="s">
        <v>269</v>
      </c>
      <c r="K18" s="355"/>
    </row>
    <row r="19" spans="2:11" ht="15.5" x14ac:dyDescent="0.35">
      <c r="B19" s="127" t="s">
        <v>270</v>
      </c>
      <c r="C19" s="3">
        <v>185351000</v>
      </c>
      <c r="D19" s="3">
        <v>130928000</v>
      </c>
      <c r="E19" s="3">
        <v>248984000</v>
      </c>
      <c r="F19" s="3">
        <v>294585000</v>
      </c>
      <c r="G19" s="3">
        <v>306887000</v>
      </c>
      <c r="H19" s="128">
        <v>365715000</v>
      </c>
      <c r="J19" s="356"/>
      <c r="K19" s="358"/>
    </row>
    <row r="20" spans="2:11" ht="15.5" x14ac:dyDescent="0.35">
      <c r="B20" s="127"/>
      <c r="C20" s="3"/>
      <c r="D20" s="3"/>
      <c r="E20" s="3"/>
      <c r="F20" s="3"/>
      <c r="G20" s="3"/>
      <c r="H20" s="128"/>
      <c r="J20" s="92" t="s">
        <v>250</v>
      </c>
      <c r="K20" s="131">
        <f>AVERAGE(K5:O5)</f>
        <v>-2.812667952795378E-2</v>
      </c>
    </row>
    <row r="21" spans="2:11" ht="15.5" x14ac:dyDescent="0.35">
      <c r="B21" s="127" t="s">
        <v>271</v>
      </c>
      <c r="C21" s="3">
        <v>385724000</v>
      </c>
      <c r="D21" s="3">
        <v>145038000</v>
      </c>
      <c r="E21" s="3">
        <v>209147000</v>
      </c>
      <c r="F21" s="3">
        <v>131819000</v>
      </c>
      <c r="G21" s="3">
        <v>85684000</v>
      </c>
      <c r="H21" s="128">
        <v>77689000</v>
      </c>
      <c r="J21" s="92" t="s">
        <v>252</v>
      </c>
      <c r="K21" s="131">
        <f>AVERAGE(K6:O6)</f>
        <v>8.2005043717913798E-2</v>
      </c>
    </row>
    <row r="22" spans="2:11" x14ac:dyDescent="0.35">
      <c r="B22" s="92"/>
      <c r="H22" s="93"/>
      <c r="J22" s="92" t="s">
        <v>254</v>
      </c>
      <c r="K22" s="131">
        <f>AVERAGE(K7:O7)</f>
        <v>0.17753094693512375</v>
      </c>
    </row>
    <row r="23" spans="2:11" ht="15.5" x14ac:dyDescent="0.35">
      <c r="B23" s="136" t="s">
        <v>272</v>
      </c>
      <c r="C23" s="137">
        <v>143656271000</v>
      </c>
      <c r="D23" s="137">
        <v>139606161000</v>
      </c>
      <c r="E23" s="137">
        <v>143065872000</v>
      </c>
      <c r="F23" s="137">
        <v>150403469000</v>
      </c>
      <c r="G23" s="137">
        <v>158715818000</v>
      </c>
      <c r="H23" s="138">
        <v>158447003000</v>
      </c>
      <c r="J23" s="92" t="s">
        <v>256</v>
      </c>
      <c r="K23" s="131">
        <f>AVERAGE(K8:O8)</f>
        <v>-3.0918798711575414E-2</v>
      </c>
    </row>
    <row r="24" spans="2:11" x14ac:dyDescent="0.35">
      <c r="J24" s="92" t="s">
        <v>258</v>
      </c>
      <c r="K24" s="131">
        <f>AVERAGE(K9:O9)</f>
        <v>-7.394871616011367E-2</v>
      </c>
    </row>
    <row r="25" spans="2:11" x14ac:dyDescent="0.35">
      <c r="B25" s="353" t="s">
        <v>273</v>
      </c>
      <c r="C25" s="354"/>
      <c r="D25" s="354"/>
      <c r="E25" s="354"/>
      <c r="F25" s="354"/>
      <c r="G25" s="354"/>
      <c r="H25" s="355"/>
      <c r="J25" s="92"/>
      <c r="K25" s="131"/>
    </row>
    <row r="26" spans="2:11" x14ac:dyDescent="0.35">
      <c r="B26" s="356"/>
      <c r="C26" s="357"/>
      <c r="D26" s="357"/>
      <c r="E26" s="357"/>
      <c r="F26" s="357"/>
      <c r="G26" s="357"/>
      <c r="H26" s="358"/>
      <c r="J26" s="92" t="s">
        <v>261</v>
      </c>
      <c r="K26" s="131">
        <f>AVERAGE(K11:O11)</f>
        <v>7.9347277883655656E-2</v>
      </c>
    </row>
    <row r="27" spans="2:11" ht="15.5" x14ac:dyDescent="0.35">
      <c r="B27" s="92"/>
      <c r="C27" s="125">
        <v>2025</v>
      </c>
      <c r="D27" s="125">
        <v>2026</v>
      </c>
      <c r="E27" s="125">
        <v>2027</v>
      </c>
      <c r="F27" s="125">
        <v>2028</v>
      </c>
      <c r="G27" s="125">
        <v>2029</v>
      </c>
      <c r="H27" s="126">
        <v>2030</v>
      </c>
      <c r="J27" s="92"/>
      <c r="K27" s="131"/>
    </row>
    <row r="28" spans="2:11" ht="15.5" x14ac:dyDescent="0.35">
      <c r="B28" s="127" t="s">
        <v>249</v>
      </c>
      <c r="C28" s="3">
        <f>C29+C30+C31+C32+C33</f>
        <v>160325919363.89301</v>
      </c>
      <c r="D28" s="3">
        <f t="shared" ref="D28:H28" si="7">D29+D30+D31+D32+D33</f>
        <v>165232279879.55319</v>
      </c>
      <c r="E28" s="3">
        <f t="shared" si="7"/>
        <v>171224001797.66785</v>
      </c>
      <c r="F28" s="3">
        <f t="shared" si="7"/>
        <v>178443608650.95474</v>
      </c>
      <c r="G28" s="3">
        <f t="shared" si="7"/>
        <v>187057247250.95328</v>
      </c>
      <c r="H28" s="128">
        <f t="shared" si="7"/>
        <v>197258636753.68848</v>
      </c>
      <c r="J28" s="92" t="s">
        <v>264</v>
      </c>
      <c r="K28" s="131">
        <f>AVERAGE(K13:O13)</f>
        <v>0.20493331934474518</v>
      </c>
    </row>
    <row r="29" spans="2:11" ht="15.5" x14ac:dyDescent="0.35">
      <c r="B29" s="127" t="s">
        <v>253</v>
      </c>
      <c r="C29" s="74">
        <f>H7*(1+K20)</f>
        <v>82047209963.730347</v>
      </c>
      <c r="D29" s="74">
        <f>C29*(1+$K$20)</f>
        <v>79739494382.91777</v>
      </c>
      <c r="E29" s="74">
        <f>D29*(1+$K$20)</f>
        <v>77496687178.68837</v>
      </c>
      <c r="F29" s="74">
        <f>E29*(1+$K$20)</f>
        <v>75316962693.935318</v>
      </c>
      <c r="G29" s="74">
        <f t="shared" ref="G29:H29" si="8">F29*(1+$K$20)</f>
        <v>73198546621.224152</v>
      </c>
      <c r="H29" s="132">
        <f t="shared" si="8"/>
        <v>71139714558.496994</v>
      </c>
      <c r="J29" s="92"/>
      <c r="K29" s="131"/>
    </row>
    <row r="30" spans="2:11" ht="15.5" x14ac:dyDescent="0.35">
      <c r="B30" s="127" t="s">
        <v>257</v>
      </c>
      <c r="C30" s="74">
        <f>H9*(1+K21)</f>
        <v>47189153536.439751</v>
      </c>
      <c r="D30" s="74">
        <f>C30*(1+$K$21)</f>
        <v>51058902135.206841</v>
      </c>
      <c r="E30" s="74">
        <f t="shared" ref="E30:H30" si="9">D30*(1+$K$21)</f>
        <v>55245989636.993164</v>
      </c>
      <c r="F30" s="74">
        <f t="shared" si="9"/>
        <v>59776439432.4142</v>
      </c>
      <c r="G30" s="74">
        <f t="shared" si="9"/>
        <v>64678408961.370552</v>
      </c>
      <c r="H30" s="132">
        <f t="shared" si="9"/>
        <v>69982364715.852859</v>
      </c>
      <c r="J30" s="94" t="s">
        <v>267</v>
      </c>
      <c r="K30" s="139">
        <f>AVERAGE(K15:O15)</f>
        <v>-0.19899913244411171</v>
      </c>
    </row>
    <row r="31" spans="2:11" ht="15.5" x14ac:dyDescent="0.35">
      <c r="B31" s="127" t="s">
        <v>260</v>
      </c>
      <c r="C31" s="74">
        <f>H11*(1+K22)</f>
        <v>21459177008.13068</v>
      </c>
      <c r="D31" s="74">
        <f>C31*(1+$K$22)</f>
        <v>25268845022.832558</v>
      </c>
      <c r="E31" s="74">
        <f t="shared" ref="E31:H31" si="10">D31*(1+$K$22)</f>
        <v>29754847007.692913</v>
      </c>
      <c r="F31" s="74">
        <f t="shared" si="10"/>
        <v>35037253172.878372</v>
      </c>
      <c r="G31" s="74">
        <f t="shared" si="10"/>
        <v>41257449906.665138</v>
      </c>
      <c r="H31" s="132">
        <f t="shared" si="10"/>
        <v>48581924056.723839</v>
      </c>
    </row>
    <row r="32" spans="2:11" ht="15.5" x14ac:dyDescent="0.35">
      <c r="B32" s="127" t="s">
        <v>263</v>
      </c>
      <c r="C32" s="74">
        <f>H13*(1+K23)</f>
        <v>5735861236.6742268</v>
      </c>
      <c r="D32" s="74">
        <f>C32*(1+$K$23)</f>
        <v>5558515297.6599684</v>
      </c>
      <c r="E32" s="74">
        <f t="shared" ref="E32:H32" si="11">D32*(1+$K$23)</f>
        <v>5386652682.0364075</v>
      </c>
      <c r="F32" s="74">
        <f t="shared" si="11"/>
        <v>5220103852.0313559</v>
      </c>
      <c r="G32" s="74">
        <f t="shared" si="11"/>
        <v>5058704511.7768784</v>
      </c>
      <c r="H32" s="132">
        <f t="shared" si="11"/>
        <v>4902295445.2359104</v>
      </c>
    </row>
    <row r="33" spans="2:8" ht="15.5" x14ac:dyDescent="0.35">
      <c r="B33" s="127" t="s">
        <v>266</v>
      </c>
      <c r="C33" s="74">
        <f>H15*(1+K24)</f>
        <v>3894517618.9179926</v>
      </c>
      <c r="D33" s="74">
        <f>C33*(1+$K$24)</f>
        <v>3606523040.9360642</v>
      </c>
      <c r="E33" s="74">
        <f t="shared" ref="E33:H33" si="12">D33*(1+$K$24)</f>
        <v>3339825292.2569733</v>
      </c>
      <c r="F33" s="74">
        <f t="shared" si="12"/>
        <v>3092849499.6954937</v>
      </c>
      <c r="G33" s="74">
        <f t="shared" si="12"/>
        <v>2864137249.9165621</v>
      </c>
      <c r="H33" s="132">
        <f t="shared" si="12"/>
        <v>2652337977.3788738</v>
      </c>
    </row>
    <row r="34" spans="2:8" ht="15.5" x14ac:dyDescent="0.35">
      <c r="B34" s="127"/>
      <c r="C34" s="74"/>
      <c r="D34" s="74"/>
      <c r="E34" s="74"/>
      <c r="F34" s="74"/>
      <c r="G34" s="74"/>
      <c r="H34" s="132"/>
    </row>
    <row r="35" spans="2:8" ht="15.5" x14ac:dyDescent="0.35">
      <c r="B35" s="127" t="s">
        <v>268</v>
      </c>
      <c r="C35" s="3">
        <f>H17*(1+K26)</f>
        <v>2422035863.3199215</v>
      </c>
      <c r="D35" s="3">
        <f>C35*(1+$K$26)</f>
        <v>2614217816.0109472</v>
      </c>
      <c r="E35" s="3">
        <f t="shared" ref="E35:H35" si="13">D35*(1+$K$26)</f>
        <v>2821648883.5063715</v>
      </c>
      <c r="F35" s="3">
        <f t="shared" si="13"/>
        <v>3045539041.5560584</v>
      </c>
      <c r="G35" s="3">
        <f t="shared" si="13"/>
        <v>3287194274.1919293</v>
      </c>
      <c r="H35" s="128">
        <f t="shared" si="13"/>
        <v>3548024191.7237983</v>
      </c>
    </row>
    <row r="36" spans="2:8" ht="15.5" x14ac:dyDescent="0.35">
      <c r="B36" s="127"/>
      <c r="C36" s="3"/>
      <c r="D36" s="3"/>
      <c r="E36" s="3"/>
      <c r="F36" s="3"/>
      <c r="G36" s="3"/>
      <c r="H36" s="128"/>
    </row>
    <row r="37" spans="2:8" ht="15.5" x14ac:dyDescent="0.35">
      <c r="B37" s="127" t="s">
        <v>270</v>
      </c>
      <c r="C37" s="3">
        <f>H19*(1+K28)</f>
        <v>440662188.88416344</v>
      </c>
      <c r="D37" s="3">
        <f>C37*(1+$K$28)</f>
        <v>530968553.96191609</v>
      </c>
      <c r="E37" s="3">
        <f t="shared" ref="E37:H37" si="14">D37*(1+$K$28)</f>
        <v>639781702.19301093</v>
      </c>
      <c r="F37" s="3">
        <f t="shared" si="14"/>
        <v>770894290.07945585</v>
      </c>
      <c r="G37" s="3">
        <f t="shared" si="14"/>
        <v>928876215.80934954</v>
      </c>
      <c r="H37" s="128">
        <f t="shared" si="14"/>
        <v>1119233901.9755454</v>
      </c>
    </row>
    <row r="38" spans="2:8" ht="15.5" x14ac:dyDescent="0.35">
      <c r="B38" s="127"/>
      <c r="C38" s="3"/>
      <c r="D38" s="3"/>
      <c r="E38" s="3"/>
      <c r="F38" s="3"/>
      <c r="G38" s="3"/>
      <c r="H38" s="128"/>
    </row>
    <row r="39" spans="2:8" ht="15.5" x14ac:dyDescent="0.35">
      <c r="B39" s="127" t="s">
        <v>271</v>
      </c>
      <c r="C39" s="3">
        <f>H21*(1+K30)</f>
        <v>62228956.399549402</v>
      </c>
      <c r="D39" s="3">
        <f>C39*(1+$K$30)</f>
        <v>49845448.063136615</v>
      </c>
      <c r="E39" s="3">
        <f t="shared" ref="E39:H39" si="15">D39*(1+$K$30)</f>
        <v>39926247.142284401</v>
      </c>
      <c r="F39" s="3">
        <f t="shared" si="15"/>
        <v>31980958.599220611</v>
      </c>
      <c r="G39" s="3">
        <f t="shared" si="15"/>
        <v>25616775.583244655</v>
      </c>
      <c r="H39" s="128">
        <f t="shared" si="15"/>
        <v>20519059.466163464</v>
      </c>
    </row>
    <row r="40" spans="2:8" x14ac:dyDescent="0.35">
      <c r="B40" s="92"/>
      <c r="H40" s="93"/>
    </row>
    <row r="41" spans="2:8" ht="15.5" x14ac:dyDescent="0.35">
      <c r="B41" s="136" t="s">
        <v>272</v>
      </c>
      <c r="C41" s="137">
        <f>C28+C35+C37+C39</f>
        <v>163250846372.49661</v>
      </c>
      <c r="D41" s="137">
        <f t="shared" ref="D41:H41" si="16">D28+D35+D37+D39</f>
        <v>168427311697.5892</v>
      </c>
      <c r="E41" s="137">
        <f t="shared" si="16"/>
        <v>174725358630.50952</v>
      </c>
      <c r="F41" s="137">
        <f t="shared" si="16"/>
        <v>182292022941.18948</v>
      </c>
      <c r="G41" s="137">
        <f t="shared" si="16"/>
        <v>191298934516.53781</v>
      </c>
      <c r="H41" s="138">
        <f t="shared" si="16"/>
        <v>201946413906.85397</v>
      </c>
    </row>
    <row r="42" spans="2:8" ht="15.5" x14ac:dyDescent="0.35">
      <c r="B42" s="140" t="s">
        <v>275</v>
      </c>
      <c r="C42" s="31">
        <f>C41/1000</f>
        <v>163250846.3724966</v>
      </c>
      <c r="D42" s="31">
        <f t="shared" ref="D42:H42" si="17">D41/1000</f>
        <v>168427311.69758919</v>
      </c>
      <c r="E42" s="31">
        <f t="shared" si="17"/>
        <v>174725358.63050953</v>
      </c>
      <c r="F42" s="31">
        <f t="shared" si="17"/>
        <v>182292022.9411895</v>
      </c>
      <c r="G42" s="31">
        <f t="shared" si="17"/>
        <v>191298934.51653782</v>
      </c>
      <c r="H42" s="31">
        <f t="shared" si="17"/>
        <v>201946413.90685397</v>
      </c>
    </row>
    <row r="43" spans="2:8" x14ac:dyDescent="0.35">
      <c r="D43" s="19">
        <f>(D42-C42)/C42</f>
        <v>3.1708658424233933E-2</v>
      </c>
      <c r="E43" s="19">
        <f t="shared" ref="E43:H43" si="18">(E42-D42)/D42</f>
        <v>3.7393264010699548E-2</v>
      </c>
      <c r="F43" s="19">
        <f t="shared" si="18"/>
        <v>4.3306045384523394E-2</v>
      </c>
      <c r="G43" s="19">
        <f t="shared" si="18"/>
        <v>4.9409246932621401E-2</v>
      </c>
      <c r="H43" s="19">
        <f t="shared" si="18"/>
        <v>5.5658853601171954E-2</v>
      </c>
    </row>
    <row r="44" spans="2:8" x14ac:dyDescent="0.35">
      <c r="G44" s="30"/>
      <c r="H44" s="30">
        <f>AVERAGE(D43:H43)</f>
        <v>4.3495213670650047E-2</v>
      </c>
    </row>
  </sheetData>
  <mergeCells count="4">
    <mergeCell ref="B2:H3"/>
    <mergeCell ref="J2:O3"/>
    <mergeCell ref="J18:K19"/>
    <mergeCell ref="B25:H2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79"/>
  <sheetViews>
    <sheetView zoomScale="79" zoomScaleNormal="70" workbookViewId="0">
      <selection activeCell="G36" sqref="G36"/>
    </sheetView>
  </sheetViews>
  <sheetFormatPr defaultRowHeight="14.5" x14ac:dyDescent="0.35"/>
  <cols>
    <col min="1" max="1" width="39.81640625" customWidth="1"/>
    <col min="2" max="2" width="15.1796875" customWidth="1"/>
    <col min="3" max="3" width="12.54296875" bestFit="1" customWidth="1"/>
    <col min="4" max="4" width="21.81640625" customWidth="1"/>
    <col min="5" max="6" width="15.90625" bestFit="1" customWidth="1"/>
    <col min="7" max="7" width="14.453125" customWidth="1"/>
    <col min="8" max="8" width="15" customWidth="1"/>
    <col min="9" max="9" width="8.7265625" customWidth="1"/>
    <col min="10" max="10" width="10.54296875" customWidth="1"/>
    <col min="11" max="11" width="13.81640625" customWidth="1"/>
    <col min="12" max="12" width="18.1796875" customWidth="1"/>
    <col min="14" max="14" width="13.26953125" customWidth="1"/>
    <col min="15" max="15" width="14" customWidth="1"/>
    <col min="16" max="16" width="13.54296875" customWidth="1"/>
    <col min="17" max="17" width="11.54296875" bestFit="1" customWidth="1"/>
    <col min="18" max="18" width="18.81640625" customWidth="1"/>
    <col min="19" max="19" width="11.54296875" bestFit="1" customWidth="1"/>
  </cols>
  <sheetData>
    <row r="1" spans="1:19" ht="21.5" thickBot="1" x14ac:dyDescent="0.55000000000000004">
      <c r="A1" s="359" t="s">
        <v>318</v>
      </c>
      <c r="B1" s="359"/>
      <c r="C1" s="359"/>
      <c r="D1" s="359"/>
    </row>
    <row r="2" spans="1:19" x14ac:dyDescent="0.35">
      <c r="A2" s="360" t="s">
        <v>148</v>
      </c>
      <c r="B2" s="361"/>
      <c r="C2" s="366" t="s">
        <v>283</v>
      </c>
      <c r="D2" s="367"/>
    </row>
    <row r="3" spans="1:19" x14ac:dyDescent="0.35">
      <c r="A3" s="362" t="s">
        <v>149</v>
      </c>
      <c r="B3" s="363"/>
      <c r="C3" s="368">
        <v>5.2900000000000003E-2</v>
      </c>
      <c r="D3" s="369"/>
    </row>
    <row r="4" spans="1:19" x14ac:dyDescent="0.35">
      <c r="A4" s="362" t="s">
        <v>150</v>
      </c>
      <c r="B4" s="363"/>
      <c r="C4" s="368">
        <v>0.55879999999999996</v>
      </c>
      <c r="D4" s="369"/>
    </row>
    <row r="5" spans="1:19" x14ac:dyDescent="0.35">
      <c r="A5" s="364" t="s">
        <v>177</v>
      </c>
      <c r="B5" s="365"/>
      <c r="C5" s="368">
        <v>0.42259999999999998</v>
      </c>
      <c r="D5" s="369"/>
      <c r="F5" s="24"/>
      <c r="G5" s="24"/>
      <c r="H5" s="24"/>
      <c r="I5" s="24"/>
    </row>
    <row r="6" spans="1:19" x14ac:dyDescent="0.35">
      <c r="A6" s="362" t="s">
        <v>151</v>
      </c>
      <c r="B6" s="363"/>
      <c r="C6" s="368">
        <v>0.13969999999999999</v>
      </c>
      <c r="D6" s="369"/>
    </row>
    <row r="7" spans="1:19" x14ac:dyDescent="0.35">
      <c r="A7" s="364" t="s">
        <v>152</v>
      </c>
      <c r="B7" s="365"/>
      <c r="C7" s="368">
        <v>0.13980000000000001</v>
      </c>
      <c r="D7" s="369"/>
    </row>
    <row r="8" spans="1:19" x14ac:dyDescent="0.35">
      <c r="A8" s="364" t="s">
        <v>153</v>
      </c>
      <c r="B8" s="365"/>
      <c r="C8" s="368">
        <v>9.8900000000000002E-2</v>
      </c>
      <c r="D8" s="369"/>
    </row>
    <row r="9" spans="1:19" s="21" customFormat="1" ht="26.5" customHeight="1" x14ac:dyDescent="0.35">
      <c r="A9" s="364" t="s">
        <v>290</v>
      </c>
      <c r="B9" s="365"/>
      <c r="C9" s="368" t="s">
        <v>291</v>
      </c>
      <c r="D9" s="369"/>
    </row>
    <row r="10" spans="1:19" s="21" customFormat="1" ht="26.5" customHeight="1" x14ac:dyDescent="0.35">
      <c r="A10" s="364" t="s">
        <v>197</v>
      </c>
      <c r="B10" s="365"/>
      <c r="C10" s="368">
        <v>0.1978</v>
      </c>
      <c r="D10" s="369"/>
    </row>
    <row r="11" spans="1:19" x14ac:dyDescent="0.35">
      <c r="A11" s="362" t="s">
        <v>154</v>
      </c>
      <c r="B11" s="363"/>
      <c r="C11" s="374">
        <v>0.41</v>
      </c>
      <c r="D11" s="375"/>
    </row>
    <row r="12" spans="1:19" ht="15" thickBot="1" x14ac:dyDescent="0.4">
      <c r="A12" s="372" t="s">
        <v>155</v>
      </c>
      <c r="B12" s="373"/>
      <c r="C12" s="377">
        <v>0.75900000000000001</v>
      </c>
      <c r="D12" s="378"/>
      <c r="G12" s="3"/>
    </row>
    <row r="13" spans="1:19" x14ac:dyDescent="0.35">
      <c r="K13" s="385" t="s">
        <v>293</v>
      </c>
      <c r="L13" s="386"/>
      <c r="M13" s="386"/>
      <c r="N13" s="386"/>
      <c r="O13" s="386"/>
      <c r="P13" s="386"/>
      <c r="Q13" s="386"/>
      <c r="R13" s="386"/>
      <c r="S13" s="387"/>
    </row>
    <row r="14" spans="1:19" x14ac:dyDescent="0.35">
      <c r="K14" s="381" t="s">
        <v>294</v>
      </c>
      <c r="L14" s="382"/>
      <c r="M14" s="382"/>
      <c r="N14" s="175">
        <v>2025</v>
      </c>
      <c r="O14" s="175">
        <v>2026</v>
      </c>
      <c r="P14" s="175">
        <v>2027</v>
      </c>
      <c r="Q14" s="175">
        <v>2028</v>
      </c>
      <c r="R14" s="175">
        <v>2029</v>
      </c>
      <c r="S14" s="97">
        <v>2030</v>
      </c>
    </row>
    <row r="15" spans="1:19" ht="18.5" x14ac:dyDescent="0.45">
      <c r="A15" s="376" t="s">
        <v>160</v>
      </c>
      <c r="B15" s="376"/>
      <c r="C15" s="376"/>
      <c r="D15" s="376"/>
      <c r="E15" s="376"/>
      <c r="F15" s="376"/>
      <c r="G15" s="376"/>
      <c r="H15" s="376"/>
      <c r="K15" s="383" t="s">
        <v>295</v>
      </c>
      <c r="L15" s="384"/>
      <c r="M15" s="384"/>
      <c r="N15" s="159">
        <v>163250846.3724966</v>
      </c>
      <c r="O15" s="159">
        <v>168427311.69758919</v>
      </c>
      <c r="P15" s="159">
        <v>174725358.63050953</v>
      </c>
      <c r="Q15" s="159">
        <v>182292022.9411895</v>
      </c>
      <c r="R15" s="159">
        <v>191298934.51653782</v>
      </c>
      <c r="S15" s="93">
        <v>201946413.90685397</v>
      </c>
    </row>
    <row r="16" spans="1:19" ht="15" thickBot="1" x14ac:dyDescent="0.4">
      <c r="A16" s="28" t="s">
        <v>156</v>
      </c>
      <c r="B16" s="29">
        <v>2019</v>
      </c>
      <c r="C16" s="29">
        <v>2020</v>
      </c>
      <c r="D16" s="29">
        <v>2021</v>
      </c>
      <c r="E16" s="29">
        <v>2022</v>
      </c>
      <c r="F16" s="29">
        <v>2023</v>
      </c>
      <c r="G16" s="29">
        <v>2024</v>
      </c>
      <c r="H16" s="29" t="s">
        <v>292</v>
      </c>
      <c r="K16" s="383" t="s">
        <v>296</v>
      </c>
      <c r="L16" s="384"/>
      <c r="M16" s="384"/>
      <c r="N16" s="171">
        <f>(N15-G17)/G17</f>
        <v>3.0318297484595559E-2</v>
      </c>
      <c r="O16" s="171">
        <v>3.1708658424233933E-2</v>
      </c>
      <c r="P16" s="171">
        <v>3.7393264010699548E-2</v>
      </c>
      <c r="Q16" s="171">
        <v>4.3306045384523394E-2</v>
      </c>
      <c r="R16" s="171">
        <v>4.9409246932621401E-2</v>
      </c>
      <c r="S16" s="172">
        <v>5.5658853601171954E-2</v>
      </c>
    </row>
    <row r="17" spans="1:19" ht="26.5" customHeight="1" x14ac:dyDescent="0.5">
      <c r="A17" s="39" t="s">
        <v>157</v>
      </c>
      <c r="B17" s="34">
        <v>143656271</v>
      </c>
      <c r="C17" s="34">
        <v>139606161</v>
      </c>
      <c r="D17" s="34">
        <v>143065872</v>
      </c>
      <c r="E17" s="34">
        <v>150403469</v>
      </c>
      <c r="F17" s="34">
        <v>158715818</v>
      </c>
      <c r="G17" s="34">
        <v>158447003</v>
      </c>
      <c r="H17" s="35"/>
      <c r="I17" s="158"/>
      <c r="J17" s="158"/>
      <c r="K17" s="379" t="s">
        <v>300</v>
      </c>
      <c r="L17" s="380"/>
      <c r="M17" s="380"/>
      <c r="N17" s="380"/>
      <c r="O17" s="380"/>
      <c r="P17" s="380"/>
      <c r="Q17" s="380"/>
      <c r="R17" s="380"/>
      <c r="S17" s="174">
        <f>AVERAGE(N16:S16)</f>
        <v>4.1299060972974304E-2</v>
      </c>
    </row>
    <row r="18" spans="1:19" x14ac:dyDescent="0.35">
      <c r="A18" s="159" t="s">
        <v>299</v>
      </c>
      <c r="B18" s="49">
        <f>(B17-132831967)/132831967</f>
        <v>8.1488697671698265E-2</v>
      </c>
      <c r="C18" s="49">
        <f>(C17-B17)/B17</f>
        <v>-2.8193060921092684E-2</v>
      </c>
      <c r="D18" s="49">
        <f>(D17-C17)/C17</f>
        <v>2.478193637886798E-2</v>
      </c>
      <c r="E18" s="49">
        <f>(E17-D17)/D17</f>
        <v>5.128824154512545E-2</v>
      </c>
      <c r="F18" s="49">
        <f>(F17-E17)/E17</f>
        <v>5.5267003183284293E-2</v>
      </c>
      <c r="G18" s="49">
        <f>(G17-F17)/F17</f>
        <v>-1.6936875189087959E-3</v>
      </c>
      <c r="H18" s="161">
        <f>AVERAGE(D18,E18,F18)</f>
        <v>4.3779060369092571E-2</v>
      </c>
      <c r="I18" s="160"/>
      <c r="J18" s="160"/>
      <c r="K18" s="370" t="s">
        <v>297</v>
      </c>
      <c r="L18" s="371"/>
      <c r="M18" s="371"/>
      <c r="N18" s="371"/>
      <c r="O18" s="371"/>
      <c r="P18" s="371"/>
      <c r="Q18" s="371"/>
      <c r="R18" s="162" t="s">
        <v>298</v>
      </c>
      <c r="S18" s="173">
        <v>4.4600000000000001E-2</v>
      </c>
    </row>
    <row r="19" spans="1:19" x14ac:dyDescent="0.35">
      <c r="A19" s="57" t="s">
        <v>158</v>
      </c>
      <c r="B19" s="42">
        <v>7238494</v>
      </c>
      <c r="C19" s="42">
        <v>7332233</v>
      </c>
      <c r="D19" s="42">
        <v>7118916</v>
      </c>
      <c r="E19" s="42">
        <v>8767798</v>
      </c>
      <c r="F19" s="42">
        <v>8586151</v>
      </c>
      <c r="G19" s="42">
        <v>8275593</v>
      </c>
      <c r="H19" s="43"/>
    </row>
    <row r="20" spans="1:19" ht="19" thickBot="1" x14ac:dyDescent="0.5">
      <c r="A20" s="64" t="s">
        <v>159</v>
      </c>
      <c r="B20" s="38">
        <f t="shared" ref="B20:G20" si="0">B19/B17</f>
        <v>5.0387594983584111E-2</v>
      </c>
      <c r="C20" s="38">
        <f t="shared" si="0"/>
        <v>5.2520841111016583E-2</v>
      </c>
      <c r="D20" s="38">
        <f t="shared" si="0"/>
        <v>4.975970789176052E-2</v>
      </c>
      <c r="E20" s="38">
        <f t="shared" si="0"/>
        <v>5.8295184667582371E-2</v>
      </c>
      <c r="F20" s="38">
        <f t="shared" si="0"/>
        <v>5.4097638837737015E-2</v>
      </c>
      <c r="G20" s="38">
        <f t="shared" si="0"/>
        <v>5.2229406951925746E-2</v>
      </c>
      <c r="H20" s="164">
        <f>AVERAGE(B20:G20)</f>
        <v>5.2881729073934396E-2</v>
      </c>
    </row>
    <row r="21" spans="1:19" x14ac:dyDescent="0.35">
      <c r="A21" s="40" t="s">
        <v>161</v>
      </c>
      <c r="B21" s="34">
        <v>87491938</v>
      </c>
      <c r="C21" s="35">
        <v>75416374</v>
      </c>
      <c r="D21" s="34">
        <v>79736106</v>
      </c>
      <c r="E21" s="35">
        <v>87895358</v>
      </c>
      <c r="F21" s="35">
        <v>89078170</v>
      </c>
      <c r="G21" s="34">
        <v>79314915</v>
      </c>
      <c r="H21" s="35"/>
    </row>
    <row r="22" spans="1:19" ht="19" thickBot="1" x14ac:dyDescent="0.5">
      <c r="A22" s="64" t="s">
        <v>162</v>
      </c>
      <c r="B22" s="38">
        <f t="shared" ref="B22:G22" si="1">B21/B17</f>
        <v>0.60903667755652657</v>
      </c>
      <c r="C22" s="38">
        <f t="shared" si="1"/>
        <v>0.54020806431315016</v>
      </c>
      <c r="D22" s="38">
        <f t="shared" si="1"/>
        <v>0.55733841261597317</v>
      </c>
      <c r="E22" s="38">
        <f t="shared" si="1"/>
        <v>0.58439714578657753</v>
      </c>
      <c r="F22" s="38">
        <f t="shared" si="1"/>
        <v>0.56124317741285246</v>
      </c>
      <c r="G22" s="38">
        <f t="shared" si="1"/>
        <v>0.5005769342320725</v>
      </c>
      <c r="H22" s="164">
        <f>AVERAGE(B22:G22)</f>
        <v>0.55880006865285869</v>
      </c>
    </row>
    <row r="23" spans="1:19" x14ac:dyDescent="0.35">
      <c r="A23" s="41" t="s">
        <v>1</v>
      </c>
      <c r="B23" s="42">
        <v>8465283</v>
      </c>
      <c r="C23" s="42">
        <v>8812905</v>
      </c>
      <c r="D23" s="42">
        <v>9604705</v>
      </c>
      <c r="E23" s="42">
        <v>10088492</v>
      </c>
      <c r="F23" s="42">
        <v>9961041</v>
      </c>
      <c r="G23" s="42">
        <v>9825692</v>
      </c>
      <c r="H23" s="43"/>
      <c r="J23" s="21"/>
      <c r="K23" s="21"/>
      <c r="L23" s="21"/>
      <c r="M23" s="21"/>
    </row>
    <row r="24" spans="1:19" x14ac:dyDescent="0.35">
      <c r="A24" s="44" t="s">
        <v>5</v>
      </c>
      <c r="B24" s="45">
        <v>10107313</v>
      </c>
      <c r="C24" s="45">
        <v>10478334</v>
      </c>
      <c r="D24" s="45">
        <v>10895286</v>
      </c>
      <c r="E24" s="45">
        <v>12583383</v>
      </c>
      <c r="F24" s="45">
        <v>12009842</v>
      </c>
      <c r="G24" s="45">
        <v>12068041</v>
      </c>
      <c r="H24" s="22"/>
      <c r="J24" s="21"/>
      <c r="K24" s="21"/>
      <c r="L24" s="21"/>
      <c r="M24" s="21"/>
    </row>
    <row r="25" spans="1:19" x14ac:dyDescent="0.35">
      <c r="A25" s="53" t="s">
        <v>163</v>
      </c>
      <c r="B25" s="45">
        <v>18572596</v>
      </c>
      <c r="C25" s="45">
        <v>19291239</v>
      </c>
      <c r="D25" s="45">
        <v>20499991</v>
      </c>
      <c r="E25" s="45">
        <v>22671875</v>
      </c>
      <c r="F25" s="45">
        <v>21970883</v>
      </c>
      <c r="G25" s="45">
        <v>21893733</v>
      </c>
      <c r="H25" s="22"/>
      <c r="K25" s="21"/>
      <c r="L25" s="21"/>
      <c r="M25" s="21"/>
    </row>
    <row r="26" spans="1:19" ht="19" thickBot="1" x14ac:dyDescent="0.5">
      <c r="A26" s="65" t="s">
        <v>164</v>
      </c>
      <c r="B26" s="38">
        <f t="shared" ref="B26:G26" si="2">B25/B17</f>
        <v>0.12928496522090568</v>
      </c>
      <c r="C26" s="38">
        <f t="shared" si="2"/>
        <v>0.13818329264136128</v>
      </c>
      <c r="D26" s="38">
        <f t="shared" si="2"/>
        <v>0.14329057456833591</v>
      </c>
      <c r="E26" s="38">
        <f t="shared" si="2"/>
        <v>0.15074037288328768</v>
      </c>
      <c r="F26" s="38">
        <f t="shared" si="2"/>
        <v>0.13842906949577011</v>
      </c>
      <c r="G26" s="38">
        <f t="shared" si="2"/>
        <v>0.13817700925526499</v>
      </c>
      <c r="H26" s="165">
        <f>AVERAGE(B26:G26)</f>
        <v>0.13968421401082096</v>
      </c>
      <c r="J26" s="21"/>
      <c r="K26" s="21"/>
      <c r="L26" s="21"/>
      <c r="M26" s="21"/>
    </row>
    <row r="27" spans="1:19" x14ac:dyDescent="0.35">
      <c r="A27" s="63" t="s">
        <v>165</v>
      </c>
      <c r="B27" s="157">
        <v>62396558</v>
      </c>
      <c r="C27" s="23">
        <v>56901192</v>
      </c>
      <c r="D27" s="157">
        <v>60387950</v>
      </c>
      <c r="E27" s="23">
        <v>62849119</v>
      </c>
      <c r="F27" s="23">
        <v>67019995</v>
      </c>
      <c r="G27" s="157">
        <v>68335441</v>
      </c>
      <c r="H27" s="26"/>
    </row>
    <row r="28" spans="1:19" ht="19" thickBot="1" x14ac:dyDescent="0.5">
      <c r="A28" s="66" t="s">
        <v>166</v>
      </c>
      <c r="B28" s="38">
        <f t="shared" ref="B28:G28" si="3">B27/B17</f>
        <v>0.43434621799420087</v>
      </c>
      <c r="C28" s="38">
        <f t="shared" si="3"/>
        <v>0.4075836739039046</v>
      </c>
      <c r="D28" s="38">
        <f t="shared" si="3"/>
        <v>0.42209891958020568</v>
      </c>
      <c r="E28" s="38">
        <f t="shared" si="3"/>
        <v>0.41787014234359182</v>
      </c>
      <c r="F28" s="38">
        <f t="shared" si="3"/>
        <v>0.42226411862741997</v>
      </c>
      <c r="G28" s="38">
        <f t="shared" si="3"/>
        <v>0.43128263524176597</v>
      </c>
      <c r="H28" s="166">
        <f>AVERAGE(B28:G28)</f>
        <v>0.42257428461518143</v>
      </c>
    </row>
    <row r="29" spans="1:19" x14ac:dyDescent="0.35">
      <c r="A29" s="47" t="s">
        <v>167</v>
      </c>
      <c r="B29" s="34">
        <v>804706</v>
      </c>
      <c r="C29" s="34">
        <v>-1245125</v>
      </c>
      <c r="D29" s="34">
        <v>87206</v>
      </c>
      <c r="E29" s="34">
        <v>456720</v>
      </c>
      <c r="F29" s="34">
        <v>668820</v>
      </c>
      <c r="G29" s="34">
        <v>451408</v>
      </c>
      <c r="H29" s="35"/>
    </row>
    <row r="30" spans="1:19" s="21" customFormat="1" x14ac:dyDescent="0.35">
      <c r="A30" s="48" t="s">
        <v>168</v>
      </c>
      <c r="B30" s="45">
        <v>2934284</v>
      </c>
      <c r="C30" s="45">
        <v>1240000</v>
      </c>
      <c r="D30" s="45">
        <v>5500000</v>
      </c>
      <c r="E30" s="45">
        <v>5037394</v>
      </c>
      <c r="F30" s="45">
        <v>3119599</v>
      </c>
      <c r="G30" s="45">
        <v>5000000</v>
      </c>
      <c r="H30" s="22"/>
    </row>
    <row r="31" spans="1:19" s="21" customFormat="1" ht="19" thickBot="1" x14ac:dyDescent="0.5">
      <c r="A31" s="54" t="s">
        <v>169</v>
      </c>
      <c r="B31" s="38"/>
      <c r="C31" s="38">
        <f>-C29/((C30+B30)/2)</f>
        <v>0.5965693757300653</v>
      </c>
      <c r="D31" s="38">
        <f>D29/((D30+C30)/2)</f>
        <v>2.5877151335311571E-2</v>
      </c>
      <c r="E31" s="38">
        <f t="shared" ref="E31:G31" si="4">E29/((E30+D30)/2)</f>
        <v>8.6685569506084706E-2</v>
      </c>
      <c r="F31" s="38">
        <f t="shared" si="4"/>
        <v>0.16398690056495083</v>
      </c>
      <c r="G31" s="38">
        <f t="shared" si="4"/>
        <v>0.11118972747299466</v>
      </c>
      <c r="H31" s="167">
        <f>AVERAGE(E31,G31)</f>
        <v>9.8937648489539676E-2</v>
      </c>
    </row>
    <row r="32" spans="1:19" x14ac:dyDescent="0.35">
      <c r="A32" s="47" t="s">
        <v>170</v>
      </c>
      <c r="B32" s="34">
        <v>-29382199</v>
      </c>
      <c r="C32" s="34">
        <v>-25613869</v>
      </c>
      <c r="D32" s="34">
        <v>-26691690</v>
      </c>
      <c r="E32" s="34">
        <v>-21898505</v>
      </c>
      <c r="F32" s="34">
        <v>-21249000</v>
      </c>
      <c r="G32" s="34">
        <v>-17234497</v>
      </c>
      <c r="H32" s="35"/>
    </row>
    <row r="33" spans="1:9" x14ac:dyDescent="0.35">
      <c r="A33" s="48" t="s">
        <v>171</v>
      </c>
      <c r="B33" s="45">
        <v>34516760</v>
      </c>
      <c r="C33" s="45">
        <v>37187037</v>
      </c>
      <c r="D33" s="45">
        <v>34129056</v>
      </c>
      <c r="E33" s="45">
        <v>30091598</v>
      </c>
      <c r="F33" s="45">
        <v>33074873</v>
      </c>
      <c r="G33" s="45">
        <v>36308727</v>
      </c>
      <c r="H33" s="22"/>
    </row>
    <row r="34" spans="1:9" s="21" customFormat="1" x14ac:dyDescent="0.35">
      <c r="A34" s="46" t="s">
        <v>173</v>
      </c>
      <c r="B34" s="225">
        <v>26301675</v>
      </c>
      <c r="C34" s="225">
        <v>28110077</v>
      </c>
      <c r="D34" s="225">
        <v>33058662</v>
      </c>
      <c r="E34" s="225">
        <v>33584032</v>
      </c>
      <c r="F34" s="225">
        <v>9093155</v>
      </c>
      <c r="G34" s="225">
        <v>42317213</v>
      </c>
      <c r="H34" s="22"/>
    </row>
    <row r="35" spans="1:9" s="21" customFormat="1" ht="18.5" x14ac:dyDescent="0.45">
      <c r="A35" s="60" t="s">
        <v>172</v>
      </c>
      <c r="B35" s="49">
        <f t="shared" ref="B35:G35" si="5">-B32/(B33-B32)</f>
        <v>0.45982281182389839</v>
      </c>
      <c r="C35" s="49">
        <f t="shared" si="5"/>
        <v>0.40785827198098068</v>
      </c>
      <c r="D35" s="49">
        <f t="shared" si="5"/>
        <v>0.43885831324725944</v>
      </c>
      <c r="E35" s="49">
        <f t="shared" si="5"/>
        <v>0.42120526285550924</v>
      </c>
      <c r="F35" s="49">
        <f t="shared" si="5"/>
        <v>0.39115399596048683</v>
      </c>
      <c r="G35" s="49">
        <f t="shared" si="5"/>
        <v>0.32188007580567057</v>
      </c>
      <c r="H35" s="168">
        <f>AVERAGE(B35:G35)</f>
        <v>0.40679645527896752</v>
      </c>
    </row>
    <row r="36" spans="1:9" ht="18.5" x14ac:dyDescent="0.45">
      <c r="A36" s="60" t="s">
        <v>174</v>
      </c>
      <c r="B36" s="49">
        <f>B34/B33</f>
        <v>0.76199721526585928</v>
      </c>
      <c r="C36" s="49">
        <f t="shared" ref="C36:G36" si="6">C34/C33</f>
        <v>0.75591064165719901</v>
      </c>
      <c r="D36" s="49">
        <f>D34/D33</f>
        <v>0.96863687058909564</v>
      </c>
      <c r="E36" s="49">
        <f t="shared" si="6"/>
        <v>1.1160601042191245</v>
      </c>
      <c r="F36" s="49">
        <f t="shared" si="6"/>
        <v>0.27492637689039651</v>
      </c>
      <c r="G36" s="49">
        <f t="shared" si="6"/>
        <v>1.1654832459424975</v>
      </c>
      <c r="H36" s="168">
        <f>AVERAGE(B36,C36)</f>
        <v>0.7589539284615292</v>
      </c>
    </row>
    <row r="37" spans="1:9" ht="15" thickBot="1" x14ac:dyDescent="0.4">
      <c r="A37" s="50" t="s">
        <v>175</v>
      </c>
      <c r="B37" s="51">
        <f t="shared" ref="B37:G37" si="7">1-B36</f>
        <v>0.23800278473414072</v>
      </c>
      <c r="C37" s="51">
        <f t="shared" si="7"/>
        <v>0.24408935834280099</v>
      </c>
      <c r="D37" s="51">
        <f t="shared" si="7"/>
        <v>3.1363129410904356E-2</v>
      </c>
      <c r="E37" s="52">
        <f t="shared" si="7"/>
        <v>-0.11606010421912449</v>
      </c>
      <c r="F37" s="51">
        <f t="shared" si="7"/>
        <v>0.72507362310960355</v>
      </c>
      <c r="G37" s="51">
        <f t="shared" si="7"/>
        <v>-0.16548324594249753</v>
      </c>
      <c r="H37" s="37"/>
    </row>
    <row r="38" spans="1:9" x14ac:dyDescent="0.35">
      <c r="A38" s="56" t="s">
        <v>184</v>
      </c>
      <c r="H38" s="33"/>
    </row>
    <row r="39" spans="1:9" s="21" customFormat="1" x14ac:dyDescent="0.35">
      <c r="A39" s="62" t="s">
        <v>195</v>
      </c>
      <c r="B39" s="3">
        <v>1010608</v>
      </c>
      <c r="C39" s="3">
        <v>1054134</v>
      </c>
      <c r="D39" s="3">
        <v>1069921</v>
      </c>
      <c r="E39" s="3">
        <v>1228584</v>
      </c>
      <c r="F39" s="3">
        <v>1237566</v>
      </c>
      <c r="G39" s="3">
        <v>1238980</v>
      </c>
      <c r="H39" s="33"/>
    </row>
    <row r="40" spans="1:9" x14ac:dyDescent="0.35">
      <c r="A40" s="27" t="s">
        <v>176</v>
      </c>
      <c r="B40" s="3">
        <v>4046376</v>
      </c>
      <c r="C40" s="3">
        <v>4051020</v>
      </c>
      <c r="D40" s="3">
        <v>4064482</v>
      </c>
      <c r="E40" s="3">
        <v>4102681</v>
      </c>
      <c r="F40" s="3">
        <v>4116781</v>
      </c>
      <c r="G40" s="3">
        <v>3933495</v>
      </c>
    </row>
    <row r="41" spans="1:9" x14ac:dyDescent="0.35">
      <c r="A41" s="27" t="s">
        <v>179</v>
      </c>
      <c r="B41" s="3">
        <v>134166845</v>
      </c>
      <c r="C41" s="3">
        <v>135337861</v>
      </c>
      <c r="D41" s="3">
        <v>134197356</v>
      </c>
      <c r="E41" s="3">
        <v>145555209</v>
      </c>
      <c r="F41" s="3">
        <v>156370250</v>
      </c>
      <c r="G41" s="3">
        <v>158695351</v>
      </c>
    </row>
    <row r="42" spans="1:9" x14ac:dyDescent="0.35">
      <c r="A42" s="27" t="s">
        <v>180</v>
      </c>
      <c r="B42" s="3">
        <v>33368535</v>
      </c>
      <c r="C42" s="3">
        <v>21537389</v>
      </c>
      <c r="D42" s="3">
        <v>21542040</v>
      </c>
      <c r="E42" s="3">
        <v>24148186</v>
      </c>
      <c r="F42" s="3">
        <v>26393634</v>
      </c>
      <c r="G42" s="3">
        <v>23399403</v>
      </c>
      <c r="I42" s="21"/>
    </row>
    <row r="43" spans="1:9" x14ac:dyDescent="0.35">
      <c r="A43" s="27" t="s">
        <v>181</v>
      </c>
      <c r="B43" s="3">
        <v>8158828</v>
      </c>
      <c r="C43" s="3">
        <v>7457619</v>
      </c>
      <c r="D43" s="3">
        <v>8322855</v>
      </c>
      <c r="E43" s="3">
        <v>9960087</v>
      </c>
      <c r="F43" s="3">
        <v>11486871</v>
      </c>
      <c r="G43" s="3">
        <v>10697295</v>
      </c>
      <c r="I43" s="21"/>
    </row>
    <row r="44" spans="1:9" x14ac:dyDescent="0.35">
      <c r="A44" s="27" t="s">
        <v>182</v>
      </c>
      <c r="B44" s="3">
        <v>2933258</v>
      </c>
      <c r="C44" s="3">
        <v>2845757</v>
      </c>
      <c r="D44" s="3">
        <v>2885809</v>
      </c>
      <c r="E44" s="3">
        <v>2872750</v>
      </c>
      <c r="F44" s="3">
        <v>3015130</v>
      </c>
      <c r="G44" s="3">
        <v>1744597</v>
      </c>
      <c r="I44" s="21"/>
    </row>
    <row r="45" spans="1:9" x14ac:dyDescent="0.35">
      <c r="A45" s="27" t="s">
        <v>183</v>
      </c>
      <c r="B45" s="3">
        <v>1494650</v>
      </c>
      <c r="C45" s="3">
        <v>1032658</v>
      </c>
      <c r="D45" s="3">
        <v>893196</v>
      </c>
      <c r="E45" s="3">
        <v>715233</v>
      </c>
      <c r="F45" s="3">
        <v>571824</v>
      </c>
      <c r="G45" s="3">
        <v>555943</v>
      </c>
      <c r="I45" s="21"/>
    </row>
    <row r="46" spans="1:9" s="21" customFormat="1" x14ac:dyDescent="0.35">
      <c r="A46" s="27" t="s">
        <v>196</v>
      </c>
      <c r="B46" s="3">
        <v>6054735</v>
      </c>
      <c r="C46" s="3">
        <v>5710971</v>
      </c>
      <c r="D46" s="3">
        <v>7287396</v>
      </c>
      <c r="E46" s="3">
        <v>4679384</v>
      </c>
      <c r="F46" s="3">
        <v>4171177</v>
      </c>
      <c r="G46" s="3">
        <v>3493333</v>
      </c>
    </row>
    <row r="47" spans="1:9" x14ac:dyDescent="0.35">
      <c r="A47" s="27" t="s">
        <v>309</v>
      </c>
      <c r="B47" s="70">
        <f>SUM(B39:B46)</f>
        <v>191233835</v>
      </c>
      <c r="C47" s="57">
        <f t="shared" ref="C47:G47" si="8">SUM(C39:C46)</f>
        <v>179027409</v>
      </c>
      <c r="D47" s="57">
        <f t="shared" si="8"/>
        <v>180263055</v>
      </c>
      <c r="E47" s="57">
        <f t="shared" si="8"/>
        <v>193262114</v>
      </c>
      <c r="F47" s="70">
        <f t="shared" si="8"/>
        <v>207363233</v>
      </c>
      <c r="G47" s="70">
        <f t="shared" si="8"/>
        <v>203758397</v>
      </c>
      <c r="H47" s="30"/>
      <c r="I47" s="21"/>
    </row>
    <row r="48" spans="1:9" x14ac:dyDescent="0.35">
      <c r="A48" s="27"/>
    </row>
    <row r="49" spans="1:23" x14ac:dyDescent="0.35">
      <c r="A49" s="55" t="s">
        <v>185</v>
      </c>
    </row>
    <row r="50" spans="1:23" x14ac:dyDescent="0.35">
      <c r="A50" s="27" t="s">
        <v>176</v>
      </c>
      <c r="B50" s="19">
        <f>B40/SUM($B$40:$B$45)</f>
        <v>2.1971054636207805E-2</v>
      </c>
      <c r="C50" s="19">
        <f t="shared" ref="C50:C55" si="9">C40/SUM($C$40:$C$45)</f>
        <v>2.3516578531307696E-2</v>
      </c>
      <c r="D50" s="19">
        <f t="shared" ref="D50:D55" si="10">D40/SUM($D$40:$D$45)</f>
        <v>2.3643666856542043E-2</v>
      </c>
      <c r="E50" s="19">
        <f t="shared" ref="E50:E55" si="11">E40/SUM($E$40:$E$45)</f>
        <v>2.1897999524387361E-2</v>
      </c>
      <c r="F50" s="19">
        <f t="shared" ref="F50:F55" si="12">F40/SUM($F$40:$F$45)</f>
        <v>2.0384696571985106E-2</v>
      </c>
      <c r="G50" s="19">
        <f t="shared" ref="G50:G55" si="13">G40/SUM($G$40:$G$45)</f>
        <v>1.9763715996140487E-2</v>
      </c>
    </row>
    <row r="51" spans="1:23" x14ac:dyDescent="0.35">
      <c r="A51" s="27" t="s">
        <v>179</v>
      </c>
      <c r="B51" s="19">
        <f t="shared" ref="B51:B54" si="14">B41/SUM($B$40:$B$45)</f>
        <v>0.72850053525985325</v>
      </c>
      <c r="C51" s="19">
        <f t="shared" si="9"/>
        <v>0.78564989470940783</v>
      </c>
      <c r="D51" s="19">
        <f t="shared" si="10"/>
        <v>0.78064500674200876</v>
      </c>
      <c r="E51" s="19">
        <f t="shared" si="11"/>
        <v>0.77689878824459002</v>
      </c>
      <c r="F51" s="19">
        <f t="shared" si="12"/>
        <v>0.77428459253369408</v>
      </c>
      <c r="G51" s="19">
        <f t="shared" si="13"/>
        <v>0.79735956117189144</v>
      </c>
      <c r="H51" s="25"/>
    </row>
    <row r="52" spans="1:23" x14ac:dyDescent="0.35">
      <c r="A52" s="27" t="s">
        <v>180</v>
      </c>
      <c r="B52" s="19">
        <f t="shared" si="14"/>
        <v>0.18118481960529925</v>
      </c>
      <c r="C52" s="19">
        <f t="shared" si="9"/>
        <v>0.12502670926774553</v>
      </c>
      <c r="D52" s="19">
        <f>D42/SUM($D$40:$D$45)</f>
        <v>0.12531309455185261</v>
      </c>
      <c r="E52" s="19">
        <f t="shared" si="11"/>
        <v>0.12889058777487636</v>
      </c>
      <c r="F52" s="19">
        <f t="shared" si="12"/>
        <v>0.13069099874927267</v>
      </c>
      <c r="G52" s="19">
        <f t="shared" si="13"/>
        <v>0.11756952922813876</v>
      </c>
    </row>
    <row r="53" spans="1:23" x14ac:dyDescent="0.35">
      <c r="A53" s="27" t="s">
        <v>181</v>
      </c>
      <c r="B53" s="19">
        <f t="shared" si="14"/>
        <v>4.4300889426840719E-2</v>
      </c>
      <c r="C53" s="19">
        <f t="shared" si="9"/>
        <v>4.3292228344977902E-2</v>
      </c>
      <c r="D53" s="19">
        <f t="shared" si="10"/>
        <v>4.841522509271913E-2</v>
      </c>
      <c r="E53" s="19">
        <f t="shared" si="11"/>
        <v>5.3161817940233891E-2</v>
      </c>
      <c r="F53" s="19">
        <f t="shared" si="12"/>
        <v>5.6878512579740116E-2</v>
      </c>
      <c r="G53" s="19">
        <f t="shared" si="13"/>
        <v>5.3748206189898201E-2</v>
      </c>
    </row>
    <row r="54" spans="1:23" x14ac:dyDescent="0.35">
      <c r="A54" s="27" t="s">
        <v>182</v>
      </c>
      <c r="B54" s="19">
        <f t="shared" si="14"/>
        <v>1.5927034902365383E-2</v>
      </c>
      <c r="C54" s="19">
        <f t="shared" si="9"/>
        <v>1.6519905596990042E-2</v>
      </c>
      <c r="D54" s="19">
        <f t="shared" si="10"/>
        <v>1.6787159251193815E-2</v>
      </c>
      <c r="E54" s="19">
        <f t="shared" si="11"/>
        <v>1.5333260892982854E-2</v>
      </c>
      <c r="F54" s="19">
        <f t="shared" si="12"/>
        <v>1.492974976689055E-2</v>
      </c>
      <c r="G54" s="19">
        <f t="shared" si="13"/>
        <v>8.7656701319611952E-3</v>
      </c>
    </row>
    <row r="55" spans="1:23" x14ac:dyDescent="0.35">
      <c r="A55" s="27" t="s">
        <v>183</v>
      </c>
      <c r="B55" s="19">
        <f>B45/SUM($B$40:$B$45)</f>
        <v>8.1156661694335858E-3</v>
      </c>
      <c r="C55" s="19">
        <f t="shared" si="9"/>
        <v>5.9946835495710074E-3</v>
      </c>
      <c r="D55" s="19">
        <f t="shared" si="10"/>
        <v>5.1958475056836087E-3</v>
      </c>
      <c r="E55" s="19">
        <f t="shared" si="11"/>
        <v>3.8175456229295295E-3</v>
      </c>
      <c r="F55" s="19">
        <f t="shared" si="12"/>
        <v>2.8314497984174552E-3</v>
      </c>
      <c r="G55" s="19">
        <f t="shared" si="13"/>
        <v>2.7933172819699353E-3</v>
      </c>
    </row>
    <row r="56" spans="1:23" s="21" customFormat="1" x14ac:dyDescent="0.35">
      <c r="A56" s="3"/>
      <c r="B56" s="19" t="str">
        <f>'Balance Sheet'!B10</f>
        <v>127,735,251</v>
      </c>
      <c r="C56" s="19" t="str">
        <f>'Balance Sheet'!C10</f>
        <v>138,253,346</v>
      </c>
      <c r="D56" s="19" t="str">
        <f>'Balance Sheet'!D10</f>
        <v>153,139,103</v>
      </c>
      <c r="E56" s="19">
        <f>'Balance Sheet'!E10</f>
        <v>172993696</v>
      </c>
      <c r="F56" s="19">
        <f>'Balance Sheet'!F10</f>
        <v>175115719</v>
      </c>
      <c r="G56" s="19" t="str">
        <f>'Balance Sheet'!G10</f>
        <v>20,526,814</v>
      </c>
    </row>
    <row r="57" spans="1:23" s="21" customFormat="1" x14ac:dyDescent="0.35">
      <c r="A57" s="27" t="s">
        <v>307</v>
      </c>
      <c r="B57" s="19">
        <f>B56/B17</f>
        <v>0.88917281585291885</v>
      </c>
      <c r="C57" s="19">
        <f t="shared" ref="C57:G57" si="15">C56/C17</f>
        <v>0.9903097757985051</v>
      </c>
      <c r="D57" s="19">
        <f t="shared" si="15"/>
        <v>1.0704097410457192</v>
      </c>
      <c r="E57" s="19">
        <f t="shared" si="15"/>
        <v>1.1501975130640105</v>
      </c>
      <c r="F57" s="19">
        <f t="shared" si="15"/>
        <v>1.1033287116977843</v>
      </c>
      <c r="G57" s="19">
        <f t="shared" si="15"/>
        <v>0.12955003005011081</v>
      </c>
    </row>
    <row r="58" spans="1:23" s="21" customFormat="1" x14ac:dyDescent="0.35">
      <c r="A58" s="27" t="s">
        <v>308</v>
      </c>
      <c r="B58" s="19">
        <f t="shared" ref="B58:G58" si="16">B47/B17</f>
        <v>1.3311903035545174</v>
      </c>
      <c r="C58" s="19">
        <f t="shared" si="16"/>
        <v>1.2823747012139386</v>
      </c>
      <c r="D58" s="19">
        <f t="shared" si="16"/>
        <v>1.2600003933852233</v>
      </c>
      <c r="E58" s="19">
        <f t="shared" si="16"/>
        <v>1.284957822349164</v>
      </c>
      <c r="F58" s="19">
        <f t="shared" si="16"/>
        <v>1.3065064063116885</v>
      </c>
      <c r="G58" s="19">
        <f t="shared" si="16"/>
        <v>1.2859719221069774</v>
      </c>
      <c r="H58" s="179"/>
    </row>
    <row r="60" spans="1:23" x14ac:dyDescent="0.35">
      <c r="A60" s="55" t="s">
        <v>186</v>
      </c>
      <c r="D60" s="55" t="s">
        <v>187</v>
      </c>
    </row>
    <row r="61" spans="1:23" x14ac:dyDescent="0.35">
      <c r="A61" s="27" t="s">
        <v>176</v>
      </c>
      <c r="B61" s="19">
        <f>1/30</f>
        <v>3.3333333333333333E-2</v>
      </c>
      <c r="D61" s="59" t="s">
        <v>188</v>
      </c>
    </row>
    <row r="62" spans="1:23" x14ac:dyDescent="0.35">
      <c r="A62" s="27" t="s">
        <v>179</v>
      </c>
      <c r="B62" s="19">
        <f>1/6.5</f>
        <v>0.15384615384615385</v>
      </c>
      <c r="D62" s="59" t="s">
        <v>189</v>
      </c>
      <c r="E62" s="58"/>
      <c r="V62" s="21"/>
      <c r="W62" s="21"/>
    </row>
    <row r="63" spans="1:23" x14ac:dyDescent="0.35">
      <c r="A63" s="27" t="s">
        <v>180</v>
      </c>
      <c r="B63" s="19">
        <f>1/18.5</f>
        <v>5.4054054054054057E-2</v>
      </c>
      <c r="D63" s="59" t="s">
        <v>190</v>
      </c>
      <c r="V63" s="21"/>
      <c r="W63" s="21"/>
    </row>
    <row r="64" spans="1:23" x14ac:dyDescent="0.35">
      <c r="A64" s="27" t="s">
        <v>181</v>
      </c>
      <c r="B64" s="19">
        <f>1/7.5</f>
        <v>0.13333333333333333</v>
      </c>
      <c r="D64" s="59" t="s">
        <v>191</v>
      </c>
    </row>
    <row r="65" spans="1:23" x14ac:dyDescent="0.35">
      <c r="A65" s="27" t="s">
        <v>182</v>
      </c>
      <c r="B65" s="19">
        <f>1/4</f>
        <v>0.25</v>
      </c>
      <c r="D65" s="59" t="s">
        <v>192</v>
      </c>
    </row>
    <row r="66" spans="1:23" x14ac:dyDescent="0.35">
      <c r="A66" s="27" t="s">
        <v>183</v>
      </c>
      <c r="B66" s="19">
        <f>1/2</f>
        <v>0.5</v>
      </c>
      <c r="D66" s="59">
        <v>4</v>
      </c>
      <c r="V66" s="21"/>
      <c r="W66" s="21"/>
    </row>
    <row r="67" spans="1:23" x14ac:dyDescent="0.35">
      <c r="A67" s="25" t="s">
        <v>193</v>
      </c>
      <c r="B67" s="19">
        <f>SUMPRODUCT($B$61:$B$66,B50:B55)</f>
        <v>0.13654952501240553</v>
      </c>
      <c r="C67" s="19">
        <f t="shared" ref="C67:G67" si="17">SUMPRODUCT($B$61:$B$66,C50:C55)</f>
        <v>0.14131091630937767</v>
      </c>
      <c r="D67" s="19">
        <f t="shared" si="17"/>
        <v>0.14091111173293705</v>
      </c>
      <c r="E67" s="19">
        <f t="shared" si="17"/>
        <v>0.14005021304203089</v>
      </c>
      <c r="F67" s="19">
        <f t="shared" si="17"/>
        <v>0.13959653875837963</v>
      </c>
      <c r="G67" s="19">
        <f t="shared" si="17"/>
        <v>0.1404391056059264</v>
      </c>
    </row>
    <row r="68" spans="1:23" ht="19" thickBot="1" x14ac:dyDescent="0.5">
      <c r="A68" s="61" t="s">
        <v>194</v>
      </c>
      <c r="B68" s="170">
        <f>AVERAGE(B67:G67)</f>
        <v>0.13980956841017619</v>
      </c>
      <c r="C68" s="36"/>
      <c r="D68" s="36"/>
      <c r="E68" s="36"/>
      <c r="F68" s="36"/>
      <c r="G68" s="36"/>
      <c r="H68" s="36"/>
    </row>
    <row r="69" spans="1:23" x14ac:dyDescent="0.35">
      <c r="A69" t="s">
        <v>2</v>
      </c>
      <c r="B69" s="3">
        <v>-9437578</v>
      </c>
      <c r="C69" s="3">
        <v>-10027226</v>
      </c>
      <c r="D69" s="3">
        <v>-11507572</v>
      </c>
      <c r="E69">
        <v>-9235728</v>
      </c>
      <c r="F69">
        <v>-8494009</v>
      </c>
      <c r="G69">
        <v>-8517867</v>
      </c>
    </row>
    <row r="70" spans="1:23" x14ac:dyDescent="0.35">
      <c r="A70" t="s">
        <v>3</v>
      </c>
      <c r="B70" s="3">
        <v>-5898863</v>
      </c>
      <c r="C70" s="3">
        <v>-4984745</v>
      </c>
      <c r="D70" s="3">
        <v>-5550948</v>
      </c>
      <c r="E70">
        <v>-4252580</v>
      </c>
      <c r="F70">
        <v>-6272385</v>
      </c>
      <c r="G70">
        <v>-6942686</v>
      </c>
    </row>
    <row r="71" spans="1:23" x14ac:dyDescent="0.35">
      <c r="A71" t="s">
        <v>4</v>
      </c>
      <c r="B71" s="3">
        <v>-13480018</v>
      </c>
      <c r="C71" s="3">
        <v>-11771112</v>
      </c>
      <c r="D71" s="3">
        <v>-13341089</v>
      </c>
      <c r="E71">
        <v>-15278933</v>
      </c>
      <c r="F71">
        <v>-15428172</v>
      </c>
      <c r="G71">
        <v>-16247666</v>
      </c>
    </row>
    <row r="72" spans="1:23" x14ac:dyDescent="0.35">
      <c r="A72" s="67" t="s">
        <v>198</v>
      </c>
      <c r="B72" s="74">
        <f>-SUM(B69:B71)</f>
        <v>28816459</v>
      </c>
      <c r="C72" s="74">
        <f t="shared" ref="C72:G72" si="18">-SUM(C69:C71)</f>
        <v>26783083</v>
      </c>
      <c r="D72" s="74">
        <f t="shared" si="18"/>
        <v>30399609</v>
      </c>
      <c r="E72" s="74">
        <f t="shared" si="18"/>
        <v>28767241</v>
      </c>
      <c r="F72" s="74">
        <f t="shared" si="18"/>
        <v>30194566</v>
      </c>
      <c r="G72" s="74">
        <f t="shared" si="18"/>
        <v>31708219</v>
      </c>
    </row>
    <row r="73" spans="1:23" ht="19" thickBot="1" x14ac:dyDescent="0.5">
      <c r="A73" s="142" t="s">
        <v>199</v>
      </c>
      <c r="B73" s="143">
        <f t="shared" ref="B73:G73" si="19">B72/B17</f>
        <v>0.20059311577146535</v>
      </c>
      <c r="C73" s="143">
        <f t="shared" si="19"/>
        <v>0.19184742856728221</v>
      </c>
      <c r="D73" s="143">
        <f t="shared" si="19"/>
        <v>0.21248679768994802</v>
      </c>
      <c r="E73" s="143">
        <f t="shared" si="19"/>
        <v>0.19126713759507769</v>
      </c>
      <c r="F73" s="143">
        <f t="shared" si="19"/>
        <v>0.19024295360403209</v>
      </c>
      <c r="G73" s="143">
        <f t="shared" si="19"/>
        <v>0.20011876778761162</v>
      </c>
      <c r="H73" s="169">
        <f>AVERAGE(B73:G73)</f>
        <v>0.19775936683590281</v>
      </c>
    </row>
    <row r="74" spans="1:23" ht="29" x14ac:dyDescent="0.35">
      <c r="A74" t="s">
        <v>288</v>
      </c>
      <c r="B74" t="s">
        <v>289</v>
      </c>
      <c r="C74" t="s">
        <v>286</v>
      </c>
      <c r="D74" s="33" t="s">
        <v>287</v>
      </c>
    </row>
    <row r="75" spans="1:23" x14ac:dyDescent="0.35">
      <c r="A75" s="62" t="s">
        <v>195</v>
      </c>
      <c r="B75" s="26">
        <v>1238980</v>
      </c>
      <c r="C75" s="32">
        <f>B75/68335330</f>
        <v>1.8130884858535107E-2</v>
      </c>
      <c r="D75" s="163">
        <f ca="1">C75/$C$79</f>
        <v>2.037149090266711E-2</v>
      </c>
    </row>
    <row r="76" spans="1:23" x14ac:dyDescent="0.35">
      <c r="A76" s="27" t="s">
        <v>176</v>
      </c>
      <c r="B76" s="26">
        <v>1361592</v>
      </c>
      <c r="C76" s="32">
        <f>B76/68335330</f>
        <v>1.9925154382074397E-2</v>
      </c>
      <c r="D76" s="163">
        <f ca="1">C76/$C$79</f>
        <v>2.2387495392293916E-2</v>
      </c>
    </row>
    <row r="77" spans="1:23" x14ac:dyDescent="0.35">
      <c r="A77" s="27" t="s">
        <v>179</v>
      </c>
      <c r="B77" s="26">
        <v>52278930</v>
      </c>
      <c r="C77" s="32">
        <f>B77/68335330</f>
        <v>0.765035158240986</v>
      </c>
      <c r="D77" s="163">
        <f ca="1">C77/$C$79</f>
        <v>0.85957783571661428</v>
      </c>
    </row>
    <row r="78" spans="1:23" x14ac:dyDescent="0.35">
      <c r="A78" s="27" t="s">
        <v>180</v>
      </c>
      <c r="B78" s="26">
        <v>5939807</v>
      </c>
      <c r="C78" s="32">
        <f>B78/68335330</f>
        <v>8.6921465075239998E-2</v>
      </c>
      <c r="D78" s="163">
        <f ca="1">C78/$C$79</f>
        <v>9.7663177988424693E-2</v>
      </c>
    </row>
    <row r="79" spans="1:23" x14ac:dyDescent="0.35">
      <c r="A79" s="27"/>
      <c r="B79" s="26"/>
      <c r="C79" s="144">
        <f ca="1">SUM(C75:C79)</f>
        <v>0.89001266255683553</v>
      </c>
      <c r="D79" s="144">
        <f ca="1">C79/$C$79</f>
        <v>1</v>
      </c>
    </row>
  </sheetData>
  <mergeCells count="30">
    <mergeCell ref="K17:R17"/>
    <mergeCell ref="K14:M14"/>
    <mergeCell ref="K15:M15"/>
    <mergeCell ref="K16:M16"/>
    <mergeCell ref="K13:S13"/>
    <mergeCell ref="K18:Q18"/>
    <mergeCell ref="A12:B12"/>
    <mergeCell ref="C11:D11"/>
    <mergeCell ref="A6:B6"/>
    <mergeCell ref="A7:B7"/>
    <mergeCell ref="A8:B8"/>
    <mergeCell ref="A11:B11"/>
    <mergeCell ref="A9:B9"/>
    <mergeCell ref="C9:D9"/>
    <mergeCell ref="A15:H15"/>
    <mergeCell ref="A10:B10"/>
    <mergeCell ref="C10:D10"/>
    <mergeCell ref="C12:D12"/>
    <mergeCell ref="C6:D6"/>
    <mergeCell ref="C7:D7"/>
    <mergeCell ref="C8:D8"/>
    <mergeCell ref="A1:D1"/>
    <mergeCell ref="A2:B2"/>
    <mergeCell ref="A3:B3"/>
    <mergeCell ref="A4:B4"/>
    <mergeCell ref="A5:B5"/>
    <mergeCell ref="C2:D2"/>
    <mergeCell ref="C3:D3"/>
    <mergeCell ref="C4:D4"/>
    <mergeCell ref="C5:D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88"/>
  <sheetViews>
    <sheetView topLeftCell="A47" zoomScale="77" workbookViewId="0">
      <selection activeCell="M12" sqref="M12"/>
    </sheetView>
  </sheetViews>
  <sheetFormatPr defaultRowHeight="14.5" x14ac:dyDescent="0.35"/>
  <cols>
    <col min="1" max="1" width="61.1796875" customWidth="1"/>
    <col min="2" max="2" width="17.1796875" customWidth="1"/>
    <col min="3" max="8" width="17" bestFit="1" customWidth="1"/>
    <col min="9" max="9" width="11" bestFit="1" customWidth="1"/>
    <col min="10" max="10" width="13.08984375" bestFit="1" customWidth="1"/>
    <col min="11" max="11" width="14.1796875" customWidth="1"/>
    <col min="13" max="13" width="33.81640625" customWidth="1"/>
    <col min="16" max="16" width="30.1796875" customWidth="1"/>
    <col min="17" max="17" width="19.453125" customWidth="1"/>
    <col min="18" max="18" width="12.26953125" customWidth="1"/>
    <col min="20" max="20" width="19" customWidth="1"/>
    <col min="21" max="21" width="25.453125" customWidth="1"/>
    <col min="22" max="22" width="25.26953125" customWidth="1"/>
    <col min="23" max="23" width="11.36328125" customWidth="1"/>
  </cols>
  <sheetData>
    <row r="1" spans="1:20" s="21" customFormat="1" ht="18.5" x14ac:dyDescent="0.45">
      <c r="A1" s="193" t="s">
        <v>285</v>
      </c>
    </row>
    <row r="2" spans="1:20" x14ac:dyDescent="0.35">
      <c r="A2" s="146" t="s">
        <v>145</v>
      </c>
      <c r="B2" s="147" t="s">
        <v>282</v>
      </c>
      <c r="C2" s="147" t="s">
        <v>276</v>
      </c>
      <c r="D2" s="147" t="s">
        <v>277</v>
      </c>
      <c r="E2" s="147" t="s">
        <v>278</v>
      </c>
      <c r="F2" s="147" t="s">
        <v>279</v>
      </c>
      <c r="G2" s="147" t="s">
        <v>280</v>
      </c>
      <c r="H2" s="147" t="s">
        <v>281</v>
      </c>
      <c r="I2" s="75"/>
      <c r="K2" s="21"/>
    </row>
    <row r="3" spans="1:20" ht="14.5" customHeight="1" x14ac:dyDescent="0.35">
      <c r="A3" s="77" t="s">
        <v>0</v>
      </c>
      <c r="B3" s="196">
        <v>158447003</v>
      </c>
      <c r="C3" s="197">
        <f>'Bottom-Up Based Sales forecast'!C42</f>
        <v>163250846.3724966</v>
      </c>
      <c r="D3" s="197">
        <f>'Bottom-Up Based Sales forecast'!D42</f>
        <v>168427311.69758919</v>
      </c>
      <c r="E3" s="197">
        <f>'Bottom-Up Based Sales forecast'!E42</f>
        <v>174725358.63050953</v>
      </c>
      <c r="F3" s="197">
        <f>'Bottom-Up Based Sales forecast'!F42</f>
        <v>182292022.9411895</v>
      </c>
      <c r="G3" s="197">
        <f>'Bottom-Up Based Sales forecast'!G42</f>
        <v>191298934.51653782</v>
      </c>
      <c r="H3" s="226">
        <f>'Bottom-Up Based Sales forecast'!H42</f>
        <v>201946413.90685397</v>
      </c>
      <c r="I3" s="72"/>
      <c r="J3" s="75"/>
    </row>
    <row r="4" spans="1:20" ht="14.5" hidden="1" customHeight="1" x14ac:dyDescent="0.35">
      <c r="A4" s="78" t="s">
        <v>1</v>
      </c>
      <c r="B4" s="198">
        <v>-9825692</v>
      </c>
      <c r="C4" s="45"/>
      <c r="D4" s="45"/>
      <c r="E4" s="45"/>
      <c r="F4" s="45"/>
      <c r="G4" s="45"/>
      <c r="H4" s="227"/>
      <c r="I4" s="72"/>
    </row>
    <row r="5" spans="1:20" ht="14.5" hidden="1" customHeight="1" x14ac:dyDescent="0.35">
      <c r="A5" s="78" t="s">
        <v>5</v>
      </c>
      <c r="B5" s="199">
        <v>-12068041</v>
      </c>
      <c r="C5" s="45"/>
      <c r="D5" s="45"/>
      <c r="E5" s="45"/>
      <c r="F5" s="45"/>
      <c r="G5" s="45"/>
      <c r="H5" s="227"/>
      <c r="I5" s="72"/>
    </row>
    <row r="6" spans="1:20" s="21" customFormat="1" ht="14.5" customHeight="1" x14ac:dyDescent="0.35">
      <c r="A6" s="78" t="s">
        <v>163</v>
      </c>
      <c r="B6" s="200">
        <f>SUM(B4:B5)</f>
        <v>-21893733</v>
      </c>
      <c r="C6" s="45">
        <f t="shared" ref="C6:H6" si="0">-C3*$Q$16</f>
        <v>-22806143.238237776</v>
      </c>
      <c r="D6" s="45">
        <f t="shared" si="0"/>
        <v>-23529295.444153208</v>
      </c>
      <c r="E6" s="45">
        <f t="shared" si="0"/>
        <v>-24409132.60068218</v>
      </c>
      <c r="F6" s="45">
        <f t="shared" si="0"/>
        <v>-25466195.60488417</v>
      </c>
      <c r="G6" s="45">
        <f t="shared" si="0"/>
        <v>-26724461.151960332</v>
      </c>
      <c r="H6" s="227">
        <f t="shared" si="0"/>
        <v>-28211914.022787496</v>
      </c>
      <c r="I6" s="72"/>
      <c r="O6"/>
      <c r="P6"/>
      <c r="Q6"/>
      <c r="R6"/>
      <c r="S6"/>
    </row>
    <row r="7" spans="1:20" ht="14.5" customHeight="1" thickBot="1" x14ac:dyDescent="0.4">
      <c r="A7" s="80" t="s">
        <v>146</v>
      </c>
      <c r="B7" s="201">
        <f>B3+B4+B5</f>
        <v>136553270</v>
      </c>
      <c r="C7" s="197">
        <f t="shared" ref="C7:H7" si="1">SUM(C3:C6)</f>
        <v>140444703.13425884</v>
      </c>
      <c r="D7" s="197">
        <f t="shared" si="1"/>
        <v>144898016.25343597</v>
      </c>
      <c r="E7" s="197">
        <f t="shared" si="1"/>
        <v>150316226.02982736</v>
      </c>
      <c r="F7" s="197">
        <f t="shared" si="1"/>
        <v>156825827.33630532</v>
      </c>
      <c r="G7" s="197">
        <f t="shared" si="1"/>
        <v>164574473.36457747</v>
      </c>
      <c r="H7" s="228">
        <f t="shared" si="1"/>
        <v>173734499.88406646</v>
      </c>
      <c r="I7" s="72"/>
    </row>
    <row r="8" spans="1:20" ht="14.5" hidden="1" customHeight="1" x14ac:dyDescent="0.35">
      <c r="A8" s="78" t="s">
        <v>2</v>
      </c>
      <c r="B8" s="199">
        <v>-8517867</v>
      </c>
      <c r="C8" s="45"/>
      <c r="D8" s="45"/>
      <c r="E8" s="45"/>
      <c r="F8" s="45"/>
      <c r="G8" s="45"/>
      <c r="H8" s="227"/>
      <c r="I8" s="72"/>
    </row>
    <row r="9" spans="1:20" ht="14.5" hidden="1" customHeight="1" x14ac:dyDescent="0.35">
      <c r="A9" s="78" t="s">
        <v>3</v>
      </c>
      <c r="B9" s="198">
        <v>-6942686</v>
      </c>
      <c r="C9" s="45"/>
      <c r="D9" s="45"/>
      <c r="E9" s="45"/>
      <c r="F9" s="45"/>
      <c r="G9" s="45"/>
      <c r="H9" s="227"/>
      <c r="I9" s="72"/>
    </row>
    <row r="10" spans="1:20" ht="14.5" hidden="1" customHeight="1" x14ac:dyDescent="0.35">
      <c r="A10" s="78" t="s">
        <v>4</v>
      </c>
      <c r="B10" s="199">
        <v>-16247666</v>
      </c>
      <c r="C10" s="45"/>
      <c r="D10" s="45"/>
      <c r="E10" s="45"/>
      <c r="F10" s="45"/>
      <c r="G10" s="45"/>
      <c r="H10" s="227"/>
      <c r="I10" s="72"/>
    </row>
    <row r="11" spans="1:20" s="21" customFormat="1" ht="21.65" customHeight="1" thickBot="1" x14ac:dyDescent="0.55000000000000004">
      <c r="A11" s="78" t="s">
        <v>198</v>
      </c>
      <c r="B11" s="200">
        <v>-31708219</v>
      </c>
      <c r="C11" s="45">
        <f t="shared" ref="C11:H11" si="2">-C3*$Q$20</f>
        <v>-32291017.412479829</v>
      </c>
      <c r="D11" s="45">
        <f t="shared" si="2"/>
        <v>-33314922.25378314</v>
      </c>
      <c r="E11" s="45">
        <f t="shared" si="2"/>
        <v>-34560675.937114783</v>
      </c>
      <c r="F11" s="45">
        <f t="shared" si="2"/>
        <v>-36057362.137767285</v>
      </c>
      <c r="G11" s="45">
        <f t="shared" si="2"/>
        <v>-37838929.247371182</v>
      </c>
      <c r="H11" s="227">
        <f t="shared" si="2"/>
        <v>-39945000.670775719</v>
      </c>
      <c r="I11" s="72"/>
      <c r="J11" s="3"/>
      <c r="O11" s="388" t="s">
        <v>318</v>
      </c>
      <c r="P11" s="389"/>
      <c r="Q11" s="389"/>
      <c r="R11" s="390"/>
      <c r="S11"/>
    </row>
    <row r="12" spans="1:20" s="21" customFormat="1" ht="14.5" customHeight="1" x14ac:dyDescent="0.35">
      <c r="A12" s="78" t="s">
        <v>203</v>
      </c>
      <c r="B12" s="199">
        <v>-14497727</v>
      </c>
      <c r="C12" s="197">
        <f>-$Q$17*(C44+B44)/2</f>
        <v>-29479846.981754895</v>
      </c>
      <c r="D12" s="197">
        <f>-$Q$17*(D44+C44)/2</f>
        <v>-32701364.131088611</v>
      </c>
      <c r="E12" s="197">
        <f>-$Q$17*(E44+D45)/2</f>
        <v>-37571727.27560591</v>
      </c>
      <c r="F12" s="197">
        <f>-$Q$17*(F44+E45)/2</f>
        <v>-41797945.947927579</v>
      </c>
      <c r="G12" s="197">
        <f>-$Q$17*(G44+F45)/2</f>
        <v>-46457933.044099383</v>
      </c>
      <c r="H12" s="228">
        <f>-$Q$17*(H44+G45)/2</f>
        <v>-51594172.056320973</v>
      </c>
      <c r="I12" s="72"/>
      <c r="J12" s="3"/>
      <c r="K12" s="3"/>
      <c r="O12" s="364" t="s">
        <v>148</v>
      </c>
      <c r="P12" s="365"/>
      <c r="Q12" s="391" t="s">
        <v>274</v>
      </c>
      <c r="R12" s="392"/>
      <c r="S12"/>
      <c r="T12" s="33"/>
    </row>
    <row r="13" spans="1:20" ht="14.5" customHeight="1" x14ac:dyDescent="0.35">
      <c r="A13" s="78" t="s">
        <v>202</v>
      </c>
      <c r="B13" s="200">
        <f>-34551840+14497727</f>
        <v>-20054113</v>
      </c>
      <c r="C13" s="45">
        <f t="shared" ref="C13:H13" si="3">B13</f>
        <v>-20054113</v>
      </c>
      <c r="D13" s="45">
        <f t="shared" si="3"/>
        <v>-20054113</v>
      </c>
      <c r="E13" s="45">
        <f t="shared" si="3"/>
        <v>-20054113</v>
      </c>
      <c r="F13" s="45">
        <f t="shared" si="3"/>
        <v>-20054113</v>
      </c>
      <c r="G13" s="45">
        <f t="shared" si="3"/>
        <v>-20054113</v>
      </c>
      <c r="H13" s="227">
        <f t="shared" si="3"/>
        <v>-20054113</v>
      </c>
      <c r="I13" s="72"/>
      <c r="J13" s="3"/>
      <c r="O13" s="362" t="s">
        <v>149</v>
      </c>
      <c r="P13" s="363"/>
      <c r="Q13" s="368">
        <v>5.2900000000000003E-2</v>
      </c>
      <c r="R13" s="369"/>
      <c r="T13" s="144"/>
    </row>
    <row r="14" spans="1:20" s="21" customFormat="1" ht="14.5" customHeight="1" x14ac:dyDescent="0.35">
      <c r="A14" s="78" t="s">
        <v>6</v>
      </c>
      <c r="B14" s="202">
        <f>-11164000</f>
        <v>-11164000</v>
      </c>
      <c r="C14" s="202">
        <f t="shared" ref="C14:H14" si="4">-11164000</f>
        <v>-11164000</v>
      </c>
      <c r="D14" s="202">
        <f t="shared" si="4"/>
        <v>-11164000</v>
      </c>
      <c r="E14" s="202">
        <f t="shared" si="4"/>
        <v>-11164000</v>
      </c>
      <c r="F14" s="202">
        <f t="shared" si="4"/>
        <v>-11164000</v>
      </c>
      <c r="G14" s="202">
        <f t="shared" si="4"/>
        <v>-11164000</v>
      </c>
      <c r="H14" s="229">
        <f t="shared" si="4"/>
        <v>-11164000</v>
      </c>
      <c r="I14" s="72"/>
      <c r="O14" s="362" t="s">
        <v>150</v>
      </c>
      <c r="P14" s="363"/>
      <c r="Q14" s="368">
        <v>0.55879999999999996</v>
      </c>
      <c r="R14" s="369"/>
      <c r="T14" s="144"/>
    </row>
    <row r="15" spans="1:20" s="21" customFormat="1" ht="14.5" customHeight="1" x14ac:dyDescent="0.35">
      <c r="A15" s="78" t="s">
        <v>207</v>
      </c>
      <c r="B15" s="200">
        <f>SUM(B11:B14)</f>
        <v>-77424059</v>
      </c>
      <c r="C15" s="200">
        <f t="shared" ref="C15:H15" si="5">SUM(C11:C14)</f>
        <v>-92988977.394234717</v>
      </c>
      <c r="D15" s="200">
        <f>SUM(D11:D14)</f>
        <v>-97234399.384871751</v>
      </c>
      <c r="E15" s="200">
        <f t="shared" si="5"/>
        <v>-103350516.21272069</v>
      </c>
      <c r="F15" s="200">
        <f t="shared" si="5"/>
        <v>-109073421.08569486</v>
      </c>
      <c r="G15" s="200">
        <f t="shared" si="5"/>
        <v>-115514975.29147056</v>
      </c>
      <c r="H15" s="230">
        <f t="shared" si="5"/>
        <v>-122757285.72709669</v>
      </c>
      <c r="I15" s="72"/>
      <c r="O15" s="364" t="s">
        <v>177</v>
      </c>
      <c r="P15" s="365"/>
      <c r="Q15" s="368">
        <v>0.42259999999999998</v>
      </c>
      <c r="R15" s="369"/>
      <c r="T15" s="144"/>
    </row>
    <row r="16" spans="1:20" ht="16" customHeight="1" x14ac:dyDescent="0.35">
      <c r="A16" s="80" t="s">
        <v>147</v>
      </c>
      <c r="B16" s="203">
        <f>B7+B15</f>
        <v>59129211</v>
      </c>
      <c r="C16" s="203">
        <f t="shared" ref="C16:H16" si="6">C7+C15</f>
        <v>47455725.74002412</v>
      </c>
      <c r="D16" s="203">
        <f t="shared" si="6"/>
        <v>47663616.868564218</v>
      </c>
      <c r="E16" s="203">
        <f t="shared" si="6"/>
        <v>46965709.817106664</v>
      </c>
      <c r="F16" s="203">
        <f t="shared" si="6"/>
        <v>47752406.250610456</v>
      </c>
      <c r="G16" s="203">
        <f t="shared" si="6"/>
        <v>49059498.073106915</v>
      </c>
      <c r="H16" s="231">
        <f t="shared" si="6"/>
        <v>50977214.156969771</v>
      </c>
      <c r="I16" s="72"/>
      <c r="O16" s="362" t="s">
        <v>151</v>
      </c>
      <c r="P16" s="363"/>
      <c r="Q16" s="368">
        <v>0.13969999999999999</v>
      </c>
      <c r="R16" s="369"/>
      <c r="T16" s="144"/>
    </row>
    <row r="17" spans="1:22" ht="15" customHeight="1" x14ac:dyDescent="0.35">
      <c r="A17" s="78" t="s">
        <v>200</v>
      </c>
      <c r="B17" s="200">
        <v>451408</v>
      </c>
      <c r="C17" s="45">
        <f t="shared" ref="C17:H17" si="7">$Q$18*(B86+C86)/2</f>
        <v>494500</v>
      </c>
      <c r="D17" s="45">
        <f t="shared" si="7"/>
        <v>494500</v>
      </c>
      <c r="E17" s="45">
        <f t="shared" si="7"/>
        <v>494500</v>
      </c>
      <c r="F17" s="45">
        <f t="shared" si="7"/>
        <v>494500</v>
      </c>
      <c r="G17" s="45">
        <f t="shared" si="7"/>
        <v>494500</v>
      </c>
      <c r="H17" s="227">
        <f t="shared" si="7"/>
        <v>494500</v>
      </c>
      <c r="I17" s="72"/>
      <c r="O17" s="364" t="s">
        <v>152</v>
      </c>
      <c r="P17" s="365"/>
      <c r="Q17" s="368">
        <v>0.13980000000000001</v>
      </c>
      <c r="R17" s="369"/>
      <c r="T17" s="144"/>
    </row>
    <row r="18" spans="1:22" s="21" customFormat="1" ht="15" customHeight="1" thickBot="1" x14ac:dyDescent="0.4">
      <c r="A18" s="78" t="s">
        <v>178</v>
      </c>
      <c r="B18" s="199">
        <v>715732</v>
      </c>
      <c r="C18" s="199">
        <v>715732</v>
      </c>
      <c r="D18" s="199">
        <v>715732</v>
      </c>
      <c r="E18" s="199">
        <v>715732</v>
      </c>
      <c r="F18" s="199">
        <v>715732</v>
      </c>
      <c r="G18" s="199">
        <v>715732</v>
      </c>
      <c r="H18" s="232">
        <v>715732</v>
      </c>
      <c r="I18" s="72"/>
      <c r="O18" s="364" t="s">
        <v>153</v>
      </c>
      <c r="P18" s="365"/>
      <c r="Q18" s="368">
        <v>9.8900000000000002E-2</v>
      </c>
      <c r="R18" s="369"/>
      <c r="T18" s="144"/>
    </row>
    <row r="19" spans="1:22" ht="15" customHeight="1" thickBot="1" x14ac:dyDescent="0.4">
      <c r="A19" s="78" t="s">
        <v>204</v>
      </c>
      <c r="B19" s="200">
        <v>4949247</v>
      </c>
      <c r="C19" s="45">
        <f t="shared" ref="C19:H21" si="8">B19</f>
        <v>4949247</v>
      </c>
      <c r="D19" s="45">
        <f t="shared" si="8"/>
        <v>4949247</v>
      </c>
      <c r="E19" s="45">
        <f t="shared" si="8"/>
        <v>4949247</v>
      </c>
      <c r="F19" s="45">
        <f t="shared" si="8"/>
        <v>4949247</v>
      </c>
      <c r="G19" s="45">
        <f t="shared" si="8"/>
        <v>4949247</v>
      </c>
      <c r="H19" s="227">
        <f t="shared" si="8"/>
        <v>4949247</v>
      </c>
      <c r="I19" s="72"/>
      <c r="O19" s="364" t="s">
        <v>290</v>
      </c>
      <c r="P19" s="365"/>
      <c r="Q19" s="368" t="s">
        <v>291</v>
      </c>
      <c r="R19" s="369"/>
      <c r="T19" s="144"/>
      <c r="U19" s="191" t="s">
        <v>316</v>
      </c>
      <c r="V19" s="190" t="s">
        <v>314</v>
      </c>
    </row>
    <row r="20" spans="1:22" s="21" customFormat="1" ht="15" customHeight="1" x14ac:dyDescent="0.35">
      <c r="A20" s="78" t="s">
        <v>205</v>
      </c>
      <c r="B20" s="199">
        <v>101305</v>
      </c>
      <c r="C20" s="197">
        <f t="shared" si="8"/>
        <v>101305</v>
      </c>
      <c r="D20" s="197">
        <f t="shared" si="8"/>
        <v>101305</v>
      </c>
      <c r="E20" s="197">
        <f t="shared" si="8"/>
        <v>101305</v>
      </c>
      <c r="F20" s="197">
        <f t="shared" si="8"/>
        <v>101305</v>
      </c>
      <c r="G20" s="197">
        <f t="shared" si="8"/>
        <v>101305</v>
      </c>
      <c r="H20" s="228">
        <f t="shared" si="8"/>
        <v>101305</v>
      </c>
      <c r="I20" s="72"/>
      <c r="O20" s="364" t="s">
        <v>197</v>
      </c>
      <c r="P20" s="365"/>
      <c r="Q20" s="368">
        <v>0.1978</v>
      </c>
      <c r="R20" s="369"/>
      <c r="U20" s="183" t="s">
        <v>195</v>
      </c>
      <c r="V20" s="130">
        <v>2.037149090266711E-2</v>
      </c>
    </row>
    <row r="21" spans="1:22" s="21" customFormat="1" ht="14.5" customHeight="1" x14ac:dyDescent="0.35">
      <c r="A21" s="78" t="s">
        <v>201</v>
      </c>
      <c r="B21" s="200">
        <v>200405</v>
      </c>
      <c r="C21" s="45">
        <f t="shared" si="8"/>
        <v>200405</v>
      </c>
      <c r="D21" s="45">
        <f t="shared" si="8"/>
        <v>200405</v>
      </c>
      <c r="E21" s="45">
        <f t="shared" si="8"/>
        <v>200405</v>
      </c>
      <c r="F21" s="45">
        <f t="shared" si="8"/>
        <v>200405</v>
      </c>
      <c r="G21" s="45">
        <f t="shared" si="8"/>
        <v>200405</v>
      </c>
      <c r="H21" s="227">
        <f t="shared" si="8"/>
        <v>200405</v>
      </c>
      <c r="I21" s="72"/>
      <c r="O21" s="362" t="s">
        <v>154</v>
      </c>
      <c r="P21" s="363"/>
      <c r="Q21" s="374">
        <v>0.41</v>
      </c>
      <c r="R21" s="375"/>
      <c r="U21" s="181" t="s">
        <v>176</v>
      </c>
      <c r="V21" s="130">
        <v>2.2387495392293916E-2</v>
      </c>
    </row>
    <row r="22" spans="1:22" s="21" customFormat="1" ht="14.5" customHeight="1" thickBot="1" x14ac:dyDescent="0.4">
      <c r="A22" s="78" t="s">
        <v>206</v>
      </c>
      <c r="B22" s="199">
        <f>B19+(B20+B21+B17-B18)</f>
        <v>4986633</v>
      </c>
      <c r="C22" s="199">
        <f t="shared" ref="C22:H22" si="9">C19+(C20+C21+C17-C18)</f>
        <v>5029725</v>
      </c>
      <c r="D22" s="199">
        <f t="shared" si="9"/>
        <v>5029725</v>
      </c>
      <c r="E22" s="199">
        <f t="shared" si="9"/>
        <v>5029725</v>
      </c>
      <c r="F22" s="199">
        <f t="shared" si="9"/>
        <v>5029725</v>
      </c>
      <c r="G22" s="199">
        <f t="shared" si="9"/>
        <v>5029725</v>
      </c>
      <c r="H22" s="232">
        <f t="shared" si="9"/>
        <v>5029725</v>
      </c>
      <c r="I22" s="72"/>
      <c r="O22" s="372" t="s">
        <v>155</v>
      </c>
      <c r="P22" s="373"/>
      <c r="Q22" s="377">
        <v>0.75900000000000001</v>
      </c>
      <c r="R22" s="378"/>
      <c r="U22" s="181" t="s">
        <v>179</v>
      </c>
      <c r="V22" s="130">
        <v>0.85957783571661428</v>
      </c>
    </row>
    <row r="23" spans="1:22" s="21" customFormat="1" ht="14.5" customHeight="1" x14ac:dyDescent="0.35">
      <c r="A23" s="78" t="s">
        <v>9</v>
      </c>
      <c r="B23" s="198">
        <v>-599394</v>
      </c>
      <c r="C23" s="198">
        <v>-599394</v>
      </c>
      <c r="D23" s="198">
        <v>-599394</v>
      </c>
      <c r="E23" s="198">
        <v>-599394</v>
      </c>
      <c r="F23" s="198">
        <v>-599394</v>
      </c>
      <c r="G23" s="198">
        <v>-599394</v>
      </c>
      <c r="H23" s="233">
        <v>-599394</v>
      </c>
      <c r="I23" s="72"/>
      <c r="O23"/>
      <c r="P23"/>
      <c r="Q23"/>
      <c r="R23"/>
      <c r="U23" s="181" t="s">
        <v>180</v>
      </c>
      <c r="V23" s="130">
        <v>9.7663177988424693E-2</v>
      </c>
    </row>
    <row r="24" spans="1:22" s="21" customFormat="1" ht="14.5" customHeight="1" x14ac:dyDescent="0.35">
      <c r="A24" s="77" t="s">
        <v>10</v>
      </c>
      <c r="B24" s="204">
        <f>B16-B22+B23</f>
        <v>53543184</v>
      </c>
      <c r="C24" s="204">
        <f t="shared" ref="C24:H24" si="10">C16-C22+C23</f>
        <v>41826606.74002412</v>
      </c>
      <c r="D24" s="204">
        <f t="shared" si="10"/>
        <v>42034497.868564218</v>
      </c>
      <c r="E24" s="204">
        <f t="shared" si="10"/>
        <v>41336590.817106664</v>
      </c>
      <c r="F24" s="204">
        <f t="shared" si="10"/>
        <v>42123287.250610456</v>
      </c>
      <c r="G24" s="204">
        <f t="shared" si="10"/>
        <v>43430379.073106915</v>
      </c>
      <c r="H24" s="234">
        <f t="shared" si="10"/>
        <v>45348095.156969771</v>
      </c>
      <c r="I24" s="72"/>
      <c r="O24"/>
      <c r="P24"/>
      <c r="Q24"/>
      <c r="R24"/>
      <c r="U24" s="181" t="s">
        <v>315</v>
      </c>
      <c r="V24" s="130">
        <f>SUM(V20:V23)</f>
        <v>1</v>
      </c>
    </row>
    <row r="25" spans="1:22" ht="14.5" customHeight="1" x14ac:dyDescent="0.35">
      <c r="A25" s="78" t="s">
        <v>11</v>
      </c>
      <c r="B25" s="198">
        <v>-17234497</v>
      </c>
      <c r="C25" s="45">
        <f t="shared" ref="C25:H25" si="11">-C24*$Q$21</f>
        <v>-17148908.763409887</v>
      </c>
      <c r="D25" s="45">
        <f t="shared" si="11"/>
        <v>-17234144.126111329</v>
      </c>
      <c r="E25" s="45">
        <f t="shared" si="11"/>
        <v>-16948002.235013731</v>
      </c>
      <c r="F25" s="45">
        <f t="shared" si="11"/>
        <v>-17270547.772750285</v>
      </c>
      <c r="G25" s="45">
        <f t="shared" si="11"/>
        <v>-17806455.419973835</v>
      </c>
      <c r="H25" s="227">
        <f t="shared" si="11"/>
        <v>-18592719.014357604</v>
      </c>
      <c r="I25" s="72"/>
      <c r="U25" s="182"/>
      <c r="V25" s="135"/>
    </row>
    <row r="26" spans="1:22" x14ac:dyDescent="0.35">
      <c r="A26" s="77" t="s">
        <v>12</v>
      </c>
      <c r="B26" s="204">
        <f>B24+B25</f>
        <v>36308687</v>
      </c>
      <c r="C26" s="205">
        <f>C24+C25</f>
        <v>24677697.976614233</v>
      </c>
      <c r="D26" s="205">
        <f t="shared" ref="D26:H26" si="12">D24+D25</f>
        <v>24800353.74245289</v>
      </c>
      <c r="E26" s="205">
        <f t="shared" si="12"/>
        <v>24388588.582092933</v>
      </c>
      <c r="F26" s="205">
        <f t="shared" si="12"/>
        <v>24852739.477860171</v>
      </c>
      <c r="G26" s="205">
        <f t="shared" si="12"/>
        <v>25623923.653133079</v>
      </c>
      <c r="H26" s="235">
        <f t="shared" si="12"/>
        <v>26755376.142612167</v>
      </c>
      <c r="I26" s="72"/>
    </row>
    <row r="27" spans="1:22" ht="15" customHeight="1" x14ac:dyDescent="0.35">
      <c r="A27" s="77" t="s">
        <v>13</v>
      </c>
      <c r="B27" s="198"/>
      <c r="C27" s="45"/>
      <c r="D27" s="45"/>
      <c r="E27" s="45"/>
      <c r="F27" s="45"/>
      <c r="G27" s="45"/>
      <c r="H27" s="227"/>
      <c r="I27" s="72"/>
    </row>
    <row r="28" spans="1:22" x14ac:dyDescent="0.35">
      <c r="A28" s="77" t="s">
        <v>14</v>
      </c>
      <c r="B28" s="199"/>
      <c r="C28" s="197"/>
      <c r="D28" s="197"/>
      <c r="E28" s="197"/>
      <c r="F28" s="197"/>
      <c r="G28" s="197"/>
      <c r="H28" s="228"/>
      <c r="I28" s="72"/>
    </row>
    <row r="29" spans="1:22" x14ac:dyDescent="0.35">
      <c r="A29" s="78" t="s">
        <v>15</v>
      </c>
      <c r="B29" s="198">
        <v>379566</v>
      </c>
      <c r="C29" s="45">
        <f t="shared" ref="C29:H30" si="13">B29</f>
        <v>379566</v>
      </c>
      <c r="D29" s="45">
        <f t="shared" si="13"/>
        <v>379566</v>
      </c>
      <c r="E29" s="45">
        <f t="shared" si="13"/>
        <v>379566</v>
      </c>
      <c r="F29" s="45">
        <f t="shared" si="13"/>
        <v>379566</v>
      </c>
      <c r="G29" s="45">
        <f t="shared" si="13"/>
        <v>379566</v>
      </c>
      <c r="H29" s="227">
        <f t="shared" si="13"/>
        <v>379566</v>
      </c>
      <c r="I29" s="72"/>
    </row>
    <row r="30" spans="1:22" x14ac:dyDescent="0.35">
      <c r="A30" s="78" t="s">
        <v>16</v>
      </c>
      <c r="B30" s="199">
        <v>-151826</v>
      </c>
      <c r="C30" s="197">
        <f t="shared" si="13"/>
        <v>-151826</v>
      </c>
      <c r="D30" s="197">
        <f t="shared" si="13"/>
        <v>-151826</v>
      </c>
      <c r="E30" s="197">
        <f t="shared" si="13"/>
        <v>-151826</v>
      </c>
      <c r="F30" s="197">
        <f t="shared" si="13"/>
        <v>-151826</v>
      </c>
      <c r="G30" s="197">
        <f t="shared" si="13"/>
        <v>-151826</v>
      </c>
      <c r="H30" s="228">
        <f t="shared" si="13"/>
        <v>-151826</v>
      </c>
      <c r="I30" s="72"/>
    </row>
    <row r="31" spans="1:22" x14ac:dyDescent="0.35">
      <c r="A31" s="77" t="s">
        <v>17</v>
      </c>
      <c r="B31" s="206">
        <f t="shared" ref="B31:H31" si="14">B26-B29+B30</f>
        <v>35777295</v>
      </c>
      <c r="C31" s="206">
        <f t="shared" si="14"/>
        <v>24146305.976614233</v>
      </c>
      <c r="D31" s="206">
        <f t="shared" si="14"/>
        <v>24268961.74245289</v>
      </c>
      <c r="E31" s="206">
        <f t="shared" si="14"/>
        <v>23857196.582092933</v>
      </c>
      <c r="F31" s="206">
        <f t="shared" si="14"/>
        <v>24321347.477860171</v>
      </c>
      <c r="G31" s="206">
        <f t="shared" si="14"/>
        <v>25092531.653133079</v>
      </c>
      <c r="H31" s="236">
        <f t="shared" si="14"/>
        <v>26223984.142612167</v>
      </c>
      <c r="I31" s="72"/>
    </row>
    <row r="32" spans="1:22" x14ac:dyDescent="0.35">
      <c r="A32" s="77" t="s">
        <v>18</v>
      </c>
      <c r="B32" s="199"/>
      <c r="C32" s="207"/>
      <c r="D32" s="207"/>
      <c r="E32" s="207"/>
      <c r="F32" s="207"/>
      <c r="G32" s="207"/>
      <c r="H32" s="237"/>
      <c r="I32" s="72"/>
    </row>
    <row r="33" spans="1:18" x14ac:dyDescent="0.35">
      <c r="A33" s="78" t="s">
        <v>19</v>
      </c>
      <c r="B33" s="198"/>
      <c r="C33" s="208"/>
      <c r="D33" s="208"/>
      <c r="E33" s="208"/>
      <c r="F33" s="208"/>
      <c r="G33" s="208"/>
      <c r="H33" s="238"/>
      <c r="I33" s="72"/>
    </row>
    <row r="34" spans="1:18" x14ac:dyDescent="0.35">
      <c r="A34" s="78" t="s">
        <v>20</v>
      </c>
      <c r="B34" s="209">
        <f t="shared" ref="B34:H34" si="15">B26/1350300</f>
        <v>26.889348292971931</v>
      </c>
      <c r="C34" s="209">
        <f t="shared" si="15"/>
        <v>18.275715008971513</v>
      </c>
      <c r="D34" s="209">
        <f t="shared" si="15"/>
        <v>18.366550946051166</v>
      </c>
      <c r="E34" s="209">
        <f t="shared" si="15"/>
        <v>18.061607481369276</v>
      </c>
      <c r="F34" s="209">
        <f t="shared" si="15"/>
        <v>18.405346573250515</v>
      </c>
      <c r="G34" s="209">
        <f t="shared" si="15"/>
        <v>18.97646719479603</v>
      </c>
      <c r="H34" s="239">
        <f t="shared" si="15"/>
        <v>19.814393944021454</v>
      </c>
      <c r="I34" s="72"/>
    </row>
    <row r="35" spans="1:18" x14ac:dyDescent="0.35">
      <c r="A35" s="78" t="s">
        <v>211</v>
      </c>
      <c r="B35" s="210">
        <f>B26*122.73%</f>
        <v>44561651.555100001</v>
      </c>
      <c r="C35" s="211">
        <f>C26*$Q$22</f>
        <v>18730372.764250204</v>
      </c>
      <c r="D35" s="211">
        <f t="shared" ref="C35:H35" si="16">D26*$Q$22</f>
        <v>18823468.490521744</v>
      </c>
      <c r="E35" s="211">
        <f t="shared" si="16"/>
        <v>18510938.733808536</v>
      </c>
      <c r="F35" s="211">
        <f t="shared" si="16"/>
        <v>18863229.26369587</v>
      </c>
      <c r="G35" s="211">
        <f t="shared" si="16"/>
        <v>19448558.052728008</v>
      </c>
      <c r="H35" s="240">
        <f t="shared" si="16"/>
        <v>20307330.492242634</v>
      </c>
      <c r="I35" s="72"/>
      <c r="O35" s="21"/>
      <c r="P35" s="21"/>
      <c r="Q35" s="21"/>
      <c r="R35" s="21"/>
    </row>
    <row r="36" spans="1:18" x14ac:dyDescent="0.35">
      <c r="A36" s="78" t="s">
        <v>212</v>
      </c>
      <c r="B36" s="241">
        <f>B26-B35</f>
        <v>-8252964.5551000014</v>
      </c>
      <c r="C36" s="242">
        <f>C26-C35</f>
        <v>5947325.2123640291</v>
      </c>
      <c r="D36" s="242">
        <f t="shared" ref="D36:H36" si="17">D26-D35</f>
        <v>5976885.2519311458</v>
      </c>
      <c r="E36" s="242">
        <f t="shared" si="17"/>
        <v>5877649.8482843973</v>
      </c>
      <c r="F36" s="242">
        <f t="shared" si="17"/>
        <v>5989510.2141643018</v>
      </c>
      <c r="G36" s="242">
        <f t="shared" si="17"/>
        <v>6175365.6004050709</v>
      </c>
      <c r="H36" s="243">
        <f t="shared" si="17"/>
        <v>6448045.6503695324</v>
      </c>
      <c r="I36" s="72"/>
      <c r="O36" s="21"/>
      <c r="P36" s="21"/>
      <c r="Q36" s="21"/>
      <c r="R36" s="21"/>
    </row>
    <row r="37" spans="1:18" s="21" customFormat="1" hidden="1" x14ac:dyDescent="0.35">
      <c r="A37" s="184" t="s">
        <v>317</v>
      </c>
      <c r="B37" s="3"/>
      <c r="C37">
        <v>5947325.2123640291</v>
      </c>
      <c r="D37">
        <v>5976885.2519311458</v>
      </c>
      <c r="E37">
        <v>5877649.8482843973</v>
      </c>
      <c r="F37">
        <v>5989510.2141643018</v>
      </c>
      <c r="G37">
        <v>6175365.6004050709</v>
      </c>
      <c r="H37">
        <v>6448045.6503695324</v>
      </c>
      <c r="I37" s="72"/>
      <c r="O37"/>
      <c r="P37"/>
      <c r="Q37"/>
      <c r="R37"/>
    </row>
    <row r="38" spans="1:18" s="21" customFormat="1" x14ac:dyDescent="0.35">
      <c r="I38" s="72"/>
      <c r="O38"/>
      <c r="P38"/>
      <c r="Q38"/>
      <c r="R38"/>
    </row>
    <row r="39" spans="1:18" x14ac:dyDescent="0.35">
      <c r="O39" s="21"/>
      <c r="P39" s="21"/>
      <c r="Q39" s="21"/>
      <c r="R39" s="21"/>
    </row>
    <row r="40" spans="1:18" ht="18.5" x14ac:dyDescent="0.45">
      <c r="A40" s="193" t="s">
        <v>284</v>
      </c>
      <c r="B40" s="21"/>
      <c r="C40" s="21"/>
      <c r="D40" s="21"/>
      <c r="E40" s="21"/>
      <c r="F40" s="21"/>
      <c r="G40" s="21"/>
      <c r="H40" s="21"/>
    </row>
    <row r="41" spans="1:18" s="21" customFormat="1" x14ac:dyDescent="0.35">
      <c r="A41" s="146" t="s">
        <v>145</v>
      </c>
      <c r="B41" s="224">
        <v>2024</v>
      </c>
      <c r="C41" s="147">
        <v>2025</v>
      </c>
      <c r="D41" s="147">
        <v>2026</v>
      </c>
      <c r="E41" s="147">
        <v>2027</v>
      </c>
      <c r="F41" s="147">
        <v>2028</v>
      </c>
      <c r="G41" s="147">
        <v>2029</v>
      </c>
      <c r="H41" s="147">
        <v>2030</v>
      </c>
      <c r="O41"/>
      <c r="P41"/>
      <c r="Q41"/>
      <c r="R41"/>
    </row>
    <row r="42" spans="1:18" x14ac:dyDescent="0.35">
      <c r="A42" s="77" t="s">
        <v>21</v>
      </c>
      <c r="B42" s="159"/>
      <c r="C42" s="159"/>
      <c r="D42" s="159"/>
      <c r="E42" s="159"/>
      <c r="F42" s="159"/>
      <c r="G42" s="159"/>
      <c r="H42" s="93"/>
    </row>
    <row r="43" spans="1:18" x14ac:dyDescent="0.35">
      <c r="A43" s="77" t="s">
        <v>22</v>
      </c>
      <c r="B43" s="212"/>
      <c r="C43" s="212"/>
      <c r="D43" s="212"/>
      <c r="E43" s="212"/>
      <c r="F43" s="212"/>
      <c r="G43" s="212"/>
      <c r="H43" s="246"/>
      <c r="O43" s="21"/>
      <c r="P43" s="21"/>
      <c r="Q43" s="21"/>
      <c r="R43" s="21"/>
    </row>
    <row r="44" spans="1:18" x14ac:dyDescent="0.35">
      <c r="A44" s="78" t="s">
        <v>208</v>
      </c>
      <c r="B44" s="45">
        <v>203758397</v>
      </c>
      <c r="C44" s="45">
        <v>217984764.39849633</v>
      </c>
      <c r="D44" s="45">
        <v>249845909.86600453</v>
      </c>
      <c r="E44" s="45">
        <v>268725167.94094998</v>
      </c>
      <c r="F44" s="45">
        <v>288952811.24353296</v>
      </c>
      <c r="G44" s="45">
        <v>310623675.02045572</v>
      </c>
      <c r="H44" s="227">
        <v>333839235.33948666</v>
      </c>
      <c r="O44" s="21"/>
      <c r="P44" s="21"/>
      <c r="Q44" s="21"/>
      <c r="R44" s="21"/>
    </row>
    <row r="45" spans="1:18" s="21" customFormat="1" hidden="1" x14ac:dyDescent="0.35">
      <c r="A45" s="78"/>
      <c r="B45" s="45"/>
      <c r="C45" s="45">
        <f>C47+C46</f>
        <v>233892721.65877196</v>
      </c>
      <c r="D45" s="45">
        <f>SUM(D46:D47)</f>
        <v>268781660.03624469</v>
      </c>
      <c r="E45" s="45">
        <f>SUM(E46:E47)</f>
        <v>309014941.94570273</v>
      </c>
      <c r="F45" s="45">
        <f>SUM(F46:F47)</f>
        <v>354010560.23132372</v>
      </c>
      <c r="G45" s="45">
        <f>SUM(G46:G47)</f>
        <v>404274814.10716528</v>
      </c>
      <c r="H45" s="227">
        <f>SUM(H46:H47)</f>
        <v>460368610.95383388</v>
      </c>
    </row>
    <row r="46" spans="1:18" s="21" customFormat="1" x14ac:dyDescent="0.35">
      <c r="A46" s="78" t="s">
        <v>209</v>
      </c>
      <c r="B46" s="197">
        <v>135423067</v>
      </c>
      <c r="C46" s="197">
        <f t="shared" ref="C46:H46" si="18">B46-C12</f>
        <v>164902913.9817549</v>
      </c>
      <c r="D46" s="197">
        <f t="shared" si="18"/>
        <v>197604278.11284351</v>
      </c>
      <c r="E46" s="197">
        <f t="shared" si="18"/>
        <v>235176005.38844943</v>
      </c>
      <c r="F46" s="197">
        <f t="shared" si="18"/>
        <v>276973951.33637702</v>
      </c>
      <c r="G46" s="197">
        <f t="shared" si="18"/>
        <v>323431884.38047642</v>
      </c>
      <c r="H46" s="228">
        <f t="shared" si="18"/>
        <v>375026056.43679738</v>
      </c>
      <c r="O46"/>
      <c r="P46"/>
      <c r="Q46"/>
      <c r="R46"/>
    </row>
    <row r="47" spans="1:18" s="21" customFormat="1" x14ac:dyDescent="0.35">
      <c r="A47" s="78" t="s">
        <v>210</v>
      </c>
      <c r="B47" s="213">
        <f>B44-B46</f>
        <v>68335330</v>
      </c>
      <c r="C47" s="45">
        <f t="shared" ref="C47:H47" si="19">C3*$Q$15</f>
        <v>68989807.677017063</v>
      </c>
      <c r="D47" s="45">
        <f t="shared" si="19"/>
        <v>71177381.923401192</v>
      </c>
      <c r="E47" s="45">
        <f t="shared" si="19"/>
        <v>73838936.557253316</v>
      </c>
      <c r="F47" s="45">
        <f t="shared" si="19"/>
        <v>77036608.894946679</v>
      </c>
      <c r="G47" s="45">
        <f t="shared" si="19"/>
        <v>80842929.726688877</v>
      </c>
      <c r="H47" s="227">
        <f t="shared" si="19"/>
        <v>85342554.517036483</v>
      </c>
      <c r="O47"/>
      <c r="P47"/>
      <c r="Q47"/>
      <c r="R47"/>
    </row>
    <row r="48" spans="1:18" x14ac:dyDescent="0.35">
      <c r="A48" s="78" t="s">
        <v>25</v>
      </c>
      <c r="B48" s="214">
        <v>4774439</v>
      </c>
      <c r="C48" s="197">
        <f t="shared" ref="C48:H50" si="20">B48</f>
        <v>4774439</v>
      </c>
      <c r="D48" s="197">
        <f t="shared" si="20"/>
        <v>4774439</v>
      </c>
      <c r="E48" s="197">
        <f t="shared" si="20"/>
        <v>4774439</v>
      </c>
      <c r="F48" s="197">
        <f t="shared" si="20"/>
        <v>4774439</v>
      </c>
      <c r="G48" s="197">
        <f t="shared" si="20"/>
        <v>4774439</v>
      </c>
      <c r="H48" s="228">
        <f t="shared" si="20"/>
        <v>4774439</v>
      </c>
    </row>
    <row r="49" spans="1:18" x14ac:dyDescent="0.35">
      <c r="A49" s="78" t="s">
        <v>310</v>
      </c>
      <c r="B49" s="213">
        <v>77710892</v>
      </c>
      <c r="C49" s="45">
        <f t="shared" si="20"/>
        <v>77710892</v>
      </c>
      <c r="D49" s="45">
        <f t="shared" si="20"/>
        <v>77710892</v>
      </c>
      <c r="E49" s="45">
        <f t="shared" si="20"/>
        <v>77710892</v>
      </c>
      <c r="F49" s="45">
        <f t="shared" si="20"/>
        <v>77710892</v>
      </c>
      <c r="G49" s="45">
        <f t="shared" si="20"/>
        <v>77710892</v>
      </c>
      <c r="H49" s="227">
        <f t="shared" si="20"/>
        <v>77710892</v>
      </c>
      <c r="O49" s="21"/>
      <c r="P49" s="21"/>
      <c r="Q49" s="21"/>
      <c r="R49" s="21"/>
    </row>
    <row r="50" spans="1:18" x14ac:dyDescent="0.35">
      <c r="A50" s="78" t="s">
        <v>30</v>
      </c>
      <c r="B50" s="214">
        <v>10436997</v>
      </c>
      <c r="C50" s="197">
        <f t="shared" si="20"/>
        <v>10436997</v>
      </c>
      <c r="D50" s="197">
        <f t="shared" si="20"/>
        <v>10436997</v>
      </c>
      <c r="E50" s="197">
        <f t="shared" si="20"/>
        <v>10436997</v>
      </c>
      <c r="F50" s="197">
        <f t="shared" si="20"/>
        <v>10436997</v>
      </c>
      <c r="G50" s="197">
        <f t="shared" si="20"/>
        <v>10436997</v>
      </c>
      <c r="H50" s="228">
        <f t="shared" si="20"/>
        <v>10436997</v>
      </c>
      <c r="O50" s="21"/>
      <c r="P50" s="21"/>
      <c r="Q50" s="21"/>
      <c r="R50" s="21"/>
    </row>
    <row r="51" spans="1:18" s="21" customFormat="1" x14ac:dyDescent="0.35">
      <c r="A51" s="78" t="s">
        <v>311</v>
      </c>
      <c r="B51" s="213">
        <v>1458619</v>
      </c>
      <c r="C51" s="45">
        <f t="shared" ref="C51" si="21">B51</f>
        <v>1458619</v>
      </c>
      <c r="D51" s="45">
        <f t="shared" ref="D51" si="22">C51</f>
        <v>1458619</v>
      </c>
      <c r="E51" s="45">
        <f t="shared" ref="E51" si="23">D51</f>
        <v>1458619</v>
      </c>
      <c r="F51" s="45">
        <f t="shared" ref="F51" si="24">E51</f>
        <v>1458619</v>
      </c>
      <c r="G51" s="45">
        <f t="shared" ref="G51" si="25">F51</f>
        <v>1458619</v>
      </c>
      <c r="H51" s="227">
        <f t="shared" ref="H51" si="26">G51</f>
        <v>1458619</v>
      </c>
      <c r="O51"/>
      <c r="P51"/>
      <c r="Q51"/>
      <c r="R51"/>
    </row>
    <row r="52" spans="1:18" x14ac:dyDescent="0.35">
      <c r="A52" s="78" t="s">
        <v>32</v>
      </c>
      <c r="B52" s="214">
        <v>20526814</v>
      </c>
      <c r="C52" s="214">
        <v>20526814</v>
      </c>
      <c r="D52" s="214">
        <v>20526814</v>
      </c>
      <c r="E52" s="214">
        <v>20526814</v>
      </c>
      <c r="F52" s="214">
        <v>20526814</v>
      </c>
      <c r="G52" s="214">
        <v>20526814</v>
      </c>
      <c r="H52" s="247">
        <v>20526814</v>
      </c>
    </row>
    <row r="53" spans="1:18" x14ac:dyDescent="0.35">
      <c r="A53" s="77" t="s">
        <v>34</v>
      </c>
      <c r="B53" s="215">
        <f>SUM(B47:B52)</f>
        <v>183243091</v>
      </c>
      <c r="C53" s="215">
        <f>SUM(C47:C52)</f>
        <v>183897568.67701706</v>
      </c>
      <c r="D53" s="215">
        <f t="shared" ref="D53:H53" si="27">SUM(D47:D52)</f>
        <v>186085142.92340118</v>
      </c>
      <c r="E53" s="215">
        <f t="shared" si="27"/>
        <v>188746697.5572533</v>
      </c>
      <c r="F53" s="215">
        <f t="shared" si="27"/>
        <v>191944369.89494669</v>
      </c>
      <c r="G53" s="215">
        <f t="shared" si="27"/>
        <v>195750690.72668886</v>
      </c>
      <c r="H53" s="248">
        <f t="shared" si="27"/>
        <v>200250315.5170365</v>
      </c>
    </row>
    <row r="54" spans="1:18" x14ac:dyDescent="0.35">
      <c r="A54" s="77" t="s">
        <v>36</v>
      </c>
      <c r="B54" s="202"/>
      <c r="C54" s="216"/>
      <c r="D54" s="216"/>
      <c r="E54" s="216"/>
      <c r="F54" s="216"/>
      <c r="G54" s="216"/>
      <c r="H54" s="249"/>
    </row>
    <row r="55" spans="1:18" s="21" customFormat="1" hidden="1" x14ac:dyDescent="0.35">
      <c r="A55" s="78" t="s">
        <v>37</v>
      </c>
      <c r="B55" s="45">
        <v>407655</v>
      </c>
      <c r="C55" s="217"/>
      <c r="D55" s="217"/>
      <c r="E55" s="217"/>
      <c r="F55" s="217"/>
      <c r="G55" s="217"/>
      <c r="H55" s="128"/>
      <c r="O55" s="81"/>
      <c r="P55" s="81"/>
      <c r="Q55" s="81"/>
      <c r="R55" s="81"/>
    </row>
    <row r="56" spans="1:18" hidden="1" x14ac:dyDescent="0.35">
      <c r="A56" s="78" t="s">
        <v>39</v>
      </c>
      <c r="B56" s="213">
        <v>7867938</v>
      </c>
      <c r="C56" s="217"/>
      <c r="D56" s="217"/>
      <c r="E56" s="217"/>
      <c r="F56" s="217"/>
      <c r="G56" s="217"/>
      <c r="H56" s="128"/>
      <c r="O56" s="81"/>
      <c r="P56" s="81"/>
      <c r="Q56" s="81"/>
      <c r="R56" s="81"/>
    </row>
    <row r="57" spans="1:18" x14ac:dyDescent="0.35">
      <c r="A57" s="78" t="s">
        <v>41</v>
      </c>
      <c r="B57" s="218">
        <v>7334432</v>
      </c>
      <c r="C57" s="218">
        <f t="shared" ref="C57:H57" si="28">C87-C58-C53</f>
        <v>44312593.392210096</v>
      </c>
      <c r="D57" s="218">
        <f t="shared" si="28"/>
        <v>52908252.452105552</v>
      </c>
      <c r="E57" s="218">
        <f t="shared" si="28"/>
        <v>61972084.243754357</v>
      </c>
      <c r="F57" s="218">
        <f t="shared" si="28"/>
        <v>71789569.932691604</v>
      </c>
      <c r="G57" s="218">
        <f t="shared" si="28"/>
        <v>82521532.099065423</v>
      </c>
      <c r="H57" s="250">
        <f t="shared" si="28"/>
        <v>94356137.572995901</v>
      </c>
    </row>
    <row r="58" spans="1:18" s="81" customFormat="1" x14ac:dyDescent="0.35">
      <c r="A58" s="77" t="s">
        <v>43</v>
      </c>
      <c r="B58" s="205">
        <f>B55+B56</f>
        <v>8275593</v>
      </c>
      <c r="C58" s="205">
        <f t="shared" ref="C58:H58" si="29">C3*$Q$13</f>
        <v>8635969.77310507</v>
      </c>
      <c r="D58" s="205">
        <f t="shared" si="29"/>
        <v>8909804.7888024691</v>
      </c>
      <c r="E58" s="205">
        <f t="shared" si="29"/>
        <v>9242971.4715539552</v>
      </c>
      <c r="F58" s="205">
        <f t="shared" si="29"/>
        <v>9643248.0135889258</v>
      </c>
      <c r="G58" s="205">
        <f t="shared" si="29"/>
        <v>10119713.635924852</v>
      </c>
      <c r="H58" s="235">
        <f t="shared" si="29"/>
        <v>10682965.295672575</v>
      </c>
      <c r="O58"/>
      <c r="P58"/>
      <c r="Q58"/>
      <c r="R58"/>
    </row>
    <row r="59" spans="1:18" s="81" customFormat="1" ht="18.5" x14ac:dyDescent="0.45">
      <c r="A59" s="192" t="s">
        <v>45</v>
      </c>
      <c r="B59" s="219">
        <f t="shared" ref="B59:H59" si="30">B58+B53+B57</f>
        <v>198853116</v>
      </c>
      <c r="C59" s="219">
        <f>C58+C53+C57</f>
        <v>236846131.84233221</v>
      </c>
      <c r="D59" s="219">
        <f t="shared" si="30"/>
        <v>247903200.1643092</v>
      </c>
      <c r="E59" s="219">
        <f t="shared" si="30"/>
        <v>259961753.27256161</v>
      </c>
      <c r="F59" s="219">
        <f t="shared" si="30"/>
        <v>273377187.84122723</v>
      </c>
      <c r="G59" s="219">
        <f t="shared" si="30"/>
        <v>288391936.4616791</v>
      </c>
      <c r="H59" s="251">
        <f t="shared" si="30"/>
        <v>305289418.38570499</v>
      </c>
      <c r="O59"/>
      <c r="P59"/>
      <c r="Q59"/>
      <c r="R59"/>
    </row>
    <row r="60" spans="1:18" x14ac:dyDescent="0.35">
      <c r="A60" s="77" t="s">
        <v>47</v>
      </c>
      <c r="B60" s="202"/>
      <c r="C60" s="220"/>
      <c r="D60" s="197"/>
      <c r="E60" s="197"/>
      <c r="F60" s="197"/>
      <c r="G60" s="197"/>
      <c r="H60" s="228"/>
    </row>
    <row r="61" spans="1:18" x14ac:dyDescent="0.35">
      <c r="A61" s="77" t="s">
        <v>48</v>
      </c>
      <c r="B61" s="198"/>
      <c r="C61" s="45"/>
      <c r="D61" s="45"/>
      <c r="E61" s="45"/>
      <c r="F61" s="45"/>
      <c r="G61" s="45"/>
      <c r="H61" s="227"/>
      <c r="M61" s="24"/>
    </row>
    <row r="62" spans="1:18" x14ac:dyDescent="0.35">
      <c r="A62" s="78" t="s">
        <v>49</v>
      </c>
      <c r="B62" s="202">
        <v>13503000</v>
      </c>
      <c r="C62" s="197">
        <f t="shared" ref="C62:H64" si="31">B62</f>
        <v>13503000</v>
      </c>
      <c r="D62" s="197">
        <f t="shared" si="31"/>
        <v>13503000</v>
      </c>
      <c r="E62" s="197">
        <f t="shared" si="31"/>
        <v>13503000</v>
      </c>
      <c r="F62" s="197">
        <f t="shared" si="31"/>
        <v>13503000</v>
      </c>
      <c r="G62" s="197">
        <f t="shared" si="31"/>
        <v>13503000</v>
      </c>
      <c r="H62" s="228">
        <f t="shared" si="31"/>
        <v>13503000</v>
      </c>
    </row>
    <row r="63" spans="1:18" x14ac:dyDescent="0.35">
      <c r="A63" s="78" t="s">
        <v>51</v>
      </c>
      <c r="B63" s="213">
        <v>7840226</v>
      </c>
      <c r="C63" s="45">
        <f t="shared" si="31"/>
        <v>7840226</v>
      </c>
      <c r="D63" s="45">
        <f t="shared" si="31"/>
        <v>7840226</v>
      </c>
      <c r="E63" s="45">
        <f t="shared" si="31"/>
        <v>7840226</v>
      </c>
      <c r="F63" s="45">
        <f t="shared" si="31"/>
        <v>7840226</v>
      </c>
      <c r="G63" s="45">
        <f t="shared" si="31"/>
        <v>7840226</v>
      </c>
      <c r="H63" s="227">
        <f t="shared" si="31"/>
        <v>7840226</v>
      </c>
      <c r="O63" s="81"/>
      <c r="P63" s="81"/>
      <c r="Q63" s="81"/>
      <c r="R63" s="81"/>
    </row>
    <row r="64" spans="1:18" x14ac:dyDescent="0.35">
      <c r="A64" s="78" t="s">
        <v>53</v>
      </c>
      <c r="B64" s="214">
        <v>14446</v>
      </c>
      <c r="C64" s="197">
        <f>B64</f>
        <v>14446</v>
      </c>
      <c r="D64" s="197">
        <f>C64</f>
        <v>14446</v>
      </c>
      <c r="E64" s="197">
        <f t="shared" si="31"/>
        <v>14446</v>
      </c>
      <c r="F64" s="197">
        <f t="shared" si="31"/>
        <v>14446</v>
      </c>
      <c r="G64" s="197">
        <f t="shared" si="31"/>
        <v>14446</v>
      </c>
      <c r="H64" s="228">
        <f t="shared" si="31"/>
        <v>14446</v>
      </c>
      <c r="O64" s="81"/>
      <c r="P64" s="81"/>
      <c r="Q64" s="81"/>
      <c r="R64" s="81"/>
    </row>
    <row r="65" spans="1:18" x14ac:dyDescent="0.35">
      <c r="A65" s="78" t="s">
        <v>57</v>
      </c>
      <c r="B65" s="221">
        <v>43384785</v>
      </c>
      <c r="C65" s="222">
        <f>B65+C37</f>
        <v>49332110.212364033</v>
      </c>
      <c r="D65" s="222">
        <f>C65+D37</f>
        <v>55308995.464295179</v>
      </c>
      <c r="E65" s="222">
        <f t="shared" ref="E65:H65" si="32">D65+E37</f>
        <v>61186645.312579572</v>
      </c>
      <c r="F65" s="222">
        <f t="shared" si="32"/>
        <v>67176155.526743874</v>
      </c>
      <c r="G65" s="222">
        <f t="shared" si="32"/>
        <v>73351521.127148941</v>
      </c>
      <c r="H65" s="252">
        <f t="shared" si="32"/>
        <v>79799566.777518481</v>
      </c>
    </row>
    <row r="66" spans="1:18" s="81" customFormat="1" x14ac:dyDescent="0.35">
      <c r="A66" s="77" t="s">
        <v>59</v>
      </c>
      <c r="B66" s="205">
        <f t="shared" ref="B66:H66" si="33">SUM(B62:B65)</f>
        <v>64742457</v>
      </c>
      <c r="C66" s="205">
        <f>SUM(C62:C65)</f>
        <v>70689782.212364033</v>
      </c>
      <c r="D66" s="205">
        <f t="shared" si="33"/>
        <v>76666667.464295179</v>
      </c>
      <c r="E66" s="205">
        <f t="shared" si="33"/>
        <v>82544317.312579572</v>
      </c>
      <c r="F66" s="205">
        <f t="shared" si="33"/>
        <v>88533827.526743874</v>
      </c>
      <c r="G66" s="205">
        <f t="shared" si="33"/>
        <v>94709193.127148941</v>
      </c>
      <c r="H66" s="235">
        <f t="shared" si="33"/>
        <v>101157238.77751848</v>
      </c>
      <c r="O66"/>
      <c r="P66"/>
      <c r="Q66"/>
      <c r="R66"/>
    </row>
    <row r="67" spans="1:18" s="81" customFormat="1" x14ac:dyDescent="0.35">
      <c r="A67" s="77" t="s">
        <v>90</v>
      </c>
      <c r="B67" s="198"/>
      <c r="C67" s="45"/>
      <c r="D67" s="45"/>
      <c r="E67" s="45"/>
      <c r="F67" s="45"/>
      <c r="G67" s="45"/>
      <c r="H67" s="227"/>
      <c r="O67" s="21"/>
      <c r="P67" s="21"/>
      <c r="Q67" s="21"/>
      <c r="R67" s="21"/>
    </row>
    <row r="68" spans="1:18" s="81" customFormat="1" x14ac:dyDescent="0.35">
      <c r="A68" s="189" t="s">
        <v>288</v>
      </c>
      <c r="B68" s="202"/>
      <c r="C68" s="197"/>
      <c r="D68" s="197"/>
      <c r="E68" s="197"/>
      <c r="F68" s="197"/>
      <c r="G68" s="197"/>
      <c r="H68" s="228"/>
      <c r="O68" s="21"/>
      <c r="P68" s="21"/>
      <c r="Q68" s="21"/>
      <c r="R68" s="21"/>
    </row>
    <row r="69" spans="1:18" s="81" customFormat="1" x14ac:dyDescent="0.35">
      <c r="A69" s="185" t="s">
        <v>195</v>
      </c>
      <c r="B69" s="198"/>
      <c r="C69" s="45">
        <f t="shared" ref="C69:H69" si="34">C47*$V$20</f>
        <v>1405425.2394691068</v>
      </c>
      <c r="D69" s="45">
        <f t="shared" si="34"/>
        <v>1449989.3883282298</v>
      </c>
      <c r="E69" s="45">
        <f t="shared" si="34"/>
        <v>1504209.2243386998</v>
      </c>
      <c r="F69" s="45">
        <f t="shared" si="34"/>
        <v>1569350.5772757304</v>
      </c>
      <c r="G69" s="45">
        <f t="shared" si="34"/>
        <v>1646891.0074721989</v>
      </c>
      <c r="H69" s="227">
        <f t="shared" si="34"/>
        <v>1738555.0729541807</v>
      </c>
      <c r="O69" s="21"/>
      <c r="P69" s="21"/>
      <c r="Q69" s="21"/>
      <c r="R69" s="21"/>
    </row>
    <row r="70" spans="1:18" s="81" customFormat="1" x14ac:dyDescent="0.35">
      <c r="A70" s="185" t="s">
        <v>176</v>
      </c>
      <c r="B70" s="202"/>
      <c r="C70" s="197">
        <f t="shared" ref="C70:H70" si="35">C47*$V$21</f>
        <v>1544509.001484463</v>
      </c>
      <c r="D70" s="197">
        <f t="shared" si="35"/>
        <v>1593483.3098456885</v>
      </c>
      <c r="E70" s="197">
        <f t="shared" si="35"/>
        <v>1653068.8519473914</v>
      </c>
      <c r="F70" s="197">
        <f t="shared" si="35"/>
        <v>1724656.7266735674</v>
      </c>
      <c r="G70" s="197">
        <f t="shared" si="35"/>
        <v>1809870.7167557881</v>
      </c>
      <c r="H70" s="228">
        <f t="shared" si="35"/>
        <v>1910606.0460167467</v>
      </c>
      <c r="O70" s="21"/>
      <c r="P70" s="21"/>
      <c r="Q70" s="21"/>
      <c r="R70" s="21"/>
    </row>
    <row r="71" spans="1:18" s="81" customFormat="1" x14ac:dyDescent="0.35">
      <c r="A71" s="185" t="s">
        <v>179</v>
      </c>
      <c r="B71" s="198"/>
      <c r="C71" s="45">
        <f t="shared" ref="C71:H71" si="36">C47*$V$22</f>
        <v>59302109.569515787</v>
      </c>
      <c r="D71" s="45">
        <f t="shared" si="36"/>
        <v>61182499.905692063</v>
      </c>
      <c r="E71" s="45">
        <f t="shared" si="36"/>
        <v>63470313.277500197</v>
      </c>
      <c r="F71" s="45">
        <f t="shared" si="36"/>
        <v>66218961.544865541</v>
      </c>
      <c r="G71" s="45">
        <f t="shared" si="36"/>
        <v>69490790.567457572</v>
      </c>
      <c r="H71" s="227">
        <f t="shared" si="36"/>
        <v>73358568.306281388</v>
      </c>
      <c r="O71" s="21"/>
      <c r="P71" s="21"/>
      <c r="Q71" s="21"/>
      <c r="R71" s="21"/>
    </row>
    <row r="72" spans="1:18" s="81" customFormat="1" x14ac:dyDescent="0.35">
      <c r="A72" s="185" t="s">
        <v>180</v>
      </c>
      <c r="B72" s="202"/>
      <c r="C72" s="197">
        <f t="shared" ref="C72:H72" si="37">C47*$V$23</f>
        <v>6737763.8665477056</v>
      </c>
      <c r="D72" s="197">
        <f t="shared" si="37"/>
        <v>6951409.3195352126</v>
      </c>
      <c r="E72" s="197">
        <f t="shared" si="37"/>
        <v>7211345.2034670291</v>
      </c>
      <c r="F72" s="197">
        <f t="shared" si="37"/>
        <v>7523640.0461318381</v>
      </c>
      <c r="G72" s="197">
        <f t="shared" si="37"/>
        <v>7895377.4350033253</v>
      </c>
      <c r="H72" s="228">
        <f t="shared" si="37"/>
        <v>8334825.0917841718</v>
      </c>
      <c r="O72" s="21"/>
      <c r="P72" s="21"/>
      <c r="Q72" s="21"/>
      <c r="R72" s="21"/>
    </row>
    <row r="73" spans="1:18" ht="21" customHeight="1" x14ac:dyDescent="0.35">
      <c r="A73" s="148" t="s">
        <v>93</v>
      </c>
      <c r="B73" s="215">
        <v>48853886</v>
      </c>
      <c r="C73" s="215">
        <f>SUM(C69:C72)</f>
        <v>68989807.677017063</v>
      </c>
      <c r="D73" s="215">
        <f t="shared" ref="D73:H73" si="38">SUM(D69:D72)</f>
        <v>71177381.923401192</v>
      </c>
      <c r="E73" s="215">
        <f t="shared" si="38"/>
        <v>73838936.557253316</v>
      </c>
      <c r="F73" s="215">
        <f t="shared" si="38"/>
        <v>77036608.894946679</v>
      </c>
      <c r="G73" s="215">
        <f t="shared" si="38"/>
        <v>80842929.726688877</v>
      </c>
      <c r="H73" s="248">
        <f t="shared" si="38"/>
        <v>85342554.517036498</v>
      </c>
    </row>
    <row r="74" spans="1:18" x14ac:dyDescent="0.35">
      <c r="A74" s="78" t="s">
        <v>63</v>
      </c>
      <c r="B74" s="202" t="s">
        <v>29</v>
      </c>
      <c r="C74" s="197" t="str">
        <f t="shared" ref="C74:H76" si="39">B74</f>
        <v>-</v>
      </c>
      <c r="D74" s="197" t="str">
        <f t="shared" si="39"/>
        <v>-</v>
      </c>
      <c r="E74" s="197" t="str">
        <f t="shared" si="39"/>
        <v>-</v>
      </c>
      <c r="F74" s="197" t="str">
        <f t="shared" si="39"/>
        <v>-</v>
      </c>
      <c r="G74" s="197" t="str">
        <f t="shared" si="39"/>
        <v>-</v>
      </c>
      <c r="H74" s="228" t="str">
        <f t="shared" si="39"/>
        <v>-</v>
      </c>
      <c r="K74" s="24"/>
    </row>
    <row r="75" spans="1:18" x14ac:dyDescent="0.35">
      <c r="A75" s="78" t="s">
        <v>65</v>
      </c>
      <c r="B75" s="213">
        <v>395836</v>
      </c>
      <c r="C75" s="45">
        <f t="shared" si="39"/>
        <v>395836</v>
      </c>
      <c r="D75" s="45">
        <f t="shared" si="39"/>
        <v>395836</v>
      </c>
      <c r="E75" s="45">
        <f t="shared" si="39"/>
        <v>395836</v>
      </c>
      <c r="F75" s="45">
        <f t="shared" si="39"/>
        <v>395836</v>
      </c>
      <c r="G75" s="45">
        <f t="shared" si="39"/>
        <v>395836</v>
      </c>
      <c r="H75" s="227">
        <f t="shared" si="39"/>
        <v>395836</v>
      </c>
      <c r="K75" s="83"/>
      <c r="L75" s="84"/>
      <c r="M75" s="84"/>
    </row>
    <row r="76" spans="1:18" x14ac:dyDescent="0.35">
      <c r="A76" s="78" t="s">
        <v>67</v>
      </c>
      <c r="B76" s="214">
        <v>546133</v>
      </c>
      <c r="C76" s="223">
        <f t="shared" si="39"/>
        <v>546133</v>
      </c>
      <c r="D76" s="223">
        <f t="shared" si="39"/>
        <v>546133</v>
      </c>
      <c r="E76" s="223">
        <f t="shared" si="39"/>
        <v>546133</v>
      </c>
      <c r="F76" s="223">
        <f t="shared" si="39"/>
        <v>546133</v>
      </c>
      <c r="G76" s="223">
        <f t="shared" si="39"/>
        <v>546133</v>
      </c>
      <c r="H76" s="253">
        <f t="shared" si="39"/>
        <v>546133</v>
      </c>
      <c r="K76" s="24"/>
    </row>
    <row r="77" spans="1:18" x14ac:dyDescent="0.35">
      <c r="A77" s="77" t="s">
        <v>69</v>
      </c>
      <c r="B77" s="215">
        <f>SUM(B73,B74,B75,B76)</f>
        <v>49795855</v>
      </c>
      <c r="C77" s="215">
        <f t="shared" ref="C77:H77" si="40">SUM(C73,C75,C74,C76)</f>
        <v>69931776.677017063</v>
      </c>
      <c r="D77" s="215">
        <f t="shared" si="40"/>
        <v>72119350.923401192</v>
      </c>
      <c r="E77" s="215">
        <f t="shared" si="40"/>
        <v>74780905.557253316</v>
      </c>
      <c r="F77" s="215">
        <f t="shared" si="40"/>
        <v>77978577.894946679</v>
      </c>
      <c r="G77" s="215">
        <f t="shared" si="40"/>
        <v>81784898.726688877</v>
      </c>
      <c r="H77" s="248">
        <f t="shared" si="40"/>
        <v>86284523.517036498</v>
      </c>
    </row>
    <row r="78" spans="1:18" x14ac:dyDescent="0.35">
      <c r="A78" s="77" t="s">
        <v>71</v>
      </c>
      <c r="B78" s="202"/>
      <c r="C78" s="197"/>
      <c r="D78" s="197"/>
      <c r="E78" s="197"/>
      <c r="F78" s="197"/>
      <c r="G78" s="197"/>
      <c r="H78" s="228"/>
    </row>
    <row r="79" spans="1:18" hidden="1" x14ac:dyDescent="0.35">
      <c r="A79" s="78" t="s">
        <v>72</v>
      </c>
      <c r="B79" s="213">
        <v>28366808</v>
      </c>
      <c r="C79" s="45"/>
      <c r="D79" s="45"/>
      <c r="E79" s="45"/>
      <c r="F79" s="45"/>
      <c r="G79" s="45"/>
      <c r="H79" s="227"/>
    </row>
    <row r="80" spans="1:18" hidden="1" x14ac:dyDescent="0.35">
      <c r="A80" s="78" t="s">
        <v>74</v>
      </c>
      <c r="B80" s="213">
        <v>24920485</v>
      </c>
      <c r="C80" s="45"/>
      <c r="D80" s="45"/>
      <c r="E80" s="45"/>
      <c r="F80" s="45"/>
      <c r="G80" s="45"/>
      <c r="H80" s="227"/>
    </row>
    <row r="81" spans="1:18" hidden="1" x14ac:dyDescent="0.35">
      <c r="A81" s="78" t="s">
        <v>76</v>
      </c>
      <c r="B81" s="213">
        <v>11112469</v>
      </c>
      <c r="C81" s="45"/>
      <c r="D81" s="45"/>
      <c r="E81" s="45"/>
      <c r="F81" s="45"/>
      <c r="G81" s="45"/>
      <c r="H81" s="227"/>
    </row>
    <row r="82" spans="1:18" hidden="1" x14ac:dyDescent="0.35">
      <c r="A82" s="78" t="s">
        <v>79</v>
      </c>
      <c r="B82" s="213">
        <v>12769919</v>
      </c>
      <c r="C82" s="45"/>
      <c r="D82" s="45"/>
      <c r="E82" s="45"/>
      <c r="F82" s="45"/>
      <c r="G82" s="45"/>
      <c r="H82" s="227"/>
    </row>
    <row r="83" spans="1:18" hidden="1" x14ac:dyDescent="0.35">
      <c r="A83" s="78" t="s">
        <v>81</v>
      </c>
      <c r="B83" s="213">
        <v>2077180</v>
      </c>
      <c r="C83" s="45"/>
      <c r="D83" s="45"/>
      <c r="E83" s="45"/>
      <c r="F83" s="45"/>
      <c r="G83" s="45"/>
      <c r="H83" s="227"/>
    </row>
    <row r="84" spans="1:18" hidden="1" x14ac:dyDescent="0.35">
      <c r="A84" s="78" t="s">
        <v>94</v>
      </c>
      <c r="B84" s="213">
        <v>68054</v>
      </c>
      <c r="C84" s="45"/>
      <c r="D84" s="45"/>
      <c r="E84" s="45"/>
      <c r="F84" s="45"/>
      <c r="G84" s="45"/>
      <c r="H84" s="227"/>
    </row>
    <row r="85" spans="1:18" hidden="1" x14ac:dyDescent="0.35">
      <c r="A85" s="77" t="s">
        <v>83</v>
      </c>
      <c r="B85" s="215">
        <f>SUM(B79:B84)</f>
        <v>79314915</v>
      </c>
      <c r="C85" s="215">
        <f t="shared" ref="C85:H85" si="41">C3*$Q$14</f>
        <v>91224572.952951103</v>
      </c>
      <c r="D85" s="215">
        <f t="shared" si="41"/>
        <v>94117181.776612833</v>
      </c>
      <c r="E85" s="215">
        <f t="shared" si="41"/>
        <v>97636530.402728721</v>
      </c>
      <c r="F85" s="215">
        <f t="shared" si="41"/>
        <v>101864782.41953668</v>
      </c>
      <c r="G85" s="215">
        <f t="shared" si="41"/>
        <v>106897844.60784133</v>
      </c>
      <c r="H85" s="248">
        <f t="shared" si="41"/>
        <v>112847656.09114999</v>
      </c>
      <c r="O85" s="81"/>
      <c r="P85" s="81"/>
      <c r="Q85" s="81"/>
      <c r="R85" s="81"/>
    </row>
    <row r="86" spans="1:18" x14ac:dyDescent="0.35">
      <c r="A86" s="78" t="s">
        <v>62</v>
      </c>
      <c r="B86" s="221">
        <v>5000000</v>
      </c>
      <c r="C86" s="222">
        <f t="shared" ref="C86:H86" si="42">MAX(C58+C47-C66-C77-C85,B86)</f>
        <v>5000000</v>
      </c>
      <c r="D86" s="222">
        <f t="shared" si="42"/>
        <v>5000000</v>
      </c>
      <c r="E86" s="222">
        <f t="shared" si="42"/>
        <v>5000000</v>
      </c>
      <c r="F86" s="222">
        <f t="shared" si="42"/>
        <v>5000000</v>
      </c>
      <c r="G86" s="222">
        <f t="shared" si="42"/>
        <v>5000000</v>
      </c>
      <c r="H86" s="252">
        <f t="shared" si="42"/>
        <v>5000000</v>
      </c>
    </row>
    <row r="87" spans="1:18" s="81" customFormat="1" ht="18.5" x14ac:dyDescent="0.45">
      <c r="A87" s="192" t="s">
        <v>85</v>
      </c>
      <c r="B87" s="244">
        <f t="shared" ref="B87:H87" si="43">B66+B77+B85+B86</f>
        <v>198853227</v>
      </c>
      <c r="C87" s="245">
        <f t="shared" si="43"/>
        <v>236846131.84233221</v>
      </c>
      <c r="D87" s="245">
        <f t="shared" si="43"/>
        <v>247903200.1643092</v>
      </c>
      <c r="E87" s="245">
        <f t="shared" si="43"/>
        <v>259961753.27256161</v>
      </c>
      <c r="F87" s="245">
        <f t="shared" si="43"/>
        <v>273377187.84122723</v>
      </c>
      <c r="G87" s="245">
        <f t="shared" si="43"/>
        <v>288391936.46167916</v>
      </c>
      <c r="H87" s="254">
        <f t="shared" si="43"/>
        <v>305289418.38570499</v>
      </c>
      <c r="O87"/>
      <c r="P87"/>
      <c r="Q87"/>
      <c r="R87"/>
    </row>
    <row r="88" spans="1:18" x14ac:dyDescent="0.35">
      <c r="I88" s="76"/>
      <c r="J88" s="76"/>
    </row>
  </sheetData>
  <mergeCells count="23">
    <mergeCell ref="Q18:R18"/>
    <mergeCell ref="O18:P18"/>
    <mergeCell ref="O11:R11"/>
    <mergeCell ref="Q13:R13"/>
    <mergeCell ref="O15:P15"/>
    <mergeCell ref="Q15:R15"/>
    <mergeCell ref="O16:P16"/>
    <mergeCell ref="Q16:R16"/>
    <mergeCell ref="O14:P14"/>
    <mergeCell ref="Q14:R14"/>
    <mergeCell ref="O12:P12"/>
    <mergeCell ref="Q12:R12"/>
    <mergeCell ref="O13:P13"/>
    <mergeCell ref="O17:P17"/>
    <mergeCell ref="Q17:R17"/>
    <mergeCell ref="O19:P19"/>
    <mergeCell ref="Q19:R19"/>
    <mergeCell ref="O21:P21"/>
    <mergeCell ref="Q21:R21"/>
    <mergeCell ref="O22:P22"/>
    <mergeCell ref="Q22:R22"/>
    <mergeCell ref="O20:P20"/>
    <mergeCell ref="Q20:R20"/>
  </mergeCells>
  <pageMargins left="0.7" right="0.7" top="0.75" bottom="0.75" header="0.3" footer="0.3"/>
  <ignoredErrors>
    <ignoredError sqref="B6" formulaRange="1"/>
  </ignoredError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6B268-564C-493F-921F-13B7B6AD3B32}">
  <dimension ref="A1"/>
  <sheetViews>
    <sheetView tabSelected="1" workbookViewId="0">
      <selection activeCell="D13" sqref="D13"/>
    </sheetView>
  </sheetViews>
  <sheetFormatPr defaultRowHeight="14.5" x14ac:dyDescent="0.3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D6D2C-F044-4340-9A5E-8C70F2089B23}">
  <dimension ref="A1:AA996"/>
  <sheetViews>
    <sheetView topLeftCell="A44" zoomScale="66" workbookViewId="0">
      <selection activeCell="I56" sqref="I56"/>
    </sheetView>
  </sheetViews>
  <sheetFormatPr defaultColWidth="14.453125" defaultRowHeight="14.5" x14ac:dyDescent="0.35"/>
  <cols>
    <col min="1" max="1" width="40" style="21" customWidth="1"/>
    <col min="2" max="2" width="16.81640625" style="21" customWidth="1"/>
    <col min="3" max="3" width="22.26953125" style="21" customWidth="1"/>
    <col min="4" max="5" width="21.1796875" style="21" bestFit="1" customWidth="1"/>
    <col min="6" max="6" width="20.54296875" style="21" bestFit="1" customWidth="1"/>
    <col min="7" max="7" width="29.1796875" style="21" customWidth="1"/>
    <col min="8" max="8" width="26.81640625" style="21" customWidth="1"/>
    <col min="9" max="9" width="20" style="21" customWidth="1"/>
    <col min="10" max="10" width="5.36328125" style="21" customWidth="1"/>
    <col min="11" max="27" width="8.7265625" style="21" customWidth="1"/>
    <col min="28" max="16384" width="14.453125" style="21"/>
  </cols>
  <sheetData>
    <row r="1" spans="1:27" ht="15.5" x14ac:dyDescent="0.35">
      <c r="A1" s="427" t="s">
        <v>362</v>
      </c>
      <c r="B1" s="298">
        <v>1350300022</v>
      </c>
      <c r="C1" s="404" t="s">
        <v>363</v>
      </c>
      <c r="D1" s="394"/>
      <c r="E1" s="414"/>
      <c r="F1" s="300"/>
      <c r="G1" s="300"/>
      <c r="H1" s="300"/>
      <c r="I1" s="300"/>
      <c r="J1" s="301"/>
      <c r="K1" s="301"/>
      <c r="L1" s="301"/>
      <c r="M1" s="301"/>
      <c r="N1" s="301"/>
      <c r="O1" s="301"/>
      <c r="P1" s="301"/>
      <c r="Q1" s="301"/>
      <c r="R1" s="301"/>
      <c r="S1" s="301"/>
      <c r="T1" s="301"/>
      <c r="U1" s="301"/>
      <c r="V1" s="301"/>
      <c r="W1" s="301"/>
      <c r="X1" s="301"/>
      <c r="Y1" s="301"/>
      <c r="Z1" s="301"/>
      <c r="AA1" s="301"/>
    </row>
    <row r="2" spans="1:27" ht="16" thickBot="1" x14ac:dyDescent="0.4">
      <c r="A2" s="428" t="s">
        <v>364</v>
      </c>
      <c r="B2" s="430">
        <v>0.75900000000000001</v>
      </c>
      <c r="C2" s="404"/>
      <c r="D2" s="394"/>
      <c r="E2" s="300"/>
      <c r="F2" s="300"/>
      <c r="G2" s="300"/>
      <c r="H2" s="300"/>
      <c r="I2" s="300"/>
      <c r="J2" s="301"/>
      <c r="K2" s="301"/>
      <c r="L2" s="301"/>
      <c r="M2" s="301"/>
      <c r="N2" s="301"/>
      <c r="O2" s="301"/>
      <c r="P2" s="301"/>
      <c r="Q2" s="301"/>
      <c r="R2" s="301"/>
      <c r="S2" s="301"/>
      <c r="T2" s="301"/>
      <c r="U2" s="301"/>
      <c r="V2" s="301"/>
      <c r="W2" s="301"/>
      <c r="X2" s="301"/>
      <c r="Y2" s="301"/>
      <c r="Z2" s="301"/>
      <c r="AA2" s="301"/>
    </row>
    <row r="3" spans="1:27" ht="16" thickBot="1" x14ac:dyDescent="0.4">
      <c r="A3" s="421"/>
      <c r="B3" s="300"/>
      <c r="C3" s="302"/>
      <c r="D3" s="300"/>
      <c r="E3" s="300"/>
      <c r="F3" s="300"/>
      <c r="G3" s="300"/>
      <c r="H3" s="300"/>
      <c r="I3" s="300"/>
      <c r="J3" s="301"/>
      <c r="K3" s="301"/>
      <c r="L3" s="301"/>
      <c r="M3" s="301"/>
      <c r="N3" s="301"/>
      <c r="O3" s="301"/>
      <c r="P3" s="301"/>
      <c r="Q3" s="301"/>
      <c r="R3" s="301"/>
      <c r="S3" s="301"/>
      <c r="T3" s="301"/>
      <c r="U3" s="301"/>
      <c r="V3" s="301"/>
      <c r="W3" s="301"/>
      <c r="X3" s="301"/>
      <c r="Y3" s="301"/>
      <c r="Z3" s="301"/>
      <c r="AA3" s="301"/>
    </row>
    <row r="4" spans="1:27" ht="15" x14ac:dyDescent="0.35">
      <c r="A4" s="429" t="s">
        <v>219</v>
      </c>
      <c r="B4" s="303"/>
      <c r="C4" s="303"/>
      <c r="D4" s="303">
        <v>2025</v>
      </c>
      <c r="E4" s="303">
        <v>2026</v>
      </c>
      <c r="F4" s="303">
        <v>2027</v>
      </c>
      <c r="G4" s="303">
        <v>2028</v>
      </c>
      <c r="H4" s="303">
        <v>2029</v>
      </c>
      <c r="I4" s="304">
        <v>2030</v>
      </c>
      <c r="J4" s="301"/>
      <c r="L4" s="24" t="s">
        <v>408</v>
      </c>
      <c r="M4" s="301"/>
      <c r="N4" s="301"/>
      <c r="O4" s="301"/>
      <c r="P4" s="301"/>
      <c r="Q4" s="301"/>
      <c r="R4" s="301"/>
      <c r="S4" s="301"/>
      <c r="T4" s="301"/>
      <c r="U4" s="301"/>
      <c r="V4" s="301"/>
      <c r="W4" s="301"/>
      <c r="X4" s="301"/>
      <c r="Y4" s="301"/>
      <c r="Z4" s="301"/>
      <c r="AA4" s="301"/>
    </row>
    <row r="5" spans="1:27" ht="20" x14ac:dyDescent="0.35">
      <c r="A5" s="431" t="s">
        <v>365</v>
      </c>
      <c r="B5" s="432"/>
      <c r="C5" s="432"/>
      <c r="D5" s="432"/>
      <c r="E5" s="432"/>
      <c r="F5" s="432"/>
      <c r="G5" s="432"/>
      <c r="H5" s="432"/>
      <c r="I5" s="433"/>
      <c r="J5" s="301"/>
      <c r="L5" s="24"/>
      <c r="M5" s="301"/>
      <c r="N5" s="301"/>
      <c r="O5" s="301"/>
      <c r="P5" s="301"/>
      <c r="Q5" s="301"/>
      <c r="R5" s="301"/>
      <c r="S5" s="301"/>
      <c r="T5" s="301"/>
      <c r="U5" s="301"/>
      <c r="V5" s="301"/>
      <c r="W5" s="301"/>
      <c r="X5" s="301"/>
      <c r="Y5" s="301"/>
      <c r="Z5" s="301"/>
      <c r="AA5" s="301"/>
    </row>
    <row r="6" spans="1:27" ht="21.5" customHeight="1" x14ac:dyDescent="0.35">
      <c r="A6" s="416" t="s">
        <v>366</v>
      </c>
      <c r="B6" s="425"/>
      <c r="C6" s="426"/>
      <c r="D6" s="443">
        <v>24677697976.614201</v>
      </c>
      <c r="E6" s="443">
        <v>24800353742.4529</v>
      </c>
      <c r="F6" s="443">
        <v>24388588582.092899</v>
      </c>
      <c r="G6" s="443">
        <v>24852739477.860199</v>
      </c>
      <c r="H6" s="443">
        <v>25623923653.133099</v>
      </c>
      <c r="I6" s="440">
        <v>26755376142.612202</v>
      </c>
      <c r="J6" s="301"/>
      <c r="M6" s="301"/>
      <c r="Q6" s="301"/>
      <c r="R6" s="301"/>
      <c r="S6" s="301"/>
      <c r="T6" s="301"/>
      <c r="U6" s="301"/>
      <c r="V6" s="301"/>
      <c r="W6" s="301"/>
      <c r="X6" s="301"/>
      <c r="Y6" s="301"/>
      <c r="Z6" s="301"/>
      <c r="AA6" s="301"/>
    </row>
    <row r="7" spans="1:27" ht="15.5" x14ac:dyDescent="0.35">
      <c r="A7" s="416" t="s">
        <v>367</v>
      </c>
      <c r="B7" s="413"/>
      <c r="C7" s="409"/>
      <c r="D7" s="441">
        <v>18730372764.250198</v>
      </c>
      <c r="E7" s="441">
        <v>18823468490.521702</v>
      </c>
      <c r="F7" s="441">
        <v>18510938733.808498</v>
      </c>
      <c r="G7" s="441">
        <v>18863229263.6959</v>
      </c>
      <c r="H7" s="441">
        <v>19448558052.728001</v>
      </c>
      <c r="I7" s="442">
        <v>20307330492.242599</v>
      </c>
      <c r="J7" s="301"/>
      <c r="M7" s="301"/>
      <c r="Q7" s="301"/>
      <c r="R7" s="301"/>
      <c r="S7" s="301"/>
      <c r="T7" s="301"/>
      <c r="U7" s="301"/>
      <c r="V7" s="301"/>
      <c r="W7" s="301"/>
      <c r="X7" s="301"/>
      <c r="Y7" s="301"/>
      <c r="Z7" s="301"/>
      <c r="AA7" s="301"/>
    </row>
    <row r="8" spans="1:27" ht="15.5" x14ac:dyDescent="0.35">
      <c r="A8" s="416" t="s">
        <v>368</v>
      </c>
      <c r="B8" s="409"/>
      <c r="C8" s="410"/>
      <c r="D8" s="410">
        <f>D6/$B$1</f>
        <v>18.275714711211194</v>
      </c>
      <c r="E8" s="410">
        <f>E6/$B$1</f>
        <v>18.366550646810921</v>
      </c>
      <c r="F8" s="410">
        <f t="shared" ref="F8" si="0">F6/$B$1</f>
        <v>18.061607187097341</v>
      </c>
      <c r="G8" s="410">
        <f>G6/$B$1</f>
        <v>18.4053462733782</v>
      </c>
      <c r="H8" s="410">
        <f>H6/$B$1</f>
        <v>18.976466885618624</v>
      </c>
      <c r="I8" s="307">
        <f>I6/$B$1</f>
        <v>19.814393621191989</v>
      </c>
      <c r="J8" s="301"/>
      <c r="K8" s="301"/>
      <c r="L8" s="301"/>
      <c r="M8" s="301"/>
      <c r="Q8" s="301"/>
      <c r="R8" s="301"/>
      <c r="S8" s="301"/>
      <c r="T8" s="301"/>
      <c r="U8" s="301"/>
      <c r="V8" s="301"/>
      <c r="W8" s="301"/>
      <c r="X8" s="301"/>
      <c r="Y8" s="301"/>
      <c r="Z8" s="301"/>
      <c r="AA8" s="301"/>
    </row>
    <row r="9" spans="1:27" ht="16" thickBot="1" x14ac:dyDescent="0.4">
      <c r="A9" s="423" t="s">
        <v>369</v>
      </c>
      <c r="B9" s="308"/>
      <c r="C9" s="309"/>
      <c r="D9" s="309">
        <f>D7/$B$1</f>
        <v>13.871267465809312</v>
      </c>
      <c r="E9" s="309">
        <f t="shared" ref="E9:G9" si="1">E7/$B$1</f>
        <v>13.940211940929451</v>
      </c>
      <c r="F9" s="309">
        <f t="shared" si="1"/>
        <v>13.708759855006873</v>
      </c>
      <c r="G9" s="309">
        <f t="shared" si="1"/>
        <v>13.969657821494058</v>
      </c>
      <c r="H9" s="309">
        <f>H7/$B$1</f>
        <v>14.403138366184519</v>
      </c>
      <c r="I9" s="310">
        <f>I7/$B$1</f>
        <v>15.039124758484673</v>
      </c>
      <c r="J9" s="301"/>
      <c r="K9" s="301"/>
      <c r="L9" s="301"/>
      <c r="M9" s="301"/>
      <c r="Q9" s="301"/>
      <c r="R9" s="301"/>
      <c r="S9" s="301"/>
      <c r="T9" s="301"/>
      <c r="U9" s="301"/>
      <c r="V9" s="301"/>
      <c r="W9" s="301"/>
      <c r="X9" s="301"/>
      <c r="Y9" s="301"/>
      <c r="Z9" s="301"/>
      <c r="AA9" s="301"/>
    </row>
    <row r="10" spans="1:27" ht="16" thickBot="1" x14ac:dyDescent="0.4">
      <c r="A10" s="424"/>
      <c r="B10" s="305"/>
      <c r="C10" s="305"/>
      <c r="D10" s="305"/>
      <c r="E10" s="305"/>
      <c r="F10" s="305"/>
      <c r="G10" s="305"/>
      <c r="H10" s="300"/>
      <c r="I10" s="300"/>
      <c r="J10" s="301"/>
      <c r="K10" s="301"/>
      <c r="L10" s="301"/>
      <c r="M10" s="301"/>
      <c r="N10" s="301"/>
      <c r="O10" s="301"/>
      <c r="P10" s="301"/>
      <c r="Q10" s="301"/>
      <c r="R10" s="301"/>
      <c r="S10" s="301"/>
      <c r="T10" s="301"/>
      <c r="U10" s="301"/>
      <c r="V10" s="301"/>
      <c r="W10" s="301"/>
      <c r="X10" s="301"/>
      <c r="Y10" s="301"/>
      <c r="Z10" s="301"/>
      <c r="AA10" s="301"/>
    </row>
    <row r="11" spans="1:27" ht="15.5" x14ac:dyDescent="0.35">
      <c r="A11" s="434" t="s">
        <v>370</v>
      </c>
      <c r="B11" s="435"/>
      <c r="C11" s="444">
        <f>I9*(1+B27)/(B24-B27)</f>
        <v>199.25611445867835</v>
      </c>
      <c r="D11" s="311"/>
      <c r="E11" s="311"/>
      <c r="F11" s="312"/>
      <c r="G11" s="313"/>
      <c r="H11" s="300"/>
      <c r="I11" s="300"/>
      <c r="J11" s="301"/>
      <c r="K11" s="301"/>
      <c r="L11" s="301"/>
      <c r="M11" s="301"/>
      <c r="N11" s="301"/>
      <c r="O11" s="301"/>
      <c r="P11" s="301"/>
      <c r="Q11" s="301"/>
      <c r="R11" s="301"/>
      <c r="S11" s="301"/>
      <c r="T11" s="301"/>
      <c r="U11" s="301"/>
      <c r="V11" s="301"/>
      <c r="W11" s="301"/>
      <c r="X11" s="301"/>
      <c r="Y11" s="301"/>
      <c r="Z11" s="301"/>
      <c r="AA11" s="301"/>
    </row>
    <row r="12" spans="1:27" ht="16" thickBot="1" x14ac:dyDescent="0.4">
      <c r="A12" s="436" t="s">
        <v>371</v>
      </c>
      <c r="B12" s="437"/>
      <c r="C12" s="445">
        <f>I8*B38</f>
        <v>278.59037431395939</v>
      </c>
      <c r="D12" s="311"/>
      <c r="E12" s="311"/>
      <c r="F12" s="312"/>
      <c r="G12" s="300"/>
      <c r="H12" s="300"/>
      <c r="I12" s="300"/>
      <c r="J12" s="301"/>
      <c r="K12" s="301"/>
      <c r="L12" s="301"/>
      <c r="M12" s="301"/>
      <c r="N12" s="301"/>
      <c r="O12" s="301"/>
      <c r="P12" s="301"/>
      <c r="Q12" s="301"/>
      <c r="R12" s="301"/>
      <c r="S12" s="301"/>
      <c r="T12" s="301"/>
      <c r="U12" s="301"/>
      <c r="V12" s="301"/>
      <c r="W12" s="301"/>
      <c r="X12" s="301"/>
      <c r="Y12" s="301"/>
      <c r="Z12" s="301"/>
      <c r="AA12" s="301"/>
    </row>
    <row r="13" spans="1:27" ht="21" customHeight="1" thickBot="1" x14ac:dyDescent="0.4">
      <c r="A13" s="421"/>
      <c r="B13" s="300"/>
      <c r="C13" s="300"/>
      <c r="D13" s="300"/>
      <c r="E13" s="300"/>
      <c r="F13" s="314"/>
      <c r="G13" s="300"/>
      <c r="H13" s="300"/>
      <c r="I13" s="300"/>
      <c r="J13" s="301"/>
      <c r="K13" s="301"/>
      <c r="L13" s="301"/>
      <c r="M13" s="301"/>
      <c r="N13" s="301"/>
      <c r="O13" s="301"/>
      <c r="P13" s="301"/>
      <c r="Q13" s="301"/>
      <c r="R13" s="301"/>
      <c r="S13" s="301"/>
      <c r="T13" s="301"/>
      <c r="U13" s="301"/>
      <c r="V13" s="301"/>
      <c r="W13" s="301"/>
      <c r="X13" s="301"/>
      <c r="Y13" s="301"/>
      <c r="Z13" s="301"/>
      <c r="AA13" s="301"/>
    </row>
    <row r="14" spans="1:27" ht="15.5" x14ac:dyDescent="0.35">
      <c r="A14" s="438" t="s">
        <v>302</v>
      </c>
      <c r="B14" s="435"/>
      <c r="C14" s="315">
        <f>D9</f>
        <v>13.871267465809312</v>
      </c>
      <c r="D14" s="315">
        <f>E9</f>
        <v>13.940211940929451</v>
      </c>
      <c r="E14" s="315">
        <f t="shared" ref="E14" si="2">F9</f>
        <v>13.708759855006873</v>
      </c>
      <c r="F14" s="315">
        <f>G9</f>
        <v>13.969657821494058</v>
      </c>
      <c r="G14" s="315">
        <f>H9</f>
        <v>14.403138366184519</v>
      </c>
      <c r="H14" s="316">
        <f>I9+C11</f>
        <v>214.29523921716302</v>
      </c>
      <c r="I14" s="300"/>
      <c r="J14" s="301"/>
      <c r="K14" s="301"/>
      <c r="L14" s="301"/>
      <c r="M14" s="301"/>
      <c r="N14" s="301"/>
      <c r="O14" s="301"/>
      <c r="P14" s="301"/>
      <c r="Q14" s="301"/>
      <c r="R14" s="301"/>
      <c r="S14" s="301"/>
      <c r="T14" s="301"/>
      <c r="U14" s="301"/>
      <c r="V14" s="301"/>
      <c r="W14" s="301"/>
      <c r="X14" s="301"/>
      <c r="Y14" s="301"/>
      <c r="Z14" s="301"/>
      <c r="AA14" s="301"/>
    </row>
    <row r="15" spans="1:27" ht="15.5" x14ac:dyDescent="0.35">
      <c r="A15" s="439" t="s">
        <v>372</v>
      </c>
      <c r="B15" s="432"/>
      <c r="C15" s="410">
        <f>C14/(1+$B$24)^C16</f>
        <v>12.199952106862618</v>
      </c>
      <c r="D15" s="410">
        <f>D14/(1+$B$24)^D16</f>
        <v>10.783340934782929</v>
      </c>
      <c r="E15" s="410">
        <f>E14/(1+$B$24)^E16</f>
        <v>9.3266162626337348</v>
      </c>
      <c r="F15" s="410">
        <f>F14/(1+$B$24)^F16</f>
        <v>8.3589877358884923</v>
      </c>
      <c r="G15" s="410">
        <f>G14/(1+$B$24)^G16</f>
        <v>7.5799620679127635</v>
      </c>
      <c r="H15" s="307">
        <f>H14/(1+$B$24)^H16</f>
        <v>99.189203362785946</v>
      </c>
      <c r="I15" s="300"/>
      <c r="J15" s="301"/>
      <c r="K15" s="301"/>
      <c r="L15" s="301"/>
      <c r="M15" s="301"/>
      <c r="N15" s="301"/>
      <c r="O15" s="301"/>
      <c r="P15" s="301"/>
      <c r="Q15" s="301"/>
      <c r="R15" s="301"/>
      <c r="S15" s="301"/>
      <c r="T15" s="301"/>
      <c r="U15" s="301"/>
      <c r="V15" s="301"/>
      <c r="W15" s="301"/>
      <c r="X15" s="301"/>
      <c r="Y15" s="301"/>
      <c r="Z15" s="301"/>
      <c r="AA15" s="301"/>
    </row>
    <row r="16" spans="1:27" ht="15.5" x14ac:dyDescent="0.35">
      <c r="A16" s="439" t="s">
        <v>219</v>
      </c>
      <c r="B16" s="432"/>
      <c r="C16" s="413">
        <v>1</v>
      </c>
      <c r="D16" s="413">
        <v>2</v>
      </c>
      <c r="E16" s="413">
        <v>3</v>
      </c>
      <c r="F16" s="413">
        <v>4</v>
      </c>
      <c r="G16" s="413">
        <v>5</v>
      </c>
      <c r="H16" s="411">
        <v>6</v>
      </c>
      <c r="I16" s="300"/>
      <c r="J16" s="301"/>
      <c r="K16" s="301" t="s">
        <v>373</v>
      </c>
      <c r="L16" s="301"/>
      <c r="M16" s="301"/>
      <c r="N16" s="301"/>
      <c r="O16" s="301"/>
      <c r="P16" s="301"/>
      <c r="Q16" s="301"/>
      <c r="R16" s="301"/>
      <c r="S16" s="301"/>
      <c r="T16" s="301"/>
      <c r="U16" s="301"/>
      <c r="V16" s="301"/>
      <c r="W16" s="301"/>
      <c r="X16" s="301"/>
      <c r="Y16" s="301"/>
      <c r="Z16" s="301"/>
      <c r="AA16" s="301"/>
    </row>
    <row r="17" spans="1:27" ht="16" thickBot="1" x14ac:dyDescent="0.4">
      <c r="A17" s="436" t="s">
        <v>303</v>
      </c>
      <c r="B17" s="437"/>
      <c r="C17" s="446">
        <f>SUM(C15:H15)</f>
        <v>147.4380624708665</v>
      </c>
      <c r="D17" s="401" t="s">
        <v>374</v>
      </c>
      <c r="E17" s="402"/>
      <c r="F17" s="402"/>
      <c r="G17" s="402"/>
      <c r="H17" s="412"/>
      <c r="I17" s="300"/>
      <c r="J17" s="301"/>
      <c r="K17" s="301"/>
      <c r="L17" s="301"/>
      <c r="M17" s="301"/>
      <c r="N17" s="301"/>
      <c r="O17" s="301"/>
      <c r="P17" s="301"/>
      <c r="Q17" s="301"/>
      <c r="R17" s="301"/>
      <c r="S17" s="301"/>
      <c r="T17" s="301"/>
      <c r="U17" s="301"/>
      <c r="V17" s="301"/>
      <c r="W17" s="301"/>
      <c r="X17" s="301"/>
      <c r="Y17" s="301"/>
      <c r="Z17" s="301"/>
      <c r="AA17" s="301"/>
    </row>
    <row r="18" spans="1:27" ht="16" thickBot="1" x14ac:dyDescent="0.4">
      <c r="A18" s="421"/>
      <c r="B18" s="300"/>
      <c r="C18" s="300"/>
      <c r="D18" s="300"/>
      <c r="E18" s="300"/>
      <c r="F18" s="300"/>
      <c r="G18" s="300"/>
      <c r="H18" s="300"/>
      <c r="I18" s="300"/>
      <c r="J18" s="301"/>
      <c r="K18" s="301"/>
      <c r="L18" s="301"/>
      <c r="M18" s="301"/>
      <c r="N18" s="301"/>
      <c r="O18" s="301"/>
      <c r="P18" s="301"/>
      <c r="Q18" s="301"/>
      <c r="R18" s="301"/>
      <c r="S18" s="301"/>
      <c r="T18" s="301"/>
      <c r="U18" s="301"/>
      <c r="V18" s="301"/>
      <c r="W18" s="301"/>
      <c r="X18" s="301"/>
      <c r="Y18" s="301"/>
      <c r="Z18" s="301"/>
      <c r="AA18" s="301"/>
    </row>
    <row r="19" spans="1:27" ht="15.5" x14ac:dyDescent="0.35">
      <c r="A19" s="438" t="s">
        <v>375</v>
      </c>
      <c r="B19" s="435"/>
      <c r="C19" s="315">
        <f>D9</f>
        <v>13.871267465809312</v>
      </c>
      <c r="D19" s="315">
        <f>E9</f>
        <v>13.940211940929451</v>
      </c>
      <c r="E19" s="315">
        <f>F9</f>
        <v>13.708759855006873</v>
      </c>
      <c r="F19" s="315">
        <f>G9</f>
        <v>13.969657821494058</v>
      </c>
      <c r="G19" s="315">
        <f>H9</f>
        <v>14.403138366184519</v>
      </c>
      <c r="H19" s="458">
        <f>I9+C12</f>
        <v>293.62949907244405</v>
      </c>
      <c r="I19" s="300"/>
      <c r="J19" s="301"/>
      <c r="K19" s="301"/>
      <c r="L19" s="301"/>
      <c r="M19" s="301"/>
      <c r="N19" s="301"/>
      <c r="O19" s="301"/>
      <c r="P19" s="301"/>
      <c r="Q19" s="301"/>
      <c r="R19" s="301"/>
      <c r="S19" s="301"/>
      <c r="T19" s="301"/>
      <c r="U19" s="301"/>
      <c r="V19" s="301"/>
      <c r="W19" s="301"/>
      <c r="X19" s="301"/>
      <c r="Y19" s="301"/>
      <c r="Z19" s="301"/>
      <c r="AA19" s="301"/>
    </row>
    <row r="20" spans="1:27" ht="15.5" x14ac:dyDescent="0.35">
      <c r="A20" s="439" t="s">
        <v>376</v>
      </c>
      <c r="B20" s="432"/>
      <c r="C20" s="410">
        <f>C19/(1+$B$24)^C16</f>
        <v>12.199952106862618</v>
      </c>
      <c r="D20" s="410">
        <f>D19/(1+$B$24)^D16</f>
        <v>10.783340934782929</v>
      </c>
      <c r="E20" s="410">
        <f>E19/(1+$B$24)^E16</f>
        <v>9.3266162626337348</v>
      </c>
      <c r="F20" s="410">
        <f>F19/(1+$B$24)^F16</f>
        <v>8.3589877358884923</v>
      </c>
      <c r="G20" s="410">
        <f>G19/(1+$B$24)^G16</f>
        <v>7.5799620679127635</v>
      </c>
      <c r="H20" s="307">
        <f>H19/(1+$B$24)^H16</f>
        <v>135.91004729365446</v>
      </c>
      <c r="I20" s="300"/>
      <c r="J20" s="301"/>
      <c r="K20" s="301"/>
      <c r="L20" s="301"/>
      <c r="M20" s="301"/>
      <c r="N20" s="301"/>
      <c r="O20" s="301"/>
      <c r="P20" s="301"/>
      <c r="Q20" s="301"/>
      <c r="R20" s="301"/>
      <c r="S20" s="301"/>
      <c r="T20" s="301"/>
      <c r="U20" s="301"/>
      <c r="V20" s="301"/>
      <c r="W20" s="301"/>
      <c r="X20" s="301"/>
      <c r="Y20" s="301"/>
      <c r="Z20" s="301"/>
      <c r="AA20" s="301"/>
    </row>
    <row r="21" spans="1:27" ht="16" thickBot="1" x14ac:dyDescent="0.4">
      <c r="A21" s="436" t="s">
        <v>303</v>
      </c>
      <c r="B21" s="437"/>
      <c r="C21" s="446">
        <f>SUM(C20:H20)</f>
        <v>184.15890640173501</v>
      </c>
      <c r="D21" s="401" t="s">
        <v>377</v>
      </c>
      <c r="E21" s="402"/>
      <c r="F21" s="402"/>
      <c r="G21" s="402"/>
      <c r="H21" s="412"/>
      <c r="I21" s="300"/>
      <c r="J21" s="301"/>
      <c r="K21" s="301"/>
      <c r="L21" s="301"/>
      <c r="M21" s="301"/>
      <c r="N21" s="301"/>
      <c r="O21" s="301"/>
      <c r="P21" s="301"/>
      <c r="Q21" s="301"/>
      <c r="R21" s="301"/>
      <c r="S21" s="301"/>
      <c r="T21" s="301"/>
      <c r="U21" s="301"/>
      <c r="V21" s="301"/>
      <c r="W21" s="301"/>
      <c r="X21" s="301"/>
      <c r="Y21" s="301"/>
      <c r="Z21" s="301"/>
      <c r="AA21" s="301"/>
    </row>
    <row r="22" spans="1:27" ht="15.5" x14ac:dyDescent="0.35">
      <c r="A22" s="456"/>
      <c r="B22" s="457"/>
      <c r="C22" s="300"/>
      <c r="D22" s="300"/>
      <c r="E22" s="300"/>
      <c r="F22" s="300"/>
      <c r="G22" s="300"/>
      <c r="H22" s="300"/>
      <c r="I22" s="300"/>
      <c r="J22" s="301"/>
      <c r="K22" s="301"/>
      <c r="L22" s="301"/>
      <c r="M22" s="301"/>
      <c r="N22" s="301"/>
      <c r="O22" s="301"/>
      <c r="P22" s="301"/>
      <c r="Q22" s="301"/>
      <c r="R22" s="301"/>
      <c r="S22" s="301"/>
      <c r="T22" s="301"/>
      <c r="U22" s="301"/>
      <c r="V22" s="301"/>
      <c r="W22" s="301"/>
      <c r="X22" s="301"/>
      <c r="Y22" s="301"/>
      <c r="Z22" s="301"/>
      <c r="AA22" s="301"/>
    </row>
    <row r="23" spans="1:27" ht="15.5" x14ac:dyDescent="0.35">
      <c r="A23" s="415" t="s">
        <v>412</v>
      </c>
      <c r="B23" s="317">
        <v>256.5</v>
      </c>
      <c r="C23" s="447" t="s">
        <v>378</v>
      </c>
      <c r="D23" s="448"/>
      <c r="E23" s="448"/>
      <c r="F23" s="448"/>
      <c r="G23" s="448"/>
      <c r="H23" s="300"/>
      <c r="I23" s="300"/>
      <c r="J23" s="301"/>
      <c r="K23" s="301"/>
      <c r="L23" s="301"/>
      <c r="M23" s="301"/>
      <c r="N23" s="301"/>
      <c r="O23" s="301"/>
      <c r="P23" s="301"/>
      <c r="Q23" s="301"/>
      <c r="R23" s="301"/>
      <c r="S23" s="301"/>
      <c r="T23" s="301"/>
      <c r="U23" s="301"/>
      <c r="V23" s="301"/>
      <c r="W23" s="301"/>
      <c r="X23" s="301"/>
      <c r="Y23" s="301"/>
      <c r="Z23" s="301"/>
      <c r="AA23" s="301"/>
    </row>
    <row r="24" spans="1:27" ht="15.5" x14ac:dyDescent="0.35">
      <c r="A24" s="415" t="s">
        <v>304</v>
      </c>
      <c r="B24" s="318">
        <f>B26+B25*(B28-B26)</f>
        <v>0.13699359999999999</v>
      </c>
      <c r="C24" s="403"/>
      <c r="D24" s="394"/>
      <c r="E24" s="394"/>
      <c r="F24" s="394"/>
      <c r="G24" s="394"/>
      <c r="H24" s="319"/>
      <c r="I24" s="319"/>
      <c r="J24" s="301"/>
      <c r="K24" s="301"/>
      <c r="L24" s="301"/>
      <c r="M24" s="301"/>
      <c r="N24" s="301"/>
      <c r="O24" s="301"/>
      <c r="P24" s="301"/>
      <c r="Q24" s="301"/>
      <c r="R24" s="301"/>
      <c r="S24" s="301"/>
      <c r="T24" s="301"/>
      <c r="U24" s="301"/>
      <c r="V24" s="301"/>
      <c r="W24" s="301"/>
      <c r="X24" s="301"/>
      <c r="Y24" s="301"/>
      <c r="Z24" s="301"/>
      <c r="AA24" s="301"/>
    </row>
    <row r="25" spans="1:27" ht="15.5" x14ac:dyDescent="0.35">
      <c r="A25" s="416" t="s">
        <v>305</v>
      </c>
      <c r="B25" s="320">
        <v>0.85099999999999998</v>
      </c>
      <c r="C25" s="396" t="s">
        <v>379</v>
      </c>
      <c r="D25" s="394"/>
      <c r="E25" s="394"/>
      <c r="F25" s="394"/>
      <c r="G25" s="394"/>
      <c r="H25" s="321"/>
      <c r="I25" s="321"/>
      <c r="J25" s="301"/>
      <c r="K25" s="301"/>
      <c r="L25" s="301"/>
      <c r="M25" s="301"/>
      <c r="N25" s="301"/>
      <c r="O25" s="301"/>
      <c r="P25" s="301"/>
      <c r="Q25" s="301"/>
      <c r="R25" s="301"/>
      <c r="S25" s="301"/>
      <c r="T25" s="301"/>
      <c r="U25" s="301"/>
      <c r="V25" s="301"/>
      <c r="W25" s="301"/>
      <c r="X25" s="301"/>
      <c r="Y25" s="301"/>
      <c r="Z25" s="301"/>
      <c r="AA25" s="301"/>
    </row>
    <row r="26" spans="1:27" ht="15.5" x14ac:dyDescent="0.35">
      <c r="A26" s="416" t="s">
        <v>306</v>
      </c>
      <c r="B26" s="180">
        <v>0.1084</v>
      </c>
      <c r="C26" s="451" t="s">
        <v>410</v>
      </c>
      <c r="D26" s="450"/>
      <c r="E26" s="450"/>
      <c r="F26" s="450"/>
      <c r="G26" s="450"/>
      <c r="H26" s="322"/>
      <c r="I26" s="322"/>
      <c r="J26" s="301"/>
      <c r="K26" s="301"/>
      <c r="L26" s="301"/>
      <c r="M26" s="301"/>
      <c r="N26" s="301"/>
      <c r="O26" s="301"/>
      <c r="P26" s="301"/>
      <c r="Q26" s="301"/>
      <c r="R26" s="301"/>
      <c r="S26" s="301"/>
      <c r="T26" s="301"/>
      <c r="U26" s="301"/>
      <c r="V26" s="301"/>
      <c r="W26" s="301"/>
      <c r="X26" s="301"/>
      <c r="Y26" s="301"/>
      <c r="Z26" s="301"/>
      <c r="AA26" s="301"/>
    </row>
    <row r="27" spans="1:27" ht="15.5" x14ac:dyDescent="0.35">
      <c r="A27" s="416" t="s">
        <v>380</v>
      </c>
      <c r="B27" s="323">
        <v>5.7200000000000001E-2</v>
      </c>
      <c r="C27" s="449" t="s">
        <v>409</v>
      </c>
      <c r="D27" s="394"/>
      <c r="E27" s="394"/>
      <c r="F27" s="394"/>
      <c r="G27" s="394"/>
      <c r="H27" s="322"/>
      <c r="I27" s="322"/>
      <c r="J27" s="301"/>
      <c r="K27" s="301"/>
      <c r="L27" s="301"/>
      <c r="M27" s="301"/>
      <c r="N27" s="301"/>
      <c r="O27" s="301"/>
      <c r="P27" s="301"/>
      <c r="Q27" s="301"/>
      <c r="R27" s="301"/>
      <c r="S27" s="301"/>
      <c r="T27" s="301"/>
      <c r="U27" s="301"/>
      <c r="V27" s="301"/>
      <c r="W27" s="301"/>
      <c r="X27" s="301"/>
      <c r="Y27" s="301"/>
      <c r="Z27" s="301"/>
      <c r="AA27" s="301"/>
    </row>
    <row r="28" spans="1:27" ht="15.5" x14ac:dyDescent="0.35">
      <c r="A28" s="416" t="s">
        <v>381</v>
      </c>
      <c r="B28" s="323">
        <v>0.14199999999999999</v>
      </c>
      <c r="C28" s="395" t="s">
        <v>382</v>
      </c>
      <c r="D28" s="394"/>
      <c r="E28" s="394"/>
      <c r="F28" s="394"/>
      <c r="G28" s="394"/>
      <c r="H28" s="324"/>
      <c r="I28" s="324"/>
      <c r="J28" s="301"/>
      <c r="K28" s="301"/>
      <c r="L28" s="301"/>
      <c r="M28" s="301"/>
      <c r="N28" s="301"/>
      <c r="O28" s="301"/>
      <c r="P28" s="301"/>
      <c r="Q28" s="301"/>
      <c r="R28" s="301"/>
      <c r="S28" s="301"/>
      <c r="T28" s="301"/>
      <c r="U28" s="301"/>
      <c r="V28" s="301"/>
      <c r="W28" s="301"/>
      <c r="X28" s="301"/>
      <c r="Y28" s="301"/>
      <c r="Z28" s="301"/>
      <c r="AA28" s="301"/>
    </row>
    <row r="29" spans="1:27" ht="15.5" x14ac:dyDescent="0.35">
      <c r="A29" s="417" t="s">
        <v>504</v>
      </c>
      <c r="B29" s="325">
        <f>G75</f>
        <v>12.600956565197221</v>
      </c>
      <c r="C29" s="396"/>
      <c r="D29" s="394"/>
      <c r="E29" s="394"/>
      <c r="F29" s="394"/>
      <c r="G29" s="394"/>
      <c r="H29" s="321"/>
      <c r="I29" s="321"/>
      <c r="J29" s="301"/>
      <c r="K29" s="301"/>
      <c r="L29" s="301"/>
      <c r="M29" s="301"/>
      <c r="N29" s="301"/>
      <c r="O29" s="301"/>
      <c r="P29" s="301"/>
      <c r="Q29" s="301"/>
      <c r="R29" s="301"/>
      <c r="S29" s="301"/>
      <c r="T29" s="301"/>
      <c r="U29" s="301"/>
      <c r="V29" s="301"/>
      <c r="W29" s="301"/>
      <c r="X29" s="301"/>
      <c r="Y29" s="301"/>
      <c r="Z29" s="301"/>
      <c r="AA29" s="301"/>
    </row>
    <row r="30" spans="1:27" ht="15.5" x14ac:dyDescent="0.35">
      <c r="A30" s="418"/>
      <c r="B30" s="325"/>
      <c r="C30" s="300"/>
      <c r="D30" s="300"/>
      <c r="E30" s="300"/>
      <c r="F30" s="300"/>
      <c r="G30" s="300"/>
      <c r="H30" s="300"/>
      <c r="I30" s="300"/>
      <c r="J30" s="301"/>
      <c r="K30" s="301"/>
      <c r="L30" s="301"/>
      <c r="M30" s="301"/>
      <c r="N30" s="301"/>
      <c r="O30" s="301"/>
      <c r="P30" s="301"/>
      <c r="Q30" s="301"/>
      <c r="R30" s="301"/>
      <c r="S30" s="301"/>
      <c r="T30" s="301"/>
      <c r="U30" s="301"/>
      <c r="V30" s="301"/>
      <c r="W30" s="301"/>
      <c r="X30" s="301"/>
      <c r="Y30" s="301"/>
      <c r="Z30" s="301"/>
      <c r="AA30" s="301"/>
    </row>
    <row r="31" spans="1:27" ht="15.5" x14ac:dyDescent="0.35">
      <c r="A31" s="415" t="s">
        <v>411</v>
      </c>
      <c r="B31" s="326" t="s">
        <v>327</v>
      </c>
      <c r="C31" s="301"/>
      <c r="D31" s="319"/>
      <c r="E31" s="319"/>
      <c r="F31" s="319"/>
      <c r="G31" s="319"/>
      <c r="H31" s="300"/>
      <c r="I31" s="300"/>
      <c r="J31" s="301"/>
      <c r="K31" s="301"/>
      <c r="L31" s="301"/>
      <c r="M31" s="301"/>
      <c r="N31" s="301"/>
      <c r="O31" s="301"/>
      <c r="P31" s="301"/>
      <c r="Q31" s="301"/>
      <c r="R31" s="301"/>
      <c r="S31" s="301"/>
      <c r="T31" s="301"/>
      <c r="U31" s="301"/>
      <c r="V31" s="301"/>
      <c r="W31" s="301"/>
      <c r="X31" s="301"/>
      <c r="Y31" s="301"/>
      <c r="Z31" s="301"/>
      <c r="AA31" s="301"/>
    </row>
    <row r="32" spans="1:27" ht="15.5" x14ac:dyDescent="0.35">
      <c r="A32" s="452" t="s">
        <v>341</v>
      </c>
      <c r="B32" s="454">
        <v>9.5399999999999991</v>
      </c>
      <c r="C32" s="321"/>
      <c r="D32" s="321"/>
      <c r="E32" s="321"/>
      <c r="H32" s="300"/>
      <c r="I32" s="300"/>
      <c r="J32" s="301"/>
      <c r="K32" s="301"/>
      <c r="L32" s="301"/>
      <c r="M32" s="301"/>
      <c r="N32" s="301"/>
      <c r="O32" s="301"/>
      <c r="P32" s="301"/>
      <c r="Q32" s="301"/>
      <c r="R32" s="301"/>
      <c r="S32" s="301"/>
      <c r="T32" s="301"/>
      <c r="U32" s="301"/>
      <c r="V32" s="301"/>
      <c r="W32" s="301"/>
      <c r="X32" s="301"/>
      <c r="Y32" s="301"/>
      <c r="Z32" s="301"/>
      <c r="AA32" s="301"/>
    </row>
    <row r="33" spans="1:27" ht="15.5" x14ac:dyDescent="0.35">
      <c r="A33" s="453"/>
      <c r="B33" s="455"/>
      <c r="C33" s="321"/>
      <c r="D33" s="321"/>
      <c r="E33" s="321"/>
      <c r="H33" s="300"/>
      <c r="I33" s="300"/>
      <c r="J33" s="301"/>
      <c r="K33" s="301"/>
      <c r="L33" s="301"/>
      <c r="M33" s="301"/>
      <c r="N33" s="301"/>
      <c r="O33" s="301"/>
      <c r="P33" s="301"/>
      <c r="Q33" s="301"/>
      <c r="R33" s="301"/>
      <c r="S33" s="301"/>
      <c r="T33" s="301"/>
      <c r="U33" s="301"/>
      <c r="V33" s="301"/>
      <c r="W33" s="301"/>
      <c r="X33" s="301"/>
      <c r="Y33" s="301"/>
      <c r="Z33" s="301"/>
      <c r="AA33" s="301"/>
    </row>
    <row r="34" spans="1:27" ht="15.5" x14ac:dyDescent="0.35">
      <c r="A34" s="452" t="s">
        <v>342</v>
      </c>
      <c r="B34" s="454">
        <v>21.19</v>
      </c>
      <c r="C34" s="321"/>
      <c r="D34" s="321"/>
      <c r="E34" s="321"/>
      <c r="H34" s="300"/>
      <c r="I34" s="300"/>
      <c r="J34" s="301"/>
      <c r="K34" s="301"/>
      <c r="L34" s="301"/>
      <c r="M34" s="301"/>
      <c r="N34" s="301"/>
      <c r="O34" s="301"/>
      <c r="P34" s="301"/>
      <c r="Q34" s="301"/>
      <c r="R34" s="301"/>
      <c r="S34" s="301"/>
      <c r="T34" s="301"/>
      <c r="U34" s="301"/>
      <c r="V34" s="301"/>
      <c r="W34" s="301"/>
      <c r="X34" s="301"/>
      <c r="Y34" s="301"/>
      <c r="Z34" s="301"/>
      <c r="AA34" s="301"/>
    </row>
    <row r="35" spans="1:27" ht="15.5" x14ac:dyDescent="0.35">
      <c r="A35" s="453"/>
      <c r="B35" s="455"/>
      <c r="C35" s="321"/>
      <c r="D35" s="321"/>
      <c r="E35" s="321"/>
      <c r="H35" s="300"/>
      <c r="I35" s="300"/>
      <c r="J35" s="301"/>
      <c r="K35" s="301"/>
      <c r="L35" s="301"/>
      <c r="M35" s="301"/>
      <c r="N35" s="301"/>
      <c r="O35" s="301"/>
      <c r="P35" s="301"/>
      <c r="Q35" s="301"/>
      <c r="R35" s="301"/>
      <c r="S35" s="301"/>
      <c r="T35" s="301"/>
      <c r="U35" s="301"/>
      <c r="V35" s="301"/>
      <c r="W35" s="301"/>
      <c r="X35" s="301"/>
      <c r="Y35" s="301"/>
      <c r="Z35" s="301"/>
      <c r="AA35" s="301"/>
    </row>
    <row r="36" spans="1:27" ht="15.5" x14ac:dyDescent="0.35">
      <c r="A36" s="452" t="s">
        <v>343</v>
      </c>
      <c r="B36" s="454">
        <v>11.45</v>
      </c>
      <c r="C36" s="321"/>
      <c r="D36" s="321"/>
      <c r="E36" s="321"/>
      <c r="H36" s="300"/>
      <c r="I36" s="300"/>
      <c r="J36" s="301"/>
      <c r="K36" s="301"/>
      <c r="L36" s="301"/>
      <c r="M36" s="301"/>
      <c r="N36" s="301"/>
      <c r="O36" s="301"/>
      <c r="P36" s="301"/>
      <c r="Q36" s="301"/>
      <c r="R36" s="301"/>
      <c r="S36" s="301"/>
      <c r="T36" s="301"/>
      <c r="U36" s="301"/>
      <c r="V36" s="301"/>
      <c r="W36" s="301"/>
      <c r="X36" s="301"/>
      <c r="Y36" s="301"/>
      <c r="Z36" s="301"/>
      <c r="AA36" s="301"/>
    </row>
    <row r="37" spans="1:27" ht="15.5" x14ac:dyDescent="0.35">
      <c r="A37" s="453"/>
      <c r="B37" s="455"/>
      <c r="C37" s="321"/>
      <c r="D37" s="321"/>
      <c r="E37" s="321"/>
      <c r="H37" s="300"/>
      <c r="I37" s="300"/>
      <c r="J37" s="301"/>
      <c r="K37" s="301"/>
      <c r="L37" s="301"/>
      <c r="M37" s="301"/>
      <c r="N37" s="301"/>
      <c r="O37" s="301"/>
      <c r="P37" s="301"/>
      <c r="Q37" s="301"/>
      <c r="R37" s="301"/>
      <c r="S37" s="301"/>
      <c r="T37" s="301"/>
      <c r="U37" s="301"/>
      <c r="V37" s="301"/>
      <c r="W37" s="301"/>
      <c r="X37" s="301"/>
      <c r="Y37" s="301"/>
      <c r="Z37" s="301"/>
      <c r="AA37" s="301"/>
    </row>
    <row r="38" spans="1:27" ht="16" thickBot="1" x14ac:dyDescent="0.4">
      <c r="A38" s="419" t="s">
        <v>383</v>
      </c>
      <c r="B38" s="445">
        <f>AVERAGE(B32:B37)</f>
        <v>14.06</v>
      </c>
      <c r="C38" s="319"/>
      <c r="D38" s="319"/>
      <c r="E38" s="319"/>
      <c r="F38" s="319"/>
      <c r="G38" s="319"/>
      <c r="H38" s="300"/>
      <c r="I38" s="300"/>
      <c r="J38" s="301"/>
      <c r="K38" s="301"/>
      <c r="L38" s="301"/>
      <c r="M38" s="301"/>
      <c r="N38" s="301"/>
      <c r="O38" s="301"/>
      <c r="P38" s="301"/>
      <c r="Q38" s="301"/>
      <c r="R38" s="301"/>
      <c r="S38" s="301"/>
      <c r="T38" s="301"/>
      <c r="U38" s="301"/>
      <c r="V38" s="301"/>
      <c r="W38" s="301"/>
      <c r="X38" s="301"/>
      <c r="Y38" s="301"/>
      <c r="Z38" s="301"/>
      <c r="AA38" s="301"/>
    </row>
    <row r="39" spans="1:27" ht="15.5" x14ac:dyDescent="0.35">
      <c r="A39" s="420"/>
      <c r="B39" s="312"/>
      <c r="C39" s="319"/>
      <c r="D39" s="319"/>
      <c r="E39" s="319"/>
      <c r="F39" s="319"/>
      <c r="G39" s="319"/>
      <c r="H39" s="300"/>
      <c r="I39" s="300"/>
      <c r="J39" s="301"/>
      <c r="K39" s="301"/>
      <c r="L39" s="301"/>
      <c r="M39" s="301"/>
      <c r="N39" s="301"/>
      <c r="O39" s="301"/>
      <c r="P39" s="301"/>
      <c r="Q39" s="301"/>
      <c r="R39" s="301"/>
      <c r="S39" s="301"/>
      <c r="T39" s="301"/>
      <c r="U39" s="301"/>
      <c r="V39" s="301"/>
      <c r="W39" s="301"/>
      <c r="X39" s="301"/>
      <c r="Y39" s="301"/>
      <c r="Z39" s="301"/>
      <c r="AA39" s="301"/>
    </row>
    <row r="40" spans="1:27" ht="15" customHeight="1" x14ac:dyDescent="0.35">
      <c r="A40" s="421"/>
      <c r="B40" s="300"/>
      <c r="C40" s="300"/>
      <c r="D40" s="300"/>
      <c r="E40" s="300"/>
      <c r="F40" s="300"/>
      <c r="G40" s="300"/>
      <c r="H40" s="300"/>
      <c r="I40" s="300"/>
      <c r="J40" s="301"/>
      <c r="K40" s="301"/>
      <c r="L40" s="301"/>
      <c r="M40" s="301"/>
      <c r="N40" s="301"/>
      <c r="O40" s="301"/>
      <c r="P40" s="301"/>
      <c r="Q40" s="301"/>
      <c r="R40" s="301"/>
      <c r="S40" s="301"/>
      <c r="T40" s="301"/>
      <c r="U40" s="301"/>
      <c r="V40" s="301"/>
      <c r="W40" s="301"/>
      <c r="X40" s="301"/>
      <c r="Y40" s="301"/>
      <c r="Z40" s="301"/>
      <c r="AA40" s="301"/>
    </row>
    <row r="41" spans="1:27" ht="15.5" x14ac:dyDescent="0.35">
      <c r="A41" s="422"/>
      <c r="B41" s="327"/>
      <c r="C41" s="327"/>
      <c r="D41" s="327"/>
      <c r="E41" s="327"/>
      <c r="F41" s="327"/>
      <c r="G41" s="300"/>
      <c r="H41" s="300"/>
      <c r="I41" s="300"/>
      <c r="J41" s="301"/>
      <c r="K41" s="301"/>
      <c r="L41" s="301"/>
      <c r="M41" s="301"/>
      <c r="N41" s="301"/>
      <c r="O41" s="301"/>
      <c r="P41" s="301"/>
      <c r="Q41" s="301"/>
      <c r="R41" s="301"/>
      <c r="S41" s="301"/>
      <c r="T41" s="301"/>
      <c r="U41" s="301"/>
      <c r="V41" s="301"/>
      <c r="W41" s="301"/>
      <c r="X41" s="301"/>
      <c r="Y41" s="301"/>
      <c r="Z41" s="301"/>
      <c r="AA41" s="301"/>
    </row>
    <row r="42" spans="1:27" ht="20" x14ac:dyDescent="0.35">
      <c r="A42" s="397" t="s">
        <v>384</v>
      </c>
      <c r="B42" s="398"/>
      <c r="C42" s="398"/>
      <c r="D42" s="398"/>
      <c r="E42" s="398"/>
      <c r="F42" s="398"/>
      <c r="G42" s="399"/>
      <c r="H42" s="300"/>
      <c r="I42" s="300"/>
      <c r="J42" s="301"/>
      <c r="K42" s="301"/>
      <c r="L42" s="301"/>
      <c r="M42" s="301"/>
      <c r="N42" s="301"/>
      <c r="O42" s="301"/>
      <c r="P42" s="301"/>
      <c r="Q42" s="301"/>
      <c r="R42" s="301"/>
      <c r="S42" s="301"/>
      <c r="T42" s="301"/>
    </row>
    <row r="43" spans="1:27" ht="15.5" x14ac:dyDescent="0.35">
      <c r="A43" s="459" t="s">
        <v>217</v>
      </c>
      <c r="B43" s="393" t="s">
        <v>304</v>
      </c>
      <c r="C43" s="393"/>
      <c r="D43" s="393"/>
      <c r="E43" s="393"/>
      <c r="F43" s="393"/>
      <c r="G43" s="400"/>
      <c r="H43" s="300"/>
      <c r="I43" s="300"/>
      <c r="J43" s="301"/>
      <c r="K43" s="301"/>
      <c r="L43" s="301"/>
      <c r="M43" s="301"/>
      <c r="N43" s="301"/>
      <c r="O43" s="301"/>
      <c r="P43" s="301"/>
      <c r="Q43" s="301"/>
      <c r="R43" s="301"/>
      <c r="S43" s="301"/>
    </row>
    <row r="44" spans="1:27" ht="15.5" x14ac:dyDescent="0.35">
      <c r="A44" s="460">
        <f>C17</f>
        <v>147.4380624708665</v>
      </c>
      <c r="B44" s="328">
        <f>C44-0.005</f>
        <v>0.127</v>
      </c>
      <c r="C44" s="328">
        <f>D44-0.005</f>
        <v>0.13200000000000001</v>
      </c>
      <c r="D44" s="328">
        <v>0.13700000000000001</v>
      </c>
      <c r="E44" s="328">
        <f>D44+0.005</f>
        <v>0.14200000000000002</v>
      </c>
      <c r="F44" s="328">
        <f t="shared" ref="F44:G44" si="3">E44+0.005</f>
        <v>0.14700000000000002</v>
      </c>
      <c r="G44" s="329">
        <f t="shared" si="3"/>
        <v>0.15200000000000002</v>
      </c>
      <c r="H44" s="300"/>
      <c r="I44" s="300"/>
      <c r="J44" s="301"/>
      <c r="K44" s="301"/>
      <c r="L44" s="301"/>
      <c r="M44" s="301"/>
      <c r="N44" s="301"/>
      <c r="O44" s="301"/>
      <c r="P44" s="301"/>
      <c r="Q44" s="301"/>
      <c r="R44" s="301"/>
      <c r="S44" s="301"/>
    </row>
    <row r="45" spans="1:27" ht="15.5" x14ac:dyDescent="0.35">
      <c r="A45" s="461">
        <v>4.4999999999999998E-2</v>
      </c>
      <c r="B45" s="306">
        <f t="dataTable" ref="B45:G51" dt2D="1" dtr="1" r1="B24" r2="B27" ca="1"/>
        <v>150.31828870713335</v>
      </c>
      <c r="C45" s="306">
        <v>141.83662020428827</v>
      </c>
      <c r="D45" s="306">
        <v>134.27464118501217</v>
      </c>
      <c r="E45" s="306">
        <v>127.49017493769733</v>
      </c>
      <c r="F45" s="306">
        <v>121.3689214831972</v>
      </c>
      <c r="G45" s="330">
        <v>115.81794435021135</v>
      </c>
      <c r="H45" s="300"/>
      <c r="I45" s="300"/>
      <c r="J45" s="301"/>
      <c r="K45" s="301"/>
      <c r="L45" s="301"/>
      <c r="M45" s="301"/>
      <c r="N45" s="301"/>
      <c r="O45" s="301"/>
      <c r="P45" s="301"/>
      <c r="Q45" s="301"/>
      <c r="R45" s="301"/>
      <c r="S45" s="301"/>
    </row>
    <row r="46" spans="1:27" ht="15.5" x14ac:dyDescent="0.35">
      <c r="A46" s="461">
        <v>0.05</v>
      </c>
      <c r="B46" s="306">
        <v>156.8686975705113</v>
      </c>
      <c r="C46" s="306">
        <v>147.50719818496123</v>
      </c>
      <c r="D46" s="306">
        <v>139.21869470061074</v>
      </c>
      <c r="E46" s="306">
        <v>131.82830416807258</v>
      </c>
      <c r="F46" s="306">
        <v>125.19720039332353</v>
      </c>
      <c r="G46" s="330">
        <v>119.21377654587738</v>
      </c>
      <c r="H46" s="300"/>
      <c r="I46" s="300"/>
      <c r="J46" s="301"/>
      <c r="K46" s="301"/>
      <c r="L46" s="301"/>
      <c r="M46" s="301"/>
      <c r="N46" s="301"/>
      <c r="O46" s="301"/>
      <c r="P46" s="301"/>
      <c r="Q46" s="301"/>
      <c r="R46" s="301"/>
      <c r="S46" s="301"/>
    </row>
    <row r="47" spans="1:27" ht="16" thickBot="1" x14ac:dyDescent="0.4">
      <c r="A47" s="461">
        <v>5.5E-2</v>
      </c>
      <c r="B47" s="306">
        <v>164.3288854426917</v>
      </c>
      <c r="C47" s="306">
        <v>153.91421486442286</v>
      </c>
      <c r="D47" s="306">
        <v>144.76568157177013</v>
      </c>
      <c r="E47" s="306">
        <v>136.66506894216911</v>
      </c>
      <c r="F47" s="306">
        <v>129.44159657628961</v>
      </c>
      <c r="G47" s="330">
        <v>122.95969453491099</v>
      </c>
      <c r="H47" s="300"/>
      <c r="I47" s="300"/>
      <c r="J47" s="301"/>
      <c r="K47" s="301"/>
      <c r="L47" s="301"/>
      <c r="M47" s="301"/>
      <c r="N47" s="301"/>
      <c r="O47" s="301"/>
      <c r="P47" s="301"/>
      <c r="Q47" s="301"/>
      <c r="R47" s="301"/>
      <c r="S47" s="301"/>
    </row>
    <row r="48" spans="1:27" ht="20.5" thickBot="1" x14ac:dyDescent="0.4">
      <c r="A48" s="461">
        <v>5.7200000000000001E-2</v>
      </c>
      <c r="B48" s="306">
        <v>167.94996230672427</v>
      </c>
      <c r="C48" s="306">
        <v>157.00465820392787</v>
      </c>
      <c r="D48" s="331">
        <v>147.42656700319847</v>
      </c>
      <c r="E48" s="306">
        <v>138.97393967395485</v>
      </c>
      <c r="F48" s="306">
        <v>131.45886638797106</v>
      </c>
      <c r="G48" s="330">
        <v>124.7330784942763</v>
      </c>
      <c r="H48" s="300"/>
      <c r="I48" s="300"/>
      <c r="J48" s="301"/>
      <c r="K48" s="301"/>
      <c r="L48" s="301"/>
      <c r="M48" s="301"/>
      <c r="N48" s="301"/>
      <c r="O48" s="301"/>
      <c r="P48" s="301"/>
      <c r="Q48" s="301"/>
      <c r="R48" s="301"/>
      <c r="S48" s="301"/>
    </row>
    <row r="49" spans="1:27" ht="15.5" x14ac:dyDescent="0.35">
      <c r="A49" s="461">
        <v>0.06</v>
      </c>
      <c r="B49" s="306">
        <v>172.90253419131699</v>
      </c>
      <c r="C49" s="306">
        <v>161.2110949715875</v>
      </c>
      <c r="D49" s="306">
        <v>151.0330563482749</v>
      </c>
      <c r="E49" s="306">
        <v>142.09168307896039</v>
      </c>
      <c r="F49" s="306">
        <v>134.17385438948173</v>
      </c>
      <c r="G49" s="330">
        <v>127.11277752275262</v>
      </c>
      <c r="H49" s="300"/>
      <c r="I49" s="300"/>
      <c r="J49" s="300"/>
      <c r="K49" s="300"/>
      <c r="L49" s="300"/>
      <c r="M49" s="300"/>
      <c r="N49" s="300"/>
      <c r="O49" s="300"/>
      <c r="P49" s="300"/>
      <c r="Q49" s="300"/>
      <c r="R49" s="300"/>
      <c r="S49" s="300"/>
    </row>
    <row r="50" spans="1:27" ht="15.5" x14ac:dyDescent="0.35">
      <c r="A50" s="461">
        <v>6.5000000000000002E-2</v>
      </c>
      <c r="B50" s="306">
        <v>182.85902951230119</v>
      </c>
      <c r="C50" s="306">
        <v>169.59706166191103</v>
      </c>
      <c r="D50" s="306">
        <v>158.17089984373865</v>
      </c>
      <c r="E50" s="306">
        <v>148.22305229845179</v>
      </c>
      <c r="F50" s="306">
        <v>139.48321681403871</v>
      </c>
      <c r="G50" s="330">
        <v>131.74322637126571</v>
      </c>
      <c r="H50" s="300"/>
      <c r="I50" s="300"/>
      <c r="J50" s="300"/>
      <c r="K50" s="300"/>
      <c r="L50" s="300"/>
      <c r="M50" s="300"/>
      <c r="N50" s="300"/>
      <c r="O50" s="300"/>
      <c r="P50" s="300"/>
      <c r="Q50" s="300"/>
      <c r="R50" s="300"/>
      <c r="S50" s="300"/>
    </row>
    <row r="51" spans="1:27" ht="15.5" x14ac:dyDescent="0.35">
      <c r="A51" s="462">
        <v>7.0000000000000007E-2</v>
      </c>
      <c r="B51" s="332">
        <v>194.56227839837032</v>
      </c>
      <c r="C51" s="332">
        <v>179.33560362486742</v>
      </c>
      <c r="D51" s="332">
        <v>166.37409311464478</v>
      </c>
      <c r="E51" s="332">
        <v>155.20600057620592</v>
      </c>
      <c r="F51" s="332">
        <v>145.48210682620052</v>
      </c>
      <c r="G51" s="333">
        <v>136.93836410374382</v>
      </c>
      <c r="H51" s="300"/>
      <c r="I51" s="300"/>
      <c r="J51" s="300"/>
      <c r="K51" s="300"/>
      <c r="L51" s="300"/>
      <c r="M51" s="300"/>
      <c r="N51" s="300"/>
      <c r="O51" s="300"/>
      <c r="P51" s="300"/>
      <c r="Q51" s="300"/>
      <c r="R51" s="300"/>
      <c r="S51" s="300"/>
    </row>
    <row r="52" spans="1:27" ht="15.5" x14ac:dyDescent="0.35">
      <c r="A52" s="461"/>
      <c r="B52" s="314"/>
      <c r="C52" s="314"/>
      <c r="D52" s="314"/>
      <c r="E52" s="314"/>
      <c r="F52" s="314"/>
      <c r="G52" s="334"/>
      <c r="H52" s="300"/>
      <c r="I52" s="300"/>
      <c r="J52" s="300"/>
      <c r="K52" s="300"/>
      <c r="L52" s="300"/>
      <c r="M52" s="300"/>
      <c r="N52" s="300"/>
      <c r="O52" s="300"/>
      <c r="P52" s="300"/>
      <c r="Q52" s="300"/>
      <c r="R52" s="300"/>
      <c r="S52" s="300"/>
    </row>
    <row r="53" spans="1:27" ht="15.5" x14ac:dyDescent="0.35">
      <c r="A53" s="463" t="s">
        <v>385</v>
      </c>
      <c r="B53" s="335">
        <f>MIN(B45:G51)</f>
        <v>115.81794435021135</v>
      </c>
      <c r="C53" s="336"/>
      <c r="D53" s="337"/>
      <c r="E53" s="336"/>
      <c r="F53" s="336"/>
      <c r="G53" s="338"/>
      <c r="H53" s="300"/>
      <c r="I53" s="300"/>
      <c r="J53" s="300"/>
      <c r="K53" s="300"/>
      <c r="L53" s="300"/>
      <c r="M53" s="300"/>
      <c r="N53" s="300"/>
      <c r="O53" s="300"/>
      <c r="P53" s="300"/>
      <c r="Q53" s="300"/>
      <c r="R53" s="300"/>
      <c r="S53" s="300"/>
      <c r="T53" s="300"/>
      <c r="U53" s="300"/>
      <c r="V53" s="300"/>
      <c r="W53" s="300"/>
      <c r="X53" s="300"/>
      <c r="Y53" s="300"/>
      <c r="Z53" s="300"/>
      <c r="AA53" s="300"/>
    </row>
    <row r="54" spans="1:27" ht="15.5" x14ac:dyDescent="0.35">
      <c r="A54" s="464" t="s">
        <v>386</v>
      </c>
      <c r="B54" s="339">
        <f>MAX(B45:G51)</f>
        <v>194.56227839837032</v>
      </c>
      <c r="C54" s="340"/>
      <c r="D54" s="341"/>
      <c r="E54" s="340"/>
      <c r="F54" s="340"/>
      <c r="G54" s="342"/>
      <c r="H54" s="300"/>
      <c r="I54" s="300"/>
      <c r="J54" s="300"/>
      <c r="K54" s="300"/>
      <c r="L54" s="300"/>
      <c r="M54" s="300"/>
      <c r="N54" s="300"/>
      <c r="O54" s="300"/>
      <c r="P54" s="300"/>
      <c r="Q54" s="300"/>
      <c r="R54" s="300"/>
      <c r="S54" s="300"/>
      <c r="T54" s="300"/>
      <c r="U54" s="300"/>
      <c r="V54" s="300"/>
      <c r="W54" s="300"/>
      <c r="X54" s="300"/>
      <c r="Y54" s="300"/>
      <c r="Z54" s="300"/>
      <c r="AA54" s="300"/>
    </row>
    <row r="55" spans="1:27" ht="15.5" x14ac:dyDescent="0.35">
      <c r="A55" s="421"/>
      <c r="B55" s="300"/>
      <c r="C55" s="300"/>
      <c r="D55" s="300"/>
      <c r="E55" s="300"/>
      <c r="F55" s="300"/>
      <c r="G55" s="300"/>
      <c r="H55" s="300"/>
      <c r="I55" s="300"/>
      <c r="J55" s="300"/>
      <c r="K55" s="300"/>
      <c r="L55" s="300"/>
      <c r="M55" s="300"/>
      <c r="N55" s="300"/>
      <c r="O55" s="300"/>
      <c r="P55" s="300"/>
      <c r="Q55" s="300"/>
      <c r="R55" s="300"/>
      <c r="S55" s="300"/>
      <c r="T55" s="300"/>
      <c r="U55" s="300"/>
      <c r="V55" s="300"/>
      <c r="W55" s="300"/>
      <c r="X55" s="300"/>
      <c r="Y55" s="300"/>
      <c r="Z55" s="300"/>
      <c r="AA55" s="300"/>
    </row>
    <row r="56" spans="1:27" ht="20" x14ac:dyDescent="0.35">
      <c r="A56" s="397" t="s">
        <v>387</v>
      </c>
      <c r="B56" s="398"/>
      <c r="C56" s="398"/>
      <c r="D56" s="398"/>
      <c r="E56" s="398"/>
      <c r="F56" s="398"/>
      <c r="G56" s="399"/>
      <c r="H56" s="300"/>
      <c r="I56" s="300"/>
      <c r="J56" s="300"/>
      <c r="K56" s="300"/>
      <c r="L56" s="300"/>
      <c r="M56" s="300"/>
      <c r="N56" s="300"/>
      <c r="O56" s="300"/>
      <c r="P56" s="300"/>
      <c r="Q56" s="300"/>
      <c r="R56" s="300"/>
      <c r="S56" s="300"/>
      <c r="T56" s="300"/>
      <c r="U56" s="300"/>
      <c r="V56" s="300"/>
      <c r="W56" s="300"/>
      <c r="X56" s="300"/>
      <c r="Y56" s="300"/>
      <c r="Z56" s="300"/>
      <c r="AA56" s="300"/>
    </row>
    <row r="57" spans="1:27" ht="15.5" x14ac:dyDescent="0.35">
      <c r="A57" s="459" t="s">
        <v>358</v>
      </c>
      <c r="B57" s="393" t="s">
        <v>304</v>
      </c>
      <c r="C57" s="393"/>
      <c r="D57" s="393"/>
      <c r="E57" s="393"/>
      <c r="F57" s="393"/>
      <c r="G57" s="400"/>
      <c r="H57" s="300"/>
      <c r="I57" s="300"/>
      <c r="J57" s="300"/>
      <c r="K57" s="300"/>
      <c r="L57" s="300"/>
      <c r="M57" s="300"/>
      <c r="N57" s="300"/>
      <c r="O57" s="300"/>
      <c r="P57" s="300"/>
      <c r="Q57" s="300"/>
      <c r="R57" s="300"/>
      <c r="S57" s="300"/>
      <c r="T57" s="300"/>
      <c r="U57" s="300"/>
      <c r="V57" s="300"/>
      <c r="W57" s="300"/>
      <c r="X57" s="300"/>
      <c r="Y57" s="300"/>
      <c r="Z57" s="300"/>
      <c r="AA57" s="300"/>
    </row>
    <row r="58" spans="1:27" ht="15.5" x14ac:dyDescent="0.35">
      <c r="A58" s="460">
        <f>C21</f>
        <v>184.15890640173501</v>
      </c>
      <c r="B58" s="328">
        <v>0.11700000000000001</v>
      </c>
      <c r="C58" s="328">
        <v>0.127</v>
      </c>
      <c r="D58" s="328">
        <v>0.13700000000000001</v>
      </c>
      <c r="E58" s="328">
        <v>0.14000000000000001</v>
      </c>
      <c r="F58" s="328">
        <v>0.14499999999999999</v>
      </c>
      <c r="G58" s="329">
        <v>0.14699999999999999</v>
      </c>
      <c r="H58" s="300"/>
      <c r="I58" s="300"/>
      <c r="J58" s="300"/>
      <c r="K58" s="300"/>
      <c r="L58" s="300"/>
      <c r="M58" s="300"/>
      <c r="N58" s="300"/>
      <c r="O58" s="300"/>
      <c r="P58" s="300"/>
      <c r="Q58" s="300"/>
      <c r="R58" s="300"/>
      <c r="S58" s="300"/>
      <c r="T58" s="300"/>
      <c r="U58" s="300"/>
      <c r="V58" s="300"/>
      <c r="W58" s="300"/>
      <c r="X58" s="300"/>
      <c r="Y58" s="300"/>
      <c r="Z58" s="300"/>
      <c r="AA58" s="300"/>
    </row>
    <row r="59" spans="1:27" ht="15.5" x14ac:dyDescent="0.35">
      <c r="A59" s="465">
        <v>12.06</v>
      </c>
      <c r="B59" s="343">
        <f t="dataTable" ref="B59:G65" dt2D="1" dtr="1" r1="B24" r2="B38"/>
        <v>181.45674578266554</v>
      </c>
      <c r="C59" s="343">
        <v>173.4048093865681</v>
      </c>
      <c r="D59" s="343">
        <v>165.81151217093557</v>
      </c>
      <c r="E59" s="343">
        <v>163.61834635740215</v>
      </c>
      <c r="F59" s="343">
        <v>160.04656461179044</v>
      </c>
      <c r="G59" s="344">
        <v>158.64641980084437</v>
      </c>
      <c r="H59" s="300"/>
      <c r="I59" s="300"/>
      <c r="J59" s="300"/>
      <c r="K59" s="300"/>
      <c r="L59" s="300"/>
      <c r="M59" s="300"/>
      <c r="N59" s="300"/>
      <c r="O59" s="300"/>
      <c r="P59" s="300"/>
      <c r="Q59" s="300"/>
      <c r="R59" s="300"/>
      <c r="S59" s="300"/>
      <c r="T59" s="300"/>
      <c r="U59" s="300"/>
      <c r="V59" s="300"/>
      <c r="W59" s="300"/>
      <c r="X59" s="300"/>
      <c r="Y59" s="300"/>
      <c r="Z59" s="300"/>
      <c r="AA59" s="300"/>
    </row>
    <row r="60" spans="1:27" ht="16" thickBot="1" x14ac:dyDescent="0.4">
      <c r="A60" s="465">
        <v>13.06</v>
      </c>
      <c r="B60" s="343">
        <v>191.65819207538931</v>
      </c>
      <c r="C60" s="343">
        <v>183.07505021467131</v>
      </c>
      <c r="D60" s="343">
        <v>174.98253972045885</v>
      </c>
      <c r="E60" s="343">
        <v>172.64551754173385</v>
      </c>
      <c r="F60" s="343">
        <v>168.8397831357772</v>
      </c>
      <c r="G60" s="344">
        <v>167.34804310797423</v>
      </c>
      <c r="H60" s="300"/>
      <c r="I60" s="300"/>
      <c r="J60" s="300"/>
      <c r="K60" s="300"/>
      <c r="L60" s="300"/>
      <c r="M60" s="300"/>
      <c r="N60" s="300"/>
      <c r="O60" s="300"/>
      <c r="P60" s="300"/>
      <c r="Q60" s="300"/>
      <c r="R60" s="300"/>
      <c r="S60" s="300"/>
      <c r="T60" s="300"/>
      <c r="U60" s="300"/>
      <c r="V60" s="300"/>
      <c r="W60" s="300"/>
      <c r="X60" s="300"/>
      <c r="Y60" s="300"/>
      <c r="Z60" s="300"/>
      <c r="AA60" s="300"/>
    </row>
    <row r="61" spans="1:27" ht="16" thickBot="1" x14ac:dyDescent="0.4">
      <c r="A61" s="465">
        <v>14.06</v>
      </c>
      <c r="B61" s="343">
        <v>201.85963836811308</v>
      </c>
      <c r="C61" s="343">
        <v>192.74529104277451</v>
      </c>
      <c r="D61" s="345">
        <v>184.15356726998215</v>
      </c>
      <c r="E61" s="343">
        <v>181.67268872606553</v>
      </c>
      <c r="F61" s="343">
        <v>177.63300165976392</v>
      </c>
      <c r="G61" s="344">
        <v>176.04966641510407</v>
      </c>
      <c r="H61" s="300"/>
      <c r="I61" s="300"/>
      <c r="J61" s="300"/>
      <c r="K61" s="300"/>
      <c r="L61" s="300"/>
      <c r="M61" s="300"/>
      <c r="N61" s="300"/>
      <c r="O61" s="300"/>
      <c r="P61" s="300"/>
      <c r="Q61" s="300"/>
      <c r="R61" s="300"/>
      <c r="S61" s="300"/>
      <c r="T61" s="300"/>
      <c r="U61" s="300"/>
      <c r="V61" s="300"/>
      <c r="W61" s="300"/>
      <c r="X61" s="300"/>
      <c r="Y61" s="300"/>
      <c r="Z61" s="300"/>
      <c r="AA61" s="300"/>
    </row>
    <row r="62" spans="1:27" ht="15.5" x14ac:dyDescent="0.35">
      <c r="A62" s="465">
        <v>15.5</v>
      </c>
      <c r="B62" s="343">
        <v>216.54972102963529</v>
      </c>
      <c r="C62" s="343">
        <v>206.67043783524312</v>
      </c>
      <c r="D62" s="343">
        <v>197.35984694129559</v>
      </c>
      <c r="E62" s="343">
        <v>194.67181523150313</v>
      </c>
      <c r="F62" s="343">
        <v>190.29523633430478</v>
      </c>
      <c r="G62" s="344">
        <v>188.58000397737101</v>
      </c>
      <c r="H62" s="300"/>
      <c r="I62" s="300"/>
      <c r="J62" s="300"/>
      <c r="K62" s="300"/>
      <c r="L62" s="300"/>
      <c r="M62" s="300"/>
      <c r="N62" s="300"/>
      <c r="O62" s="300"/>
      <c r="P62" s="300"/>
      <c r="Q62" s="300"/>
      <c r="R62" s="300"/>
      <c r="S62" s="300"/>
      <c r="T62" s="300"/>
      <c r="U62" s="300"/>
      <c r="V62" s="300"/>
      <c r="W62" s="300"/>
      <c r="X62" s="300"/>
      <c r="Y62" s="300"/>
      <c r="Z62" s="300"/>
      <c r="AA62" s="300"/>
    </row>
    <row r="63" spans="1:27" ht="15.5" x14ac:dyDescent="0.35">
      <c r="A63" s="465">
        <v>16</v>
      </c>
      <c r="B63" s="343">
        <v>221.65044417599719</v>
      </c>
      <c r="C63" s="343">
        <v>211.50555824929475</v>
      </c>
      <c r="D63" s="343">
        <v>201.94536071605728</v>
      </c>
      <c r="E63" s="343">
        <v>199.185400823669</v>
      </c>
      <c r="F63" s="343">
        <v>194.69184559629815</v>
      </c>
      <c r="G63" s="344">
        <v>192.93081563093594</v>
      </c>
      <c r="H63" s="300"/>
      <c r="I63" s="300"/>
      <c r="J63" s="300"/>
      <c r="K63" s="300"/>
      <c r="L63" s="300"/>
      <c r="M63" s="300"/>
      <c r="N63" s="300"/>
      <c r="O63" s="300"/>
      <c r="P63" s="300"/>
      <c r="Q63" s="300"/>
      <c r="R63" s="300"/>
      <c r="S63" s="300"/>
      <c r="T63" s="300"/>
      <c r="U63" s="300"/>
      <c r="V63" s="300"/>
      <c r="W63" s="300"/>
      <c r="X63" s="300"/>
      <c r="Y63" s="300"/>
      <c r="Z63" s="300"/>
      <c r="AA63" s="300"/>
    </row>
    <row r="64" spans="1:27" ht="15.5" x14ac:dyDescent="0.35">
      <c r="A64" s="465">
        <v>16.5</v>
      </c>
      <c r="B64" s="343">
        <v>226.75116732235907</v>
      </c>
      <c r="C64" s="343">
        <v>216.34067866334635</v>
      </c>
      <c r="D64" s="343">
        <v>206.53087449081892</v>
      </c>
      <c r="E64" s="343">
        <v>203.69898641583484</v>
      </c>
      <c r="F64" s="343">
        <v>199.08845485829153</v>
      </c>
      <c r="G64" s="344">
        <v>197.28162728450087</v>
      </c>
      <c r="H64" s="300"/>
      <c r="I64" s="300"/>
      <c r="J64" s="300"/>
      <c r="K64" s="300"/>
      <c r="L64" s="300"/>
      <c r="M64" s="300"/>
      <c r="N64" s="300"/>
      <c r="O64" s="300"/>
      <c r="P64" s="300"/>
      <c r="Q64" s="300"/>
      <c r="R64" s="300"/>
      <c r="S64" s="300"/>
      <c r="T64" s="300"/>
      <c r="U64" s="300"/>
      <c r="V64" s="300"/>
      <c r="W64" s="300"/>
      <c r="X64" s="300"/>
      <c r="Y64" s="300"/>
      <c r="Z64" s="300"/>
      <c r="AA64" s="300"/>
    </row>
    <row r="65" spans="1:27" ht="15.5" x14ac:dyDescent="0.35">
      <c r="A65" s="465">
        <v>17</v>
      </c>
      <c r="B65" s="346">
        <v>231.85189046872094</v>
      </c>
      <c r="C65" s="332">
        <v>221.17579907739795</v>
      </c>
      <c r="D65" s="332">
        <v>211.11638826558055</v>
      </c>
      <c r="E65" s="332">
        <v>208.21257200800068</v>
      </c>
      <c r="F65" s="332">
        <v>203.48506412028487</v>
      </c>
      <c r="G65" s="333">
        <v>201.63243893806577</v>
      </c>
      <c r="H65" s="300"/>
      <c r="I65" s="300"/>
      <c r="J65" s="300"/>
      <c r="K65" s="300"/>
      <c r="L65" s="300"/>
      <c r="M65" s="300"/>
      <c r="N65" s="300"/>
      <c r="O65" s="300"/>
      <c r="P65" s="300"/>
      <c r="Q65" s="300"/>
      <c r="R65" s="300"/>
      <c r="S65" s="300"/>
      <c r="T65" s="300"/>
      <c r="U65" s="300"/>
      <c r="V65" s="300"/>
      <c r="W65" s="300"/>
      <c r="X65" s="300"/>
      <c r="Y65" s="300"/>
      <c r="Z65" s="300"/>
      <c r="AA65" s="300"/>
    </row>
    <row r="66" spans="1:27" ht="15.5" x14ac:dyDescent="0.35">
      <c r="A66" s="466"/>
      <c r="B66" s="314"/>
      <c r="C66" s="314"/>
      <c r="D66" s="314"/>
      <c r="E66" s="314"/>
      <c r="F66" s="314"/>
      <c r="G66" s="334"/>
      <c r="H66" s="300"/>
      <c r="I66" s="300"/>
      <c r="J66" s="300"/>
      <c r="K66" s="300"/>
      <c r="L66" s="300"/>
      <c r="M66" s="300"/>
      <c r="N66" s="300"/>
      <c r="O66" s="300"/>
      <c r="P66" s="300"/>
      <c r="Q66" s="300"/>
      <c r="R66" s="300"/>
      <c r="S66" s="300"/>
      <c r="T66" s="300"/>
      <c r="U66" s="300"/>
      <c r="V66" s="300"/>
      <c r="W66" s="300"/>
      <c r="X66" s="300"/>
      <c r="Y66" s="300"/>
      <c r="Z66" s="300"/>
      <c r="AA66" s="300"/>
    </row>
    <row r="67" spans="1:27" ht="15.5" x14ac:dyDescent="0.35">
      <c r="A67" s="463" t="s">
        <v>385</v>
      </c>
      <c r="B67" s="335">
        <f>MIN(B59:G65)</f>
        <v>158.64641980084437</v>
      </c>
      <c r="C67" s="336"/>
      <c r="D67" s="336"/>
      <c r="E67" s="336"/>
      <c r="F67" s="336"/>
      <c r="G67" s="338"/>
      <c r="H67" s="300"/>
      <c r="I67" s="300"/>
      <c r="J67" s="300"/>
      <c r="K67" s="300"/>
      <c r="L67" s="300"/>
      <c r="M67" s="300"/>
      <c r="N67" s="300"/>
      <c r="O67" s="300"/>
      <c r="P67" s="300"/>
      <c r="Q67" s="300"/>
      <c r="R67" s="300"/>
      <c r="S67" s="300"/>
      <c r="T67" s="300"/>
      <c r="U67" s="300"/>
      <c r="V67" s="300"/>
      <c r="W67" s="300"/>
      <c r="X67" s="300"/>
      <c r="Y67" s="300"/>
      <c r="Z67" s="300"/>
      <c r="AA67" s="300"/>
    </row>
    <row r="68" spans="1:27" ht="15.5" x14ac:dyDescent="0.35">
      <c r="A68" s="464" t="s">
        <v>386</v>
      </c>
      <c r="B68" s="339">
        <f>MAX(B59:G65)</f>
        <v>231.85189046872094</v>
      </c>
      <c r="C68" s="347"/>
      <c r="D68" s="340"/>
      <c r="E68" s="340"/>
      <c r="F68" s="340"/>
      <c r="G68" s="342"/>
      <c r="H68" s="300"/>
      <c r="I68" s="300"/>
      <c r="J68" s="300"/>
      <c r="K68" s="300"/>
      <c r="L68" s="300"/>
      <c r="M68" s="300"/>
      <c r="N68" s="300"/>
      <c r="O68" s="300"/>
      <c r="P68" s="300"/>
      <c r="Q68" s="300"/>
      <c r="R68" s="300"/>
      <c r="S68" s="300"/>
      <c r="T68" s="300"/>
      <c r="U68" s="300"/>
      <c r="V68" s="300"/>
      <c r="W68" s="300"/>
      <c r="X68" s="300"/>
      <c r="Y68" s="300"/>
      <c r="Z68" s="300"/>
      <c r="AA68" s="300"/>
    </row>
    <row r="69" spans="1:27" ht="15.5" x14ac:dyDescent="0.35">
      <c r="A69" s="300"/>
      <c r="B69" s="348"/>
      <c r="C69" s="300"/>
      <c r="D69" s="300"/>
      <c r="E69" s="300"/>
      <c r="F69" s="300"/>
      <c r="G69" s="300"/>
      <c r="H69" s="300"/>
      <c r="I69" s="300"/>
      <c r="J69" s="300"/>
      <c r="K69" s="300"/>
      <c r="L69" s="300"/>
      <c r="M69" s="300"/>
      <c r="N69" s="300"/>
      <c r="O69" s="300"/>
      <c r="P69" s="300"/>
      <c r="Q69" s="300"/>
      <c r="R69" s="300"/>
      <c r="S69" s="300"/>
      <c r="T69" s="300"/>
      <c r="U69" s="300"/>
      <c r="V69" s="300"/>
      <c r="W69" s="300"/>
      <c r="X69" s="300"/>
      <c r="Y69" s="300"/>
      <c r="Z69" s="300"/>
      <c r="AA69" s="300"/>
    </row>
    <row r="70" spans="1:27" ht="16" thickBot="1" x14ac:dyDescent="0.4">
      <c r="A70" s="300"/>
      <c r="B70" s="348"/>
      <c r="C70" s="300"/>
      <c r="D70" s="300"/>
      <c r="E70" s="300"/>
      <c r="F70" s="300"/>
      <c r="G70" s="300"/>
      <c r="H70" s="300"/>
      <c r="I70" s="300"/>
      <c r="J70" s="300"/>
      <c r="K70" s="300"/>
      <c r="L70" s="300"/>
      <c r="M70" s="300"/>
      <c r="N70" s="300"/>
      <c r="O70" s="300"/>
      <c r="P70" s="300"/>
      <c r="Q70" s="300"/>
      <c r="R70" s="300"/>
      <c r="S70" s="300"/>
      <c r="T70" s="300"/>
      <c r="U70" s="300"/>
      <c r="V70" s="300"/>
      <c r="W70" s="300"/>
      <c r="X70" s="300"/>
      <c r="Y70" s="300"/>
      <c r="Z70" s="300"/>
      <c r="AA70" s="300"/>
    </row>
    <row r="71" spans="1:27" ht="15.5" x14ac:dyDescent="0.35">
      <c r="A71" s="673" t="s">
        <v>413</v>
      </c>
      <c r="B71" s="674" t="s">
        <v>294</v>
      </c>
      <c r="C71" s="674"/>
      <c r="D71" s="674"/>
      <c r="E71" s="674"/>
      <c r="F71" s="674"/>
      <c r="G71" s="675"/>
      <c r="H71" s="300"/>
      <c r="I71" s="300"/>
      <c r="J71" s="300"/>
      <c r="K71" s="300"/>
      <c r="L71" s="300"/>
      <c r="M71" s="300"/>
      <c r="N71" s="300"/>
      <c r="O71" s="300"/>
      <c r="P71" s="300"/>
      <c r="Q71" s="300"/>
      <c r="R71" s="300"/>
      <c r="S71" s="300"/>
    </row>
    <row r="72" spans="1:27" ht="15.5" x14ac:dyDescent="0.35">
      <c r="A72" s="676"/>
      <c r="B72" s="677">
        <v>2020</v>
      </c>
      <c r="C72" s="677">
        <v>2021</v>
      </c>
      <c r="D72" s="677">
        <v>2022</v>
      </c>
      <c r="E72" s="677">
        <v>2023</v>
      </c>
      <c r="F72" s="677">
        <v>2024</v>
      </c>
      <c r="G72" s="686"/>
      <c r="H72" s="300"/>
      <c r="I72" s="300"/>
      <c r="J72" s="300"/>
      <c r="K72" s="300"/>
      <c r="L72" s="300"/>
      <c r="M72" s="300"/>
      <c r="N72" s="300"/>
      <c r="O72" s="300"/>
    </row>
    <row r="73" spans="1:27" ht="15.5" x14ac:dyDescent="0.35">
      <c r="A73" s="678" t="s">
        <v>388</v>
      </c>
      <c r="B73" s="679">
        <v>347.1</v>
      </c>
      <c r="C73" s="679">
        <v>349.5</v>
      </c>
      <c r="D73" s="679">
        <v>286.60000000000002</v>
      </c>
      <c r="E73" s="679">
        <v>286.60000000000002</v>
      </c>
      <c r="F73" s="679">
        <v>323.10000000000002</v>
      </c>
      <c r="G73" s="680" t="s">
        <v>389</v>
      </c>
      <c r="H73" s="300"/>
      <c r="I73" s="300"/>
      <c r="J73" s="300"/>
      <c r="K73" s="300"/>
      <c r="L73" s="300"/>
      <c r="M73" s="300"/>
      <c r="N73" s="300"/>
      <c r="O73" s="300"/>
    </row>
    <row r="74" spans="1:27" ht="15.5" x14ac:dyDescent="0.35">
      <c r="A74" s="678" t="s">
        <v>18</v>
      </c>
      <c r="B74" s="681">
        <v>27.54</v>
      </c>
      <c r="C74" s="681">
        <v>25.28</v>
      </c>
      <c r="D74" s="681">
        <v>22.29</v>
      </c>
      <c r="E74" s="681">
        <v>24.49</v>
      </c>
      <c r="F74" s="681">
        <v>26.89</v>
      </c>
      <c r="G74" s="682"/>
      <c r="H74" s="300"/>
      <c r="I74" s="300"/>
      <c r="J74" s="300"/>
      <c r="K74" s="300"/>
      <c r="L74" s="300"/>
      <c r="M74" s="300"/>
      <c r="N74" s="300"/>
      <c r="O74" s="300"/>
    </row>
    <row r="75" spans="1:27" ht="18" thickBot="1" x14ac:dyDescent="0.4">
      <c r="A75" s="683" t="s">
        <v>358</v>
      </c>
      <c r="B75" s="684">
        <f>B73/B74</f>
        <v>12.603485838779958</v>
      </c>
      <c r="C75" s="684">
        <f t="shared" ref="C75:F75" si="4">C73/C74</f>
        <v>13.825158227848101</v>
      </c>
      <c r="D75" s="684">
        <f t="shared" si="4"/>
        <v>12.857783759533424</v>
      </c>
      <c r="E75" s="684">
        <f t="shared" si="4"/>
        <v>11.702735810534914</v>
      </c>
      <c r="F75" s="684">
        <f>F73/F74</f>
        <v>12.0156191892897</v>
      </c>
      <c r="G75" s="685">
        <f>AVERAGE(B75:F75)</f>
        <v>12.600956565197221</v>
      </c>
      <c r="H75" s="300"/>
      <c r="I75" s="300"/>
      <c r="J75" s="300"/>
      <c r="K75" s="300"/>
      <c r="L75" s="300"/>
      <c r="M75" s="300"/>
      <c r="N75" s="300"/>
      <c r="O75" s="300"/>
    </row>
    <row r="76" spans="1:27" ht="15.5" x14ac:dyDescent="0.35">
      <c r="A76" s="300"/>
      <c r="B76" s="300"/>
      <c r="C76" s="300"/>
      <c r="D76" s="300"/>
      <c r="E76" s="300"/>
      <c r="F76" s="300"/>
      <c r="G76" s="300"/>
      <c r="H76" s="300"/>
      <c r="I76" s="300"/>
      <c r="J76" s="300"/>
      <c r="K76" s="300"/>
      <c r="L76" s="300"/>
      <c r="M76" s="300"/>
      <c r="N76" s="300"/>
      <c r="O76" s="300"/>
      <c r="P76" s="300"/>
    </row>
    <row r="77" spans="1:27" ht="15.5" x14ac:dyDescent="0.35">
      <c r="A77" s="300"/>
      <c r="B77" s="300"/>
      <c r="C77" s="300"/>
      <c r="D77" s="300"/>
      <c r="E77" s="300"/>
      <c r="F77" s="300"/>
      <c r="G77" s="300"/>
      <c r="H77" s="300"/>
      <c r="I77" s="300"/>
      <c r="J77" s="300"/>
      <c r="K77" s="300"/>
      <c r="L77" s="300"/>
      <c r="M77" s="300"/>
      <c r="N77" s="300"/>
      <c r="O77" s="300"/>
      <c r="P77" s="300"/>
    </row>
    <row r="78" spans="1:27" ht="15.5" x14ac:dyDescent="0.35">
      <c r="A78" s="300"/>
      <c r="B78" s="300"/>
      <c r="C78" s="300"/>
      <c r="D78" s="300"/>
      <c r="E78" s="300"/>
      <c r="F78" s="300"/>
      <c r="G78" s="300"/>
      <c r="H78" s="300"/>
      <c r="I78" s="300"/>
      <c r="J78" s="300"/>
      <c r="K78" s="300"/>
      <c r="L78" s="300"/>
      <c r="M78" s="300"/>
      <c r="N78" s="300"/>
      <c r="O78" s="300"/>
      <c r="P78" s="300"/>
    </row>
    <row r="79" spans="1:27" ht="15.5" x14ac:dyDescent="0.35">
      <c r="A79" s="300"/>
      <c r="B79" s="300"/>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c r="AA79" s="300"/>
    </row>
    <row r="80" spans="1:27" ht="15.5" x14ac:dyDescent="0.35">
      <c r="A80" s="300"/>
      <c r="B80" s="300"/>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c r="AA80" s="300"/>
    </row>
    <row r="81" spans="1:27" ht="15.5" x14ac:dyDescent="0.35">
      <c r="A81" s="300"/>
      <c r="B81" s="300"/>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c r="AA81" s="300"/>
    </row>
    <row r="82" spans="1:27" ht="15.5" x14ac:dyDescent="0.35">
      <c r="A82" s="300"/>
      <c r="B82" s="300"/>
      <c r="C82" s="300"/>
      <c r="D82" s="300"/>
      <c r="E82" s="300"/>
      <c r="F82" s="300"/>
      <c r="G82" s="300"/>
      <c r="H82" s="300"/>
      <c r="I82" s="300"/>
      <c r="J82" s="300"/>
      <c r="K82" s="300"/>
      <c r="L82" s="300"/>
      <c r="M82" s="300"/>
      <c r="N82" s="300"/>
      <c r="O82" s="300"/>
      <c r="P82" s="300"/>
      <c r="Q82" s="300"/>
      <c r="R82" s="300"/>
      <c r="S82" s="300"/>
      <c r="T82" s="300"/>
      <c r="U82" s="300"/>
      <c r="V82" s="300"/>
      <c r="W82" s="300"/>
      <c r="X82" s="300"/>
      <c r="Y82" s="300"/>
      <c r="Z82" s="300"/>
      <c r="AA82" s="300"/>
    </row>
    <row r="83" spans="1:27" ht="15.5" x14ac:dyDescent="0.35">
      <c r="A83" s="300"/>
      <c r="B83" s="300"/>
      <c r="C83" s="300"/>
      <c r="D83" s="300"/>
      <c r="E83" s="300"/>
      <c r="F83" s="300"/>
      <c r="G83" s="300"/>
      <c r="H83" s="300"/>
      <c r="I83" s="300"/>
      <c r="J83" s="300"/>
      <c r="K83" s="300"/>
      <c r="L83" s="300"/>
      <c r="M83" s="300"/>
      <c r="N83" s="300"/>
      <c r="O83" s="300"/>
      <c r="P83" s="300"/>
      <c r="Q83" s="300"/>
      <c r="R83" s="300"/>
      <c r="S83" s="300"/>
      <c r="T83" s="300"/>
      <c r="U83" s="300"/>
      <c r="V83" s="300"/>
      <c r="W83" s="300"/>
      <c r="X83" s="300"/>
      <c r="Y83" s="300"/>
      <c r="Z83" s="300"/>
      <c r="AA83" s="300"/>
    </row>
    <row r="84" spans="1:27" ht="15.5" x14ac:dyDescent="0.35">
      <c r="A84" s="300"/>
      <c r="B84" s="300"/>
      <c r="C84" s="300"/>
      <c r="D84" s="300"/>
      <c r="E84" s="300"/>
      <c r="F84" s="300"/>
      <c r="G84" s="300"/>
      <c r="H84" s="300"/>
      <c r="I84" s="300"/>
      <c r="J84" s="300"/>
      <c r="K84" s="300"/>
      <c r="L84" s="300"/>
      <c r="M84" s="300"/>
      <c r="N84" s="300"/>
      <c r="O84" s="300"/>
      <c r="P84" s="300"/>
      <c r="Q84" s="300"/>
      <c r="R84" s="300"/>
      <c r="S84" s="300"/>
      <c r="T84" s="300"/>
      <c r="U84" s="300"/>
      <c r="V84" s="300"/>
      <c r="W84" s="300"/>
      <c r="X84" s="300"/>
      <c r="Y84" s="300"/>
      <c r="Z84" s="300"/>
      <c r="AA84" s="300"/>
    </row>
    <row r="85" spans="1:27" ht="15.5" x14ac:dyDescent="0.35">
      <c r="A85" s="300"/>
      <c r="B85" s="300"/>
      <c r="C85" s="300"/>
      <c r="D85" s="300"/>
      <c r="E85" s="300"/>
      <c r="F85" s="300"/>
      <c r="G85" s="300"/>
      <c r="H85" s="300"/>
      <c r="I85" s="300"/>
      <c r="J85" s="300"/>
      <c r="K85" s="300"/>
      <c r="L85" s="300"/>
      <c r="M85" s="300"/>
      <c r="N85" s="300"/>
      <c r="O85" s="300"/>
      <c r="P85" s="300"/>
      <c r="Q85" s="300"/>
      <c r="R85" s="300"/>
      <c r="S85" s="300"/>
      <c r="T85" s="300"/>
      <c r="U85" s="300"/>
      <c r="V85" s="300"/>
      <c r="W85" s="300"/>
      <c r="X85" s="300"/>
      <c r="Y85" s="300"/>
      <c r="Z85" s="300"/>
      <c r="AA85" s="300"/>
    </row>
    <row r="86" spans="1:27" ht="15.5" x14ac:dyDescent="0.35">
      <c r="A86" s="300"/>
      <c r="B86" s="300"/>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c r="AA86" s="300"/>
    </row>
    <row r="87" spans="1:27" ht="15.5" x14ac:dyDescent="0.35">
      <c r="A87" s="300"/>
      <c r="B87" s="300"/>
      <c r="C87" s="300"/>
      <c r="D87" s="300"/>
      <c r="E87" s="300"/>
      <c r="F87" s="300"/>
      <c r="G87" s="300"/>
      <c r="H87" s="300"/>
      <c r="I87" s="300"/>
      <c r="J87" s="300"/>
      <c r="K87" s="300"/>
      <c r="L87" s="300"/>
      <c r="M87" s="300"/>
      <c r="N87" s="300"/>
      <c r="O87" s="300"/>
      <c r="P87" s="300"/>
      <c r="Q87" s="300"/>
      <c r="R87" s="300"/>
      <c r="S87" s="300"/>
      <c r="T87" s="300"/>
      <c r="U87" s="300"/>
      <c r="V87" s="300"/>
      <c r="W87" s="300"/>
      <c r="X87" s="300"/>
      <c r="Y87" s="300"/>
      <c r="Z87" s="300"/>
      <c r="AA87" s="300"/>
    </row>
    <row r="88" spans="1:27" ht="15.5" x14ac:dyDescent="0.35">
      <c r="A88" s="300"/>
      <c r="B88" s="300"/>
      <c r="C88" s="300"/>
      <c r="D88" s="300"/>
      <c r="E88" s="300"/>
      <c r="F88" s="300"/>
      <c r="G88" s="300"/>
      <c r="H88" s="300"/>
      <c r="I88" s="300"/>
      <c r="J88" s="300"/>
      <c r="K88" s="300"/>
      <c r="L88" s="300"/>
      <c r="M88" s="300"/>
      <c r="N88" s="300"/>
      <c r="O88" s="300"/>
      <c r="P88" s="300"/>
      <c r="Q88" s="300"/>
      <c r="R88" s="300"/>
      <c r="S88" s="300"/>
      <c r="T88" s="300"/>
      <c r="U88" s="300"/>
      <c r="V88" s="300"/>
      <c r="W88" s="300"/>
      <c r="X88" s="300"/>
      <c r="Y88" s="300"/>
      <c r="Z88" s="300"/>
      <c r="AA88" s="300"/>
    </row>
    <row r="89" spans="1:27" ht="15.5" x14ac:dyDescent="0.35">
      <c r="A89" s="300"/>
      <c r="B89" s="300"/>
      <c r="C89" s="300"/>
      <c r="D89" s="300"/>
      <c r="E89" s="300"/>
      <c r="F89" s="300"/>
      <c r="G89" s="300"/>
      <c r="H89" s="300"/>
      <c r="I89" s="300"/>
      <c r="J89" s="300"/>
      <c r="K89" s="300"/>
      <c r="L89" s="300"/>
      <c r="M89" s="300"/>
      <c r="N89" s="300"/>
      <c r="O89" s="300"/>
      <c r="P89" s="300"/>
      <c r="Q89" s="300"/>
      <c r="R89" s="300"/>
      <c r="S89" s="300"/>
      <c r="T89" s="300"/>
      <c r="U89" s="300"/>
      <c r="V89" s="300"/>
      <c r="W89" s="300"/>
      <c r="X89" s="300"/>
      <c r="Y89" s="300"/>
      <c r="Z89" s="300"/>
      <c r="AA89" s="300"/>
    </row>
    <row r="90" spans="1:27" ht="15.5" x14ac:dyDescent="0.35">
      <c r="A90" s="300"/>
      <c r="B90" s="300"/>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c r="AA90" s="300"/>
    </row>
    <row r="91" spans="1:27" ht="15.5" x14ac:dyDescent="0.35">
      <c r="A91" s="300"/>
      <c r="B91" s="300"/>
      <c r="C91" s="300"/>
      <c r="D91" s="300"/>
      <c r="E91" s="300"/>
      <c r="F91" s="300"/>
      <c r="G91" s="300"/>
      <c r="H91" s="300"/>
      <c r="I91" s="300"/>
      <c r="J91" s="300"/>
      <c r="K91" s="300"/>
      <c r="L91" s="300"/>
      <c r="M91" s="300"/>
      <c r="N91" s="300"/>
      <c r="O91" s="300"/>
      <c r="P91" s="300"/>
      <c r="Q91" s="300"/>
      <c r="R91" s="300"/>
      <c r="S91" s="300"/>
      <c r="T91" s="300"/>
      <c r="U91" s="300"/>
      <c r="V91" s="300"/>
      <c r="W91" s="300"/>
      <c r="X91" s="300"/>
      <c r="Y91" s="300"/>
      <c r="Z91" s="300"/>
      <c r="AA91" s="300"/>
    </row>
    <row r="92" spans="1:27" ht="15.5" x14ac:dyDescent="0.35">
      <c r="A92" s="300"/>
      <c r="B92" s="300"/>
      <c r="C92" s="300"/>
      <c r="D92" s="300"/>
      <c r="E92" s="300"/>
      <c r="F92" s="300"/>
      <c r="G92" s="300"/>
      <c r="H92" s="300"/>
      <c r="I92" s="300"/>
      <c r="J92" s="300"/>
      <c r="K92" s="300"/>
      <c r="L92" s="300"/>
      <c r="M92" s="300"/>
      <c r="N92" s="300"/>
      <c r="O92" s="300"/>
      <c r="P92" s="300"/>
      <c r="Q92" s="300"/>
      <c r="R92" s="300"/>
      <c r="S92" s="300"/>
      <c r="T92" s="300"/>
      <c r="U92" s="300"/>
      <c r="V92" s="300"/>
      <c r="W92" s="300"/>
      <c r="X92" s="300"/>
      <c r="Y92" s="300"/>
      <c r="Z92" s="300"/>
      <c r="AA92" s="300"/>
    </row>
    <row r="93" spans="1:27" ht="15.5" x14ac:dyDescent="0.35">
      <c r="A93" s="300"/>
      <c r="B93" s="300"/>
      <c r="C93" s="300"/>
      <c r="D93" s="300"/>
      <c r="E93" s="300"/>
      <c r="F93" s="300"/>
      <c r="G93" s="300"/>
      <c r="H93" s="300"/>
      <c r="I93" s="300"/>
      <c r="J93" s="300"/>
      <c r="K93" s="300"/>
      <c r="L93" s="300"/>
      <c r="M93" s="300"/>
      <c r="N93" s="300"/>
      <c r="O93" s="300"/>
      <c r="P93" s="300"/>
      <c r="Q93" s="300"/>
      <c r="R93" s="300"/>
      <c r="S93" s="300"/>
      <c r="T93" s="300"/>
      <c r="U93" s="300"/>
      <c r="V93" s="300"/>
      <c r="W93" s="300"/>
      <c r="X93" s="300"/>
      <c r="Y93" s="300"/>
      <c r="Z93" s="300"/>
      <c r="AA93" s="300"/>
    </row>
    <row r="94" spans="1:27" ht="15.5" x14ac:dyDescent="0.35">
      <c r="A94" s="300"/>
      <c r="B94" s="300"/>
      <c r="C94" s="300"/>
      <c r="D94" s="300"/>
      <c r="E94" s="300"/>
      <c r="F94" s="300"/>
      <c r="G94" s="300"/>
      <c r="H94" s="300"/>
      <c r="I94" s="300"/>
      <c r="J94" s="300"/>
      <c r="K94" s="300"/>
      <c r="L94" s="300"/>
      <c r="M94" s="300"/>
      <c r="N94" s="300"/>
      <c r="O94" s="300"/>
      <c r="P94" s="300"/>
      <c r="Q94" s="300"/>
      <c r="R94" s="300"/>
      <c r="S94" s="300"/>
      <c r="T94" s="300"/>
      <c r="U94" s="300"/>
      <c r="V94" s="300"/>
      <c r="W94" s="300"/>
      <c r="X94" s="300"/>
      <c r="Y94" s="300"/>
      <c r="Z94" s="300"/>
      <c r="AA94" s="300"/>
    </row>
    <row r="95" spans="1:27" ht="15.5" x14ac:dyDescent="0.35">
      <c r="A95" s="300"/>
      <c r="B95" s="300"/>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0"/>
      <c r="AA95" s="300"/>
    </row>
    <row r="96" spans="1:27" ht="15.5" x14ac:dyDescent="0.35">
      <c r="A96" s="300"/>
      <c r="B96" s="300"/>
      <c r="C96" s="300"/>
      <c r="D96" s="300"/>
      <c r="E96" s="300"/>
      <c r="F96" s="300"/>
      <c r="G96" s="300"/>
      <c r="H96" s="300"/>
      <c r="I96" s="300"/>
      <c r="J96" s="300"/>
      <c r="K96" s="300"/>
      <c r="L96" s="300"/>
      <c r="M96" s="300"/>
      <c r="N96" s="300"/>
      <c r="O96" s="300"/>
      <c r="P96" s="300"/>
      <c r="Q96" s="300"/>
      <c r="R96" s="300"/>
      <c r="S96" s="300"/>
      <c r="T96" s="300"/>
      <c r="U96" s="300"/>
      <c r="V96" s="300"/>
      <c r="W96" s="300"/>
      <c r="X96" s="300"/>
      <c r="Y96" s="300"/>
      <c r="Z96" s="300"/>
      <c r="AA96" s="300"/>
    </row>
    <row r="97" spans="1:27" ht="15.5" x14ac:dyDescent="0.35">
      <c r="A97" s="300"/>
      <c r="B97" s="300"/>
      <c r="C97" s="300"/>
      <c r="D97" s="300"/>
      <c r="E97" s="300"/>
      <c r="F97" s="300"/>
      <c r="G97" s="300"/>
      <c r="H97" s="300"/>
      <c r="I97" s="300"/>
      <c r="J97" s="300"/>
      <c r="K97" s="300"/>
      <c r="L97" s="300"/>
      <c r="M97" s="300"/>
      <c r="N97" s="300"/>
      <c r="O97" s="300"/>
      <c r="P97" s="300"/>
      <c r="Q97" s="300"/>
      <c r="R97" s="300"/>
      <c r="S97" s="300"/>
      <c r="T97" s="300"/>
      <c r="U97" s="300"/>
      <c r="V97" s="300"/>
      <c r="W97" s="300"/>
      <c r="X97" s="300"/>
      <c r="Y97" s="300"/>
      <c r="Z97" s="300"/>
      <c r="AA97" s="300"/>
    </row>
    <row r="98" spans="1:27" ht="15.5" x14ac:dyDescent="0.35">
      <c r="A98" s="300"/>
      <c r="B98" s="300"/>
      <c r="C98" s="300"/>
      <c r="D98" s="300"/>
      <c r="E98" s="300"/>
      <c r="F98" s="300"/>
      <c r="G98" s="300"/>
      <c r="H98" s="300"/>
      <c r="I98" s="300"/>
      <c r="J98" s="300"/>
      <c r="K98" s="300"/>
      <c r="L98" s="300"/>
      <c r="M98" s="300"/>
      <c r="N98" s="300"/>
      <c r="O98" s="300"/>
      <c r="P98" s="300"/>
      <c r="Q98" s="300"/>
      <c r="R98" s="300"/>
      <c r="S98" s="300"/>
      <c r="T98" s="300"/>
      <c r="U98" s="300"/>
      <c r="V98" s="300"/>
      <c r="W98" s="300"/>
      <c r="X98" s="300"/>
      <c r="Y98" s="300"/>
      <c r="Z98" s="300"/>
      <c r="AA98" s="300"/>
    </row>
    <row r="99" spans="1:27" ht="15.5" x14ac:dyDescent="0.35">
      <c r="A99" s="300"/>
      <c r="B99" s="300"/>
      <c r="C99" s="300"/>
      <c r="D99" s="300"/>
      <c r="E99" s="300"/>
      <c r="F99" s="300"/>
      <c r="G99" s="300"/>
      <c r="H99" s="300"/>
      <c r="I99" s="300"/>
      <c r="J99" s="300"/>
      <c r="K99" s="300"/>
      <c r="L99" s="300"/>
      <c r="M99" s="300"/>
      <c r="N99" s="300"/>
      <c r="O99" s="300"/>
      <c r="P99" s="300"/>
      <c r="Q99" s="300"/>
      <c r="R99" s="300"/>
      <c r="S99" s="300"/>
      <c r="T99" s="300"/>
      <c r="U99" s="300"/>
      <c r="V99" s="300"/>
      <c r="W99" s="300"/>
      <c r="X99" s="300"/>
      <c r="Y99" s="300"/>
      <c r="Z99" s="300"/>
      <c r="AA99" s="300"/>
    </row>
    <row r="100" spans="1:27" ht="15.5" x14ac:dyDescent="0.35">
      <c r="A100" s="300"/>
      <c r="B100" s="300"/>
      <c r="C100" s="300"/>
      <c r="D100" s="300"/>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c r="AA100" s="300"/>
    </row>
    <row r="101" spans="1:27" ht="15.5" x14ac:dyDescent="0.35">
      <c r="A101" s="300"/>
      <c r="B101" s="300"/>
      <c r="C101" s="300"/>
      <c r="D101" s="300"/>
      <c r="E101" s="300"/>
      <c r="F101" s="300"/>
      <c r="G101" s="300"/>
      <c r="H101" s="300"/>
      <c r="I101" s="300"/>
      <c r="J101" s="300"/>
      <c r="K101" s="300"/>
      <c r="L101" s="300"/>
      <c r="M101" s="300"/>
      <c r="N101" s="300"/>
      <c r="O101" s="300"/>
      <c r="P101" s="300"/>
      <c r="Q101" s="300"/>
      <c r="R101" s="300"/>
      <c r="S101" s="300"/>
      <c r="T101" s="300"/>
      <c r="U101" s="300"/>
      <c r="V101" s="300"/>
      <c r="W101" s="300"/>
      <c r="X101" s="300"/>
      <c r="Y101" s="300"/>
      <c r="Z101" s="300"/>
      <c r="AA101" s="300"/>
    </row>
    <row r="102" spans="1:27" ht="15.5" x14ac:dyDescent="0.35">
      <c r="A102" s="300"/>
      <c r="B102" s="300"/>
      <c r="C102" s="300"/>
      <c r="D102" s="300"/>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c r="AA102" s="300"/>
    </row>
    <row r="103" spans="1:27" ht="15.5" x14ac:dyDescent="0.35">
      <c r="A103" s="300"/>
      <c r="B103" s="300"/>
      <c r="C103" s="300"/>
      <c r="D103" s="300"/>
      <c r="E103" s="300"/>
      <c r="F103" s="300"/>
      <c r="G103" s="300"/>
      <c r="H103" s="300"/>
      <c r="I103" s="300"/>
      <c r="J103" s="300"/>
      <c r="K103" s="300"/>
      <c r="L103" s="300"/>
      <c r="M103" s="300"/>
      <c r="N103" s="300"/>
      <c r="O103" s="300"/>
      <c r="P103" s="300"/>
      <c r="Q103" s="300"/>
      <c r="R103" s="300"/>
      <c r="S103" s="300"/>
      <c r="T103" s="300"/>
      <c r="U103" s="300"/>
      <c r="V103" s="300"/>
      <c r="W103" s="300"/>
      <c r="X103" s="300"/>
      <c r="Y103" s="300"/>
      <c r="Z103" s="300"/>
      <c r="AA103" s="300"/>
    </row>
    <row r="104" spans="1:27" ht="15.5" x14ac:dyDescent="0.35">
      <c r="A104" s="300"/>
      <c r="B104" s="300"/>
      <c r="C104" s="300"/>
      <c r="D104" s="300"/>
      <c r="E104" s="300"/>
      <c r="F104" s="300"/>
      <c r="G104" s="300"/>
      <c r="H104" s="300"/>
      <c r="I104" s="300"/>
      <c r="J104" s="300"/>
      <c r="K104" s="300"/>
      <c r="L104" s="300"/>
      <c r="M104" s="300"/>
      <c r="N104" s="300"/>
      <c r="O104" s="300"/>
      <c r="P104" s="300"/>
      <c r="Q104" s="300"/>
      <c r="R104" s="300"/>
      <c r="S104" s="300"/>
      <c r="T104" s="300"/>
      <c r="U104" s="300"/>
      <c r="V104" s="300"/>
      <c r="W104" s="300"/>
      <c r="X104" s="300"/>
      <c r="Y104" s="300"/>
      <c r="Z104" s="300"/>
      <c r="AA104" s="300"/>
    </row>
    <row r="105" spans="1:27" ht="15.5" x14ac:dyDescent="0.35">
      <c r="A105" s="300"/>
      <c r="B105" s="300"/>
      <c r="C105" s="300"/>
      <c r="D105" s="300"/>
      <c r="E105" s="300"/>
      <c r="F105" s="300"/>
      <c r="G105" s="300"/>
      <c r="H105" s="300"/>
      <c r="I105" s="300"/>
      <c r="J105" s="300"/>
      <c r="K105" s="300"/>
      <c r="L105" s="300"/>
      <c r="M105" s="300"/>
      <c r="N105" s="300"/>
      <c r="O105" s="300"/>
      <c r="P105" s="300"/>
      <c r="Q105" s="300"/>
      <c r="R105" s="300"/>
      <c r="S105" s="300"/>
      <c r="T105" s="300"/>
      <c r="U105" s="300"/>
      <c r="V105" s="300"/>
      <c r="W105" s="300"/>
      <c r="X105" s="300"/>
      <c r="Y105" s="300"/>
      <c r="Z105" s="300"/>
      <c r="AA105" s="300"/>
    </row>
    <row r="106" spans="1:27" ht="15.5" x14ac:dyDescent="0.35">
      <c r="A106" s="300"/>
      <c r="B106" s="300"/>
      <c r="C106" s="300"/>
      <c r="D106" s="300"/>
      <c r="E106" s="300"/>
      <c r="F106" s="300"/>
      <c r="G106" s="300"/>
      <c r="H106" s="300"/>
      <c r="I106" s="300"/>
      <c r="J106" s="300"/>
      <c r="K106" s="300"/>
      <c r="L106" s="300"/>
      <c r="M106" s="300"/>
      <c r="N106" s="300"/>
      <c r="O106" s="300"/>
      <c r="P106" s="300"/>
      <c r="Q106" s="300"/>
      <c r="R106" s="300"/>
      <c r="S106" s="300"/>
      <c r="T106" s="300"/>
      <c r="U106" s="300"/>
      <c r="V106" s="300"/>
      <c r="W106" s="300"/>
      <c r="X106" s="300"/>
      <c r="Y106" s="300"/>
      <c r="Z106" s="300"/>
      <c r="AA106" s="300"/>
    </row>
    <row r="107" spans="1:27" ht="15.5" x14ac:dyDescent="0.35">
      <c r="A107" s="300"/>
      <c r="B107" s="300"/>
      <c r="C107" s="300"/>
      <c r="D107" s="300"/>
      <c r="E107" s="300"/>
      <c r="F107" s="300"/>
      <c r="G107" s="300"/>
      <c r="H107" s="300"/>
      <c r="I107" s="300"/>
      <c r="J107" s="300"/>
      <c r="K107" s="300"/>
      <c r="L107" s="300"/>
      <c r="M107" s="300"/>
      <c r="N107" s="300"/>
      <c r="O107" s="300"/>
      <c r="P107" s="300"/>
      <c r="Q107" s="300"/>
      <c r="R107" s="300"/>
      <c r="S107" s="300"/>
      <c r="T107" s="300"/>
      <c r="U107" s="300"/>
      <c r="V107" s="300"/>
      <c r="W107" s="300"/>
      <c r="X107" s="300"/>
      <c r="Y107" s="300"/>
      <c r="Z107" s="300"/>
      <c r="AA107" s="300"/>
    </row>
    <row r="108" spans="1:27" ht="15.5" x14ac:dyDescent="0.35">
      <c r="A108" s="300"/>
      <c r="B108" s="300"/>
      <c r="C108" s="300"/>
      <c r="D108" s="300"/>
      <c r="E108" s="300"/>
      <c r="F108" s="300"/>
      <c r="G108" s="300"/>
      <c r="H108" s="300"/>
      <c r="I108" s="300"/>
      <c r="J108" s="300"/>
      <c r="K108" s="300"/>
      <c r="L108" s="300"/>
      <c r="M108" s="300"/>
      <c r="N108" s="300"/>
      <c r="O108" s="300"/>
      <c r="P108" s="300"/>
      <c r="Q108" s="300"/>
      <c r="R108" s="300"/>
      <c r="S108" s="300"/>
      <c r="T108" s="300"/>
      <c r="U108" s="300"/>
      <c r="V108" s="300"/>
      <c r="W108" s="300"/>
      <c r="X108" s="300"/>
      <c r="Y108" s="300"/>
      <c r="Z108" s="300"/>
      <c r="AA108" s="300"/>
    </row>
    <row r="109" spans="1:27" ht="15.5" x14ac:dyDescent="0.35">
      <c r="A109" s="300"/>
      <c r="B109" s="300"/>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c r="AA109" s="300"/>
    </row>
    <row r="110" spans="1:27" ht="15.5" x14ac:dyDescent="0.35">
      <c r="A110" s="300"/>
      <c r="B110" s="300"/>
      <c r="C110" s="300"/>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c r="AA110" s="300"/>
    </row>
    <row r="111" spans="1:27" ht="15.5" x14ac:dyDescent="0.35">
      <c r="A111" s="300"/>
      <c r="B111" s="300"/>
      <c r="C111" s="300"/>
      <c r="D111" s="300"/>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c r="AA111" s="300"/>
    </row>
    <row r="112" spans="1:27" ht="15.5" x14ac:dyDescent="0.35">
      <c r="A112" s="300"/>
      <c r="B112" s="300"/>
      <c r="C112" s="300"/>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c r="AA112" s="300"/>
    </row>
    <row r="113" spans="1:27" ht="15.5" x14ac:dyDescent="0.35">
      <c r="A113" s="300"/>
      <c r="B113" s="300"/>
      <c r="C113" s="300"/>
      <c r="D113" s="300"/>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c r="AA113" s="300"/>
    </row>
    <row r="114" spans="1:27" ht="15.5" x14ac:dyDescent="0.35">
      <c r="A114" s="300"/>
      <c r="B114" s="300"/>
      <c r="C114" s="300"/>
      <c r="D114" s="300"/>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c r="AA114" s="300"/>
    </row>
    <row r="115" spans="1:27" ht="15.5" x14ac:dyDescent="0.35">
      <c r="A115" s="300"/>
      <c r="B115" s="300"/>
      <c r="C115" s="300"/>
      <c r="D115" s="300"/>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c r="AA115" s="300"/>
    </row>
    <row r="116" spans="1:27" ht="15.5" x14ac:dyDescent="0.35">
      <c r="A116" s="300"/>
      <c r="B116" s="300"/>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0"/>
    </row>
    <row r="117" spans="1:27" ht="15.5" x14ac:dyDescent="0.35">
      <c r="A117" s="300"/>
      <c r="B117" s="300"/>
      <c r="C117" s="300"/>
      <c r="D117" s="300"/>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c r="AA117" s="300"/>
    </row>
    <row r="118" spans="1:27" ht="15.5" x14ac:dyDescent="0.35">
      <c r="A118" s="300"/>
      <c r="B118" s="300"/>
      <c r="C118" s="300"/>
      <c r="D118" s="300"/>
      <c r="E118" s="300"/>
      <c r="F118" s="300"/>
      <c r="G118" s="300"/>
      <c r="H118" s="300"/>
      <c r="I118" s="300"/>
      <c r="J118" s="300"/>
      <c r="K118" s="300"/>
      <c r="L118" s="300"/>
      <c r="M118" s="300"/>
      <c r="N118" s="300"/>
      <c r="O118" s="300"/>
      <c r="P118" s="300"/>
      <c r="Q118" s="300"/>
      <c r="R118" s="300"/>
      <c r="S118" s="300"/>
      <c r="T118" s="300"/>
      <c r="U118" s="300"/>
      <c r="V118" s="300"/>
      <c r="W118" s="300"/>
      <c r="X118" s="300"/>
      <c r="Y118" s="300"/>
      <c r="Z118" s="300"/>
      <c r="AA118" s="300"/>
    </row>
    <row r="119" spans="1:27" ht="15.5" x14ac:dyDescent="0.35">
      <c r="A119" s="300"/>
      <c r="B119" s="300"/>
      <c r="C119" s="300"/>
      <c r="D119" s="300"/>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c r="AA119" s="300"/>
    </row>
    <row r="120" spans="1:27" ht="15.5" x14ac:dyDescent="0.35">
      <c r="A120" s="300"/>
      <c r="B120" s="300"/>
      <c r="C120" s="300"/>
      <c r="D120" s="300"/>
      <c r="E120" s="300"/>
      <c r="F120" s="300"/>
      <c r="G120" s="300"/>
      <c r="H120" s="300"/>
      <c r="I120" s="300"/>
      <c r="J120" s="300"/>
      <c r="K120" s="300"/>
      <c r="L120" s="300"/>
      <c r="M120" s="300"/>
      <c r="N120" s="300"/>
      <c r="O120" s="300"/>
      <c r="P120" s="300"/>
      <c r="Q120" s="300"/>
      <c r="R120" s="300"/>
      <c r="S120" s="300"/>
      <c r="T120" s="300"/>
      <c r="U120" s="300"/>
      <c r="V120" s="300"/>
      <c r="W120" s="300"/>
      <c r="X120" s="300"/>
      <c r="Y120" s="300"/>
      <c r="Z120" s="300"/>
      <c r="AA120" s="300"/>
    </row>
    <row r="121" spans="1:27" ht="15.5" x14ac:dyDescent="0.35">
      <c r="A121" s="300"/>
      <c r="B121" s="300"/>
      <c r="C121" s="300"/>
      <c r="D121" s="300"/>
      <c r="E121" s="300"/>
      <c r="F121" s="300"/>
      <c r="G121" s="300"/>
      <c r="H121" s="300"/>
      <c r="I121" s="300"/>
      <c r="J121" s="300"/>
      <c r="K121" s="300"/>
      <c r="L121" s="300"/>
      <c r="M121" s="300"/>
      <c r="N121" s="300"/>
      <c r="O121" s="300"/>
      <c r="P121" s="300"/>
      <c r="Q121" s="300"/>
      <c r="R121" s="300"/>
      <c r="S121" s="300"/>
      <c r="T121" s="300"/>
      <c r="U121" s="300"/>
      <c r="V121" s="300"/>
      <c r="W121" s="300"/>
      <c r="X121" s="300"/>
      <c r="Y121" s="300"/>
      <c r="Z121" s="300"/>
      <c r="AA121" s="300"/>
    </row>
    <row r="122" spans="1:27" ht="15.5" x14ac:dyDescent="0.35">
      <c r="A122" s="300"/>
      <c r="B122" s="300"/>
      <c r="C122" s="300"/>
      <c r="D122" s="300"/>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c r="AA122" s="300"/>
    </row>
    <row r="123" spans="1:27" ht="15.5" x14ac:dyDescent="0.35">
      <c r="A123" s="300"/>
      <c r="B123" s="300"/>
      <c r="C123" s="300"/>
      <c r="D123" s="300"/>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c r="AA123" s="300"/>
    </row>
    <row r="124" spans="1:27" ht="15.5" x14ac:dyDescent="0.35">
      <c r="A124" s="300"/>
      <c r="B124" s="300"/>
      <c r="C124" s="300"/>
      <c r="D124" s="300"/>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c r="AA124" s="300"/>
    </row>
    <row r="125" spans="1:27" ht="15.5" x14ac:dyDescent="0.35">
      <c r="A125" s="300"/>
      <c r="B125" s="300"/>
      <c r="C125" s="300"/>
      <c r="D125" s="300"/>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c r="AA125" s="300"/>
    </row>
    <row r="126" spans="1:27" ht="15.5" x14ac:dyDescent="0.35">
      <c r="A126" s="300"/>
      <c r="B126" s="300"/>
      <c r="C126" s="300"/>
      <c r="D126" s="300"/>
      <c r="E126" s="300"/>
      <c r="F126" s="300"/>
      <c r="G126" s="300"/>
      <c r="H126" s="300"/>
      <c r="I126" s="300"/>
      <c r="J126" s="300"/>
      <c r="K126" s="300"/>
      <c r="L126" s="300"/>
      <c r="M126" s="300"/>
      <c r="N126" s="300"/>
      <c r="O126" s="300"/>
      <c r="P126" s="300"/>
      <c r="Q126" s="300"/>
      <c r="R126" s="300"/>
      <c r="S126" s="300"/>
      <c r="T126" s="300"/>
      <c r="U126" s="300"/>
      <c r="V126" s="300"/>
      <c r="W126" s="300"/>
      <c r="X126" s="300"/>
      <c r="Y126" s="300"/>
      <c r="Z126" s="300"/>
      <c r="AA126" s="300"/>
    </row>
    <row r="127" spans="1:27" ht="15.5" x14ac:dyDescent="0.35">
      <c r="A127" s="300"/>
      <c r="B127" s="300"/>
      <c r="C127" s="300"/>
      <c r="D127" s="300"/>
      <c r="E127" s="300"/>
      <c r="F127" s="300"/>
      <c r="G127" s="300"/>
      <c r="H127" s="300"/>
      <c r="I127" s="300"/>
      <c r="J127" s="300"/>
      <c r="K127" s="300"/>
      <c r="L127" s="300"/>
      <c r="M127" s="300"/>
      <c r="N127" s="300"/>
      <c r="O127" s="300"/>
      <c r="P127" s="300"/>
      <c r="Q127" s="300"/>
      <c r="R127" s="300"/>
      <c r="S127" s="300"/>
      <c r="T127" s="300"/>
      <c r="U127" s="300"/>
      <c r="V127" s="300"/>
      <c r="W127" s="300"/>
      <c r="X127" s="300"/>
      <c r="Y127" s="300"/>
      <c r="Z127" s="300"/>
      <c r="AA127" s="300"/>
    </row>
    <row r="128" spans="1:27" ht="15.5" x14ac:dyDescent="0.35">
      <c r="A128" s="300"/>
      <c r="B128" s="300"/>
      <c r="C128" s="300"/>
      <c r="D128" s="300"/>
      <c r="E128" s="300"/>
      <c r="F128" s="300"/>
      <c r="G128" s="300"/>
      <c r="H128" s="300"/>
      <c r="I128" s="300"/>
      <c r="J128" s="300"/>
      <c r="K128" s="300"/>
      <c r="L128" s="300"/>
      <c r="M128" s="300"/>
      <c r="N128" s="300"/>
      <c r="O128" s="300"/>
      <c r="P128" s="300"/>
      <c r="Q128" s="300"/>
      <c r="R128" s="300"/>
      <c r="S128" s="300"/>
      <c r="T128" s="300"/>
      <c r="U128" s="300"/>
      <c r="V128" s="300"/>
      <c r="W128" s="300"/>
      <c r="X128" s="300"/>
      <c r="Y128" s="300"/>
      <c r="Z128" s="300"/>
      <c r="AA128" s="300"/>
    </row>
    <row r="129" spans="1:27" ht="15.5" x14ac:dyDescent="0.35">
      <c r="A129" s="300"/>
      <c r="B129" s="300"/>
      <c r="C129" s="300"/>
      <c r="D129" s="300"/>
      <c r="E129" s="300"/>
      <c r="F129" s="300"/>
      <c r="G129" s="300"/>
      <c r="H129" s="300"/>
      <c r="I129" s="300"/>
      <c r="J129" s="300"/>
      <c r="K129" s="300"/>
      <c r="L129" s="300"/>
      <c r="M129" s="300"/>
      <c r="N129" s="300"/>
      <c r="O129" s="300"/>
      <c r="P129" s="300"/>
      <c r="Q129" s="300"/>
      <c r="R129" s="300"/>
      <c r="S129" s="300"/>
      <c r="T129" s="300"/>
      <c r="U129" s="300"/>
      <c r="V129" s="300"/>
      <c r="W129" s="300"/>
      <c r="X129" s="300"/>
      <c r="Y129" s="300"/>
      <c r="Z129" s="300"/>
      <c r="AA129" s="300"/>
    </row>
    <row r="130" spans="1:27" ht="15.5" x14ac:dyDescent="0.35">
      <c r="A130" s="300"/>
      <c r="B130" s="300"/>
      <c r="C130" s="300"/>
      <c r="D130" s="300"/>
      <c r="E130" s="300"/>
      <c r="F130" s="300"/>
      <c r="G130" s="300"/>
      <c r="H130" s="300"/>
      <c r="I130" s="300"/>
      <c r="J130" s="300"/>
      <c r="K130" s="300"/>
      <c r="L130" s="300"/>
      <c r="M130" s="300"/>
      <c r="N130" s="300"/>
      <c r="O130" s="300"/>
      <c r="P130" s="300"/>
      <c r="Q130" s="300"/>
      <c r="R130" s="300"/>
      <c r="S130" s="300"/>
      <c r="T130" s="300"/>
      <c r="U130" s="300"/>
      <c r="V130" s="300"/>
      <c r="W130" s="300"/>
      <c r="X130" s="300"/>
      <c r="Y130" s="300"/>
      <c r="Z130" s="300"/>
      <c r="AA130" s="300"/>
    </row>
    <row r="131" spans="1:27" ht="15.5" x14ac:dyDescent="0.35">
      <c r="A131" s="300"/>
      <c r="B131" s="300"/>
      <c r="C131" s="300"/>
      <c r="D131" s="300"/>
      <c r="E131" s="300"/>
      <c r="F131" s="300"/>
      <c r="G131" s="300"/>
      <c r="H131" s="300"/>
      <c r="I131" s="300"/>
      <c r="J131" s="300"/>
      <c r="K131" s="300"/>
      <c r="L131" s="300"/>
      <c r="M131" s="300"/>
      <c r="N131" s="300"/>
      <c r="O131" s="300"/>
      <c r="P131" s="300"/>
      <c r="Q131" s="300"/>
      <c r="R131" s="300"/>
      <c r="S131" s="300"/>
      <c r="T131" s="300"/>
      <c r="U131" s="300"/>
      <c r="V131" s="300"/>
      <c r="W131" s="300"/>
      <c r="X131" s="300"/>
      <c r="Y131" s="300"/>
      <c r="Z131" s="300"/>
      <c r="AA131" s="300"/>
    </row>
    <row r="132" spans="1:27" ht="15.5" x14ac:dyDescent="0.35">
      <c r="A132" s="300"/>
      <c r="B132" s="300"/>
      <c r="C132" s="300"/>
      <c r="D132" s="300"/>
      <c r="E132" s="300"/>
      <c r="F132" s="300"/>
      <c r="G132" s="300"/>
      <c r="H132" s="300"/>
      <c r="I132" s="300"/>
      <c r="J132" s="300"/>
      <c r="K132" s="300"/>
      <c r="L132" s="300"/>
      <c r="M132" s="300"/>
      <c r="N132" s="300"/>
      <c r="O132" s="300"/>
      <c r="P132" s="300"/>
      <c r="Q132" s="300"/>
      <c r="R132" s="300"/>
      <c r="S132" s="300"/>
      <c r="T132" s="300"/>
      <c r="U132" s="300"/>
      <c r="V132" s="300"/>
      <c r="W132" s="300"/>
      <c r="X132" s="300"/>
      <c r="Y132" s="300"/>
      <c r="Z132" s="300"/>
      <c r="AA132" s="300"/>
    </row>
    <row r="133" spans="1:27" ht="15.5" x14ac:dyDescent="0.35">
      <c r="A133" s="300"/>
      <c r="B133" s="300"/>
      <c r="C133" s="300"/>
      <c r="D133" s="300"/>
      <c r="E133" s="300"/>
      <c r="F133" s="300"/>
      <c r="G133" s="300"/>
      <c r="H133" s="300"/>
      <c r="I133" s="300"/>
      <c r="J133" s="300"/>
      <c r="K133" s="300"/>
      <c r="L133" s="300"/>
      <c r="M133" s="300"/>
      <c r="N133" s="300"/>
      <c r="O133" s="300"/>
      <c r="P133" s="300"/>
      <c r="Q133" s="300"/>
      <c r="R133" s="300"/>
      <c r="S133" s="300"/>
      <c r="T133" s="300"/>
      <c r="U133" s="300"/>
      <c r="V133" s="300"/>
      <c r="W133" s="300"/>
      <c r="X133" s="300"/>
      <c r="Y133" s="300"/>
      <c r="Z133" s="300"/>
      <c r="AA133" s="300"/>
    </row>
    <row r="134" spans="1:27" ht="15.5" x14ac:dyDescent="0.35">
      <c r="A134" s="300"/>
      <c r="B134" s="300"/>
      <c r="C134" s="300"/>
      <c r="D134" s="300"/>
      <c r="E134" s="300"/>
      <c r="F134" s="300"/>
      <c r="G134" s="300"/>
      <c r="H134" s="300"/>
      <c r="I134" s="300"/>
      <c r="J134" s="300"/>
      <c r="K134" s="300"/>
      <c r="L134" s="300"/>
      <c r="M134" s="300"/>
      <c r="N134" s="300"/>
      <c r="O134" s="300"/>
      <c r="P134" s="300"/>
      <c r="Q134" s="300"/>
      <c r="R134" s="300"/>
      <c r="S134" s="300"/>
      <c r="T134" s="300"/>
      <c r="U134" s="300"/>
      <c r="V134" s="300"/>
      <c r="W134" s="300"/>
      <c r="X134" s="300"/>
      <c r="Y134" s="300"/>
      <c r="Z134" s="300"/>
      <c r="AA134" s="300"/>
    </row>
    <row r="135" spans="1:27" ht="15.5" x14ac:dyDescent="0.35">
      <c r="A135" s="300"/>
      <c r="B135" s="300"/>
      <c r="C135" s="300"/>
      <c r="D135" s="300"/>
      <c r="E135" s="300"/>
      <c r="F135" s="300"/>
      <c r="G135" s="300"/>
      <c r="H135" s="300"/>
      <c r="I135" s="300"/>
      <c r="J135" s="300"/>
      <c r="K135" s="300"/>
      <c r="L135" s="300"/>
      <c r="M135" s="300"/>
      <c r="N135" s="300"/>
      <c r="O135" s="300"/>
      <c r="P135" s="300"/>
      <c r="Q135" s="300"/>
      <c r="R135" s="300"/>
      <c r="S135" s="300"/>
      <c r="T135" s="300"/>
      <c r="U135" s="300"/>
      <c r="V135" s="300"/>
      <c r="W135" s="300"/>
      <c r="X135" s="300"/>
      <c r="Y135" s="300"/>
      <c r="Z135" s="300"/>
      <c r="AA135" s="300"/>
    </row>
    <row r="136" spans="1:27" ht="15.5" x14ac:dyDescent="0.35">
      <c r="A136" s="300"/>
      <c r="B136" s="300"/>
      <c r="C136" s="300"/>
      <c r="D136" s="300"/>
      <c r="E136" s="300"/>
      <c r="F136" s="300"/>
      <c r="G136" s="300"/>
      <c r="H136" s="300"/>
      <c r="I136" s="300"/>
      <c r="J136" s="300"/>
      <c r="K136" s="300"/>
      <c r="L136" s="300"/>
      <c r="M136" s="300"/>
      <c r="N136" s="300"/>
      <c r="O136" s="300"/>
      <c r="P136" s="300"/>
      <c r="Q136" s="300"/>
      <c r="R136" s="300"/>
      <c r="S136" s="300"/>
      <c r="T136" s="300"/>
      <c r="U136" s="300"/>
      <c r="V136" s="300"/>
      <c r="W136" s="300"/>
      <c r="X136" s="300"/>
      <c r="Y136" s="300"/>
      <c r="Z136" s="300"/>
      <c r="AA136" s="300"/>
    </row>
    <row r="137" spans="1:27" ht="15.5" x14ac:dyDescent="0.35">
      <c r="A137" s="300"/>
      <c r="B137" s="300"/>
      <c r="C137" s="300"/>
      <c r="D137" s="300"/>
      <c r="E137" s="300"/>
      <c r="F137" s="300"/>
      <c r="G137" s="300"/>
      <c r="H137" s="300"/>
      <c r="I137" s="300"/>
      <c r="J137" s="300"/>
      <c r="K137" s="300"/>
      <c r="L137" s="300"/>
      <c r="M137" s="300"/>
      <c r="N137" s="300"/>
      <c r="O137" s="300"/>
      <c r="P137" s="300"/>
      <c r="Q137" s="300"/>
      <c r="R137" s="300"/>
      <c r="S137" s="300"/>
      <c r="T137" s="300"/>
      <c r="U137" s="300"/>
      <c r="V137" s="300"/>
      <c r="W137" s="300"/>
      <c r="X137" s="300"/>
      <c r="Y137" s="300"/>
      <c r="Z137" s="300"/>
      <c r="AA137" s="300"/>
    </row>
    <row r="138" spans="1:27" ht="15.5" x14ac:dyDescent="0.35">
      <c r="A138" s="300"/>
      <c r="B138" s="300"/>
      <c r="C138" s="300"/>
      <c r="D138" s="300"/>
      <c r="E138" s="300"/>
      <c r="F138" s="300"/>
      <c r="G138" s="300"/>
      <c r="H138" s="300"/>
      <c r="I138" s="300"/>
      <c r="J138" s="300"/>
      <c r="K138" s="300"/>
      <c r="L138" s="300"/>
      <c r="M138" s="300"/>
      <c r="N138" s="300"/>
      <c r="O138" s="300"/>
      <c r="P138" s="300"/>
      <c r="Q138" s="300"/>
      <c r="R138" s="300"/>
      <c r="S138" s="300"/>
      <c r="T138" s="300"/>
      <c r="U138" s="300"/>
      <c r="V138" s="300"/>
      <c r="W138" s="300"/>
      <c r="X138" s="300"/>
      <c r="Y138" s="300"/>
      <c r="Z138" s="300"/>
      <c r="AA138" s="300"/>
    </row>
    <row r="139" spans="1:27" ht="15.5" x14ac:dyDescent="0.35">
      <c r="A139" s="300"/>
      <c r="B139" s="300"/>
      <c r="C139" s="300"/>
      <c r="D139" s="300"/>
      <c r="E139" s="300"/>
      <c r="F139" s="300"/>
      <c r="G139" s="300"/>
      <c r="H139" s="300"/>
      <c r="I139" s="300"/>
      <c r="J139" s="300"/>
      <c r="K139" s="300"/>
      <c r="L139" s="300"/>
      <c r="M139" s="300"/>
      <c r="N139" s="300"/>
      <c r="O139" s="300"/>
      <c r="P139" s="300"/>
      <c r="Q139" s="300"/>
      <c r="R139" s="300"/>
      <c r="S139" s="300"/>
      <c r="T139" s="300"/>
      <c r="U139" s="300"/>
      <c r="V139" s="300"/>
      <c r="W139" s="300"/>
      <c r="X139" s="300"/>
      <c r="Y139" s="300"/>
      <c r="Z139" s="300"/>
      <c r="AA139" s="300"/>
    </row>
    <row r="140" spans="1:27" ht="15.5" x14ac:dyDescent="0.35">
      <c r="A140" s="300"/>
      <c r="B140" s="300"/>
      <c r="C140" s="300"/>
      <c r="D140" s="300"/>
      <c r="E140" s="300"/>
      <c r="F140" s="300"/>
      <c r="G140" s="300"/>
      <c r="H140" s="300"/>
      <c r="I140" s="300"/>
      <c r="J140" s="300"/>
      <c r="K140" s="300"/>
      <c r="L140" s="300"/>
      <c r="M140" s="300"/>
      <c r="N140" s="300"/>
      <c r="O140" s="300"/>
      <c r="P140" s="300"/>
      <c r="Q140" s="300"/>
      <c r="R140" s="300"/>
      <c r="S140" s="300"/>
      <c r="T140" s="300"/>
      <c r="U140" s="300"/>
      <c r="V140" s="300"/>
      <c r="W140" s="300"/>
      <c r="X140" s="300"/>
      <c r="Y140" s="300"/>
      <c r="Z140" s="300"/>
      <c r="AA140" s="300"/>
    </row>
    <row r="141" spans="1:27" ht="15.5" x14ac:dyDescent="0.35">
      <c r="A141" s="300"/>
      <c r="B141" s="300"/>
      <c r="C141" s="300"/>
      <c r="D141" s="300"/>
      <c r="E141" s="300"/>
      <c r="F141" s="300"/>
      <c r="G141" s="300"/>
      <c r="H141" s="300"/>
      <c r="I141" s="300"/>
      <c r="J141" s="300"/>
      <c r="K141" s="300"/>
      <c r="L141" s="300"/>
      <c r="M141" s="300"/>
      <c r="N141" s="300"/>
      <c r="O141" s="300"/>
      <c r="P141" s="300"/>
      <c r="Q141" s="300"/>
      <c r="R141" s="300"/>
      <c r="S141" s="300"/>
      <c r="T141" s="300"/>
      <c r="U141" s="300"/>
      <c r="V141" s="300"/>
      <c r="W141" s="300"/>
      <c r="X141" s="300"/>
      <c r="Y141" s="300"/>
      <c r="Z141" s="300"/>
      <c r="AA141" s="300"/>
    </row>
    <row r="142" spans="1:27" ht="15.5" x14ac:dyDescent="0.35">
      <c r="A142" s="300"/>
      <c r="B142" s="300"/>
      <c r="C142" s="300"/>
      <c r="D142" s="300"/>
      <c r="E142" s="300"/>
      <c r="F142" s="300"/>
      <c r="G142" s="300"/>
      <c r="H142" s="300"/>
      <c r="I142" s="300"/>
      <c r="J142" s="300"/>
      <c r="K142" s="300"/>
      <c r="L142" s="300"/>
      <c r="M142" s="300"/>
      <c r="N142" s="300"/>
      <c r="O142" s="300"/>
      <c r="P142" s="300"/>
      <c r="Q142" s="300"/>
      <c r="R142" s="300"/>
      <c r="S142" s="300"/>
      <c r="T142" s="300"/>
      <c r="U142" s="300"/>
      <c r="V142" s="300"/>
      <c r="W142" s="300"/>
      <c r="X142" s="300"/>
      <c r="Y142" s="300"/>
      <c r="Z142" s="300"/>
      <c r="AA142" s="300"/>
    </row>
    <row r="143" spans="1:27" ht="15.5" x14ac:dyDescent="0.35">
      <c r="A143" s="300"/>
      <c r="B143" s="300"/>
      <c r="C143" s="300"/>
      <c r="D143" s="300"/>
      <c r="E143" s="300"/>
      <c r="F143" s="300"/>
      <c r="G143" s="300"/>
      <c r="H143" s="300"/>
      <c r="I143" s="300"/>
      <c r="J143" s="300"/>
      <c r="K143" s="300"/>
      <c r="L143" s="300"/>
      <c r="M143" s="300"/>
      <c r="N143" s="300"/>
      <c r="O143" s="300"/>
      <c r="P143" s="300"/>
      <c r="Q143" s="300"/>
      <c r="R143" s="300"/>
      <c r="S143" s="300"/>
      <c r="T143" s="300"/>
      <c r="U143" s="300"/>
      <c r="V143" s="300"/>
      <c r="W143" s="300"/>
      <c r="X143" s="300"/>
      <c r="Y143" s="300"/>
      <c r="Z143" s="300"/>
      <c r="AA143" s="300"/>
    </row>
    <row r="144" spans="1:27" ht="15.5" x14ac:dyDescent="0.35">
      <c r="A144" s="300"/>
      <c r="B144" s="300"/>
      <c r="C144" s="300"/>
      <c r="D144" s="300"/>
      <c r="E144" s="300"/>
      <c r="F144" s="300"/>
      <c r="G144" s="300"/>
      <c r="H144" s="300"/>
      <c r="I144" s="300"/>
      <c r="J144" s="300"/>
      <c r="K144" s="300"/>
      <c r="L144" s="300"/>
      <c r="M144" s="300"/>
      <c r="N144" s="300"/>
      <c r="O144" s="300"/>
      <c r="P144" s="300"/>
      <c r="Q144" s="300"/>
      <c r="R144" s="300"/>
      <c r="S144" s="300"/>
      <c r="T144" s="300"/>
      <c r="U144" s="300"/>
      <c r="V144" s="300"/>
      <c r="W144" s="300"/>
      <c r="X144" s="300"/>
      <c r="Y144" s="300"/>
      <c r="Z144" s="300"/>
      <c r="AA144" s="300"/>
    </row>
    <row r="145" spans="1:27" ht="15.5" x14ac:dyDescent="0.35">
      <c r="A145" s="300"/>
      <c r="B145" s="300"/>
      <c r="C145" s="300"/>
      <c r="D145" s="300"/>
      <c r="E145" s="300"/>
      <c r="F145" s="300"/>
      <c r="G145" s="300"/>
      <c r="H145" s="300"/>
      <c r="I145" s="300"/>
      <c r="J145" s="300"/>
      <c r="K145" s="300"/>
      <c r="L145" s="300"/>
      <c r="M145" s="300"/>
      <c r="N145" s="300"/>
      <c r="O145" s="300"/>
      <c r="P145" s="300"/>
      <c r="Q145" s="300"/>
      <c r="R145" s="300"/>
      <c r="S145" s="300"/>
      <c r="T145" s="300"/>
      <c r="U145" s="300"/>
      <c r="V145" s="300"/>
      <c r="W145" s="300"/>
      <c r="X145" s="300"/>
      <c r="Y145" s="300"/>
      <c r="Z145" s="300"/>
      <c r="AA145" s="300"/>
    </row>
    <row r="146" spans="1:27" ht="15.5" x14ac:dyDescent="0.35">
      <c r="A146" s="300"/>
      <c r="B146" s="300"/>
      <c r="C146" s="300"/>
      <c r="D146" s="300"/>
      <c r="E146" s="300"/>
      <c r="F146" s="300"/>
      <c r="G146" s="300"/>
      <c r="H146" s="300"/>
      <c r="I146" s="300"/>
      <c r="J146" s="300"/>
      <c r="K146" s="300"/>
      <c r="L146" s="300"/>
      <c r="M146" s="300"/>
      <c r="N146" s="300"/>
      <c r="O146" s="300"/>
      <c r="P146" s="300"/>
      <c r="Q146" s="300"/>
      <c r="R146" s="300"/>
      <c r="S146" s="300"/>
      <c r="T146" s="300"/>
      <c r="U146" s="300"/>
      <c r="V146" s="300"/>
      <c r="W146" s="300"/>
      <c r="X146" s="300"/>
      <c r="Y146" s="300"/>
      <c r="Z146" s="300"/>
      <c r="AA146" s="300"/>
    </row>
    <row r="147" spans="1:27" ht="15.5" x14ac:dyDescent="0.35">
      <c r="A147" s="300"/>
      <c r="B147" s="300"/>
      <c r="C147" s="300"/>
      <c r="D147" s="300"/>
      <c r="E147" s="300"/>
      <c r="F147" s="300"/>
      <c r="G147" s="300"/>
      <c r="H147" s="300"/>
      <c r="I147" s="300"/>
      <c r="J147" s="300"/>
      <c r="K147" s="300"/>
      <c r="L147" s="300"/>
      <c r="M147" s="300"/>
      <c r="N147" s="300"/>
      <c r="O147" s="300"/>
      <c r="P147" s="300"/>
      <c r="Q147" s="300"/>
      <c r="R147" s="300"/>
      <c r="S147" s="300"/>
      <c r="T147" s="300"/>
      <c r="U147" s="300"/>
      <c r="V147" s="300"/>
      <c r="W147" s="300"/>
      <c r="X147" s="300"/>
      <c r="Y147" s="300"/>
      <c r="Z147" s="300"/>
      <c r="AA147" s="300"/>
    </row>
    <row r="148" spans="1:27" ht="15.5" x14ac:dyDescent="0.35">
      <c r="A148" s="300"/>
      <c r="B148" s="300"/>
      <c r="C148" s="300"/>
      <c r="D148" s="300"/>
      <c r="E148" s="300"/>
      <c r="F148" s="300"/>
      <c r="G148" s="300"/>
      <c r="H148" s="300"/>
      <c r="I148" s="300"/>
      <c r="J148" s="300"/>
      <c r="K148" s="300"/>
      <c r="L148" s="300"/>
      <c r="M148" s="300"/>
      <c r="N148" s="300"/>
      <c r="O148" s="300"/>
      <c r="P148" s="300"/>
      <c r="Q148" s="300"/>
      <c r="R148" s="300"/>
      <c r="S148" s="300"/>
      <c r="T148" s="300"/>
      <c r="U148" s="300"/>
      <c r="V148" s="300"/>
      <c r="W148" s="300"/>
      <c r="X148" s="300"/>
      <c r="Y148" s="300"/>
      <c r="Z148" s="300"/>
      <c r="AA148" s="300"/>
    </row>
    <row r="149" spans="1:27" ht="15.5" x14ac:dyDescent="0.35">
      <c r="A149" s="300"/>
      <c r="B149" s="300"/>
      <c r="C149" s="300"/>
      <c r="D149" s="300"/>
      <c r="E149" s="300"/>
      <c r="F149" s="300"/>
      <c r="G149" s="300"/>
      <c r="H149" s="300"/>
      <c r="I149" s="300"/>
      <c r="J149" s="300"/>
      <c r="K149" s="300"/>
      <c r="L149" s="300"/>
      <c r="M149" s="300"/>
      <c r="N149" s="300"/>
      <c r="O149" s="300"/>
      <c r="P149" s="300"/>
      <c r="Q149" s="300"/>
      <c r="R149" s="300"/>
      <c r="S149" s="300"/>
      <c r="T149" s="300"/>
      <c r="U149" s="300"/>
      <c r="V149" s="300"/>
      <c r="W149" s="300"/>
      <c r="X149" s="300"/>
      <c r="Y149" s="300"/>
      <c r="Z149" s="300"/>
      <c r="AA149" s="300"/>
    </row>
    <row r="150" spans="1:27" ht="15.5" x14ac:dyDescent="0.35">
      <c r="A150" s="300"/>
      <c r="B150" s="300"/>
      <c r="C150" s="300"/>
      <c r="D150" s="300"/>
      <c r="E150" s="300"/>
      <c r="F150" s="300"/>
      <c r="G150" s="300"/>
      <c r="H150" s="300"/>
      <c r="I150" s="300"/>
      <c r="J150" s="300"/>
      <c r="K150" s="300"/>
      <c r="L150" s="300"/>
      <c r="M150" s="300"/>
      <c r="N150" s="300"/>
      <c r="O150" s="300"/>
      <c r="P150" s="300"/>
      <c r="Q150" s="300"/>
      <c r="R150" s="300"/>
      <c r="S150" s="300"/>
      <c r="T150" s="300"/>
      <c r="U150" s="300"/>
      <c r="V150" s="300"/>
      <c r="W150" s="300"/>
      <c r="X150" s="300"/>
      <c r="Y150" s="300"/>
      <c r="Z150" s="300"/>
      <c r="AA150" s="300"/>
    </row>
    <row r="151" spans="1:27" ht="15.5" x14ac:dyDescent="0.35">
      <c r="A151" s="300"/>
      <c r="B151" s="300"/>
      <c r="C151" s="300"/>
      <c r="D151" s="300"/>
      <c r="E151" s="300"/>
      <c r="F151" s="300"/>
      <c r="G151" s="300"/>
      <c r="H151" s="300"/>
      <c r="I151" s="300"/>
      <c r="J151" s="300"/>
      <c r="K151" s="300"/>
      <c r="L151" s="300"/>
      <c r="M151" s="300"/>
      <c r="N151" s="300"/>
      <c r="O151" s="300"/>
      <c r="P151" s="300"/>
      <c r="Q151" s="300"/>
      <c r="R151" s="300"/>
      <c r="S151" s="300"/>
      <c r="T151" s="300"/>
      <c r="U151" s="300"/>
      <c r="V151" s="300"/>
      <c r="W151" s="300"/>
      <c r="X151" s="300"/>
      <c r="Y151" s="300"/>
      <c r="Z151" s="300"/>
      <c r="AA151" s="300"/>
    </row>
    <row r="152" spans="1:27" ht="15.5" x14ac:dyDescent="0.35">
      <c r="A152" s="300"/>
      <c r="B152" s="300"/>
      <c r="C152" s="300"/>
      <c r="D152" s="300"/>
      <c r="E152" s="300"/>
      <c r="F152" s="300"/>
      <c r="G152" s="300"/>
      <c r="H152" s="300"/>
      <c r="I152" s="300"/>
      <c r="J152" s="300"/>
      <c r="K152" s="300"/>
      <c r="L152" s="300"/>
      <c r="M152" s="300"/>
      <c r="N152" s="300"/>
      <c r="O152" s="300"/>
      <c r="P152" s="300"/>
      <c r="Q152" s="300"/>
      <c r="R152" s="300"/>
      <c r="S152" s="300"/>
      <c r="T152" s="300"/>
      <c r="U152" s="300"/>
      <c r="V152" s="300"/>
      <c r="W152" s="300"/>
      <c r="X152" s="300"/>
      <c r="Y152" s="300"/>
      <c r="Z152" s="300"/>
      <c r="AA152" s="300"/>
    </row>
    <row r="153" spans="1:27" ht="15.5" x14ac:dyDescent="0.35">
      <c r="A153" s="300"/>
      <c r="B153" s="300"/>
      <c r="C153" s="300"/>
      <c r="D153" s="300"/>
      <c r="E153" s="300"/>
      <c r="F153" s="300"/>
      <c r="G153" s="300"/>
      <c r="H153" s="300"/>
      <c r="I153" s="300"/>
      <c r="J153" s="300"/>
      <c r="K153" s="300"/>
      <c r="L153" s="300"/>
      <c r="M153" s="300"/>
      <c r="N153" s="300"/>
      <c r="O153" s="300"/>
      <c r="P153" s="300"/>
      <c r="Q153" s="300"/>
      <c r="R153" s="300"/>
      <c r="S153" s="300"/>
      <c r="T153" s="300"/>
      <c r="U153" s="300"/>
      <c r="V153" s="300"/>
      <c r="W153" s="300"/>
      <c r="X153" s="300"/>
      <c r="Y153" s="300"/>
      <c r="Z153" s="300"/>
      <c r="AA153" s="300"/>
    </row>
    <row r="154" spans="1:27" ht="15.5" x14ac:dyDescent="0.35">
      <c r="A154" s="300"/>
      <c r="B154" s="300"/>
      <c r="C154" s="300"/>
      <c r="D154" s="300"/>
      <c r="E154" s="300"/>
      <c r="F154" s="300"/>
      <c r="G154" s="300"/>
      <c r="H154" s="300"/>
      <c r="I154" s="300"/>
      <c r="J154" s="300"/>
      <c r="K154" s="300"/>
      <c r="L154" s="300"/>
      <c r="M154" s="300"/>
      <c r="N154" s="300"/>
      <c r="O154" s="300"/>
      <c r="P154" s="300"/>
      <c r="Q154" s="300"/>
      <c r="R154" s="300"/>
      <c r="S154" s="300"/>
      <c r="T154" s="300"/>
      <c r="U154" s="300"/>
      <c r="V154" s="300"/>
      <c r="W154" s="300"/>
      <c r="X154" s="300"/>
      <c r="Y154" s="300"/>
      <c r="Z154" s="300"/>
      <c r="AA154" s="300"/>
    </row>
    <row r="155" spans="1:27" ht="15.5" x14ac:dyDescent="0.35">
      <c r="A155" s="300"/>
      <c r="B155" s="300"/>
      <c r="C155" s="300"/>
      <c r="D155" s="300"/>
      <c r="E155" s="300"/>
      <c r="F155" s="300"/>
      <c r="G155" s="300"/>
      <c r="H155" s="300"/>
      <c r="I155" s="300"/>
      <c r="J155" s="300"/>
      <c r="K155" s="300"/>
      <c r="L155" s="300"/>
      <c r="M155" s="300"/>
      <c r="N155" s="300"/>
      <c r="O155" s="300"/>
      <c r="P155" s="300"/>
      <c r="Q155" s="300"/>
      <c r="R155" s="300"/>
      <c r="S155" s="300"/>
      <c r="T155" s="300"/>
      <c r="U155" s="300"/>
      <c r="V155" s="300"/>
      <c r="W155" s="300"/>
      <c r="X155" s="300"/>
      <c r="Y155" s="300"/>
      <c r="Z155" s="300"/>
      <c r="AA155" s="300"/>
    </row>
    <row r="156" spans="1:27" ht="15.5" x14ac:dyDescent="0.35">
      <c r="A156" s="300"/>
      <c r="B156" s="300"/>
      <c r="C156" s="300"/>
      <c r="D156" s="300"/>
      <c r="E156" s="300"/>
      <c r="F156" s="300"/>
      <c r="G156" s="300"/>
      <c r="H156" s="300"/>
      <c r="I156" s="300"/>
      <c r="J156" s="300"/>
      <c r="K156" s="300"/>
      <c r="L156" s="300"/>
      <c r="M156" s="300"/>
      <c r="N156" s="300"/>
      <c r="O156" s="300"/>
      <c r="P156" s="300"/>
      <c r="Q156" s="300"/>
      <c r="R156" s="300"/>
      <c r="S156" s="300"/>
      <c r="T156" s="300"/>
      <c r="U156" s="300"/>
      <c r="V156" s="300"/>
      <c r="W156" s="300"/>
      <c r="X156" s="300"/>
      <c r="Y156" s="300"/>
      <c r="Z156" s="300"/>
      <c r="AA156" s="300"/>
    </row>
    <row r="157" spans="1:27" ht="15.5" x14ac:dyDescent="0.35">
      <c r="A157" s="300"/>
      <c r="B157" s="300"/>
      <c r="C157" s="300"/>
      <c r="D157" s="300"/>
      <c r="E157" s="300"/>
      <c r="F157" s="300"/>
      <c r="G157" s="300"/>
      <c r="H157" s="300"/>
      <c r="I157" s="300"/>
      <c r="J157" s="300"/>
      <c r="K157" s="300"/>
      <c r="L157" s="300"/>
      <c r="M157" s="300"/>
      <c r="N157" s="300"/>
      <c r="O157" s="300"/>
      <c r="P157" s="300"/>
      <c r="Q157" s="300"/>
      <c r="R157" s="300"/>
      <c r="S157" s="300"/>
      <c r="T157" s="300"/>
      <c r="U157" s="300"/>
      <c r="V157" s="300"/>
      <c r="W157" s="300"/>
      <c r="X157" s="300"/>
      <c r="Y157" s="300"/>
      <c r="Z157" s="300"/>
      <c r="AA157" s="300"/>
    </row>
    <row r="158" spans="1:27" ht="15.5" x14ac:dyDescent="0.35">
      <c r="A158" s="300"/>
      <c r="B158" s="300"/>
      <c r="C158" s="300"/>
      <c r="D158" s="300"/>
      <c r="E158" s="300"/>
      <c r="F158" s="300"/>
      <c r="G158" s="300"/>
      <c r="H158" s="300"/>
      <c r="I158" s="300"/>
      <c r="J158" s="300"/>
      <c r="K158" s="300"/>
      <c r="L158" s="300"/>
      <c r="M158" s="300"/>
      <c r="N158" s="300"/>
      <c r="O158" s="300"/>
      <c r="P158" s="300"/>
      <c r="Q158" s="300"/>
      <c r="R158" s="300"/>
      <c r="S158" s="300"/>
      <c r="T158" s="300"/>
      <c r="U158" s="300"/>
      <c r="V158" s="300"/>
      <c r="W158" s="300"/>
      <c r="X158" s="300"/>
      <c r="Y158" s="300"/>
      <c r="Z158" s="300"/>
      <c r="AA158" s="300"/>
    </row>
    <row r="159" spans="1:27" ht="15.5" x14ac:dyDescent="0.35">
      <c r="A159" s="300"/>
      <c r="B159" s="300"/>
      <c r="C159" s="300"/>
      <c r="D159" s="300"/>
      <c r="E159" s="300"/>
      <c r="F159" s="300"/>
      <c r="G159" s="300"/>
      <c r="H159" s="300"/>
      <c r="I159" s="300"/>
      <c r="J159" s="300"/>
      <c r="K159" s="300"/>
      <c r="L159" s="300"/>
      <c r="M159" s="300"/>
      <c r="N159" s="300"/>
      <c r="O159" s="300"/>
      <c r="P159" s="300"/>
      <c r="Q159" s="300"/>
      <c r="R159" s="300"/>
      <c r="S159" s="300"/>
      <c r="T159" s="300"/>
      <c r="U159" s="300"/>
      <c r="V159" s="300"/>
      <c r="W159" s="300"/>
      <c r="X159" s="300"/>
      <c r="Y159" s="300"/>
      <c r="Z159" s="300"/>
      <c r="AA159" s="300"/>
    </row>
    <row r="160" spans="1:27" ht="15.5" x14ac:dyDescent="0.35">
      <c r="A160" s="300"/>
      <c r="B160" s="300"/>
      <c r="C160" s="300"/>
      <c r="D160" s="300"/>
      <c r="E160" s="300"/>
      <c r="F160" s="300"/>
      <c r="G160" s="300"/>
      <c r="H160" s="300"/>
      <c r="I160" s="300"/>
      <c r="J160" s="300"/>
      <c r="K160" s="300"/>
      <c r="L160" s="300"/>
      <c r="M160" s="300"/>
      <c r="N160" s="300"/>
      <c r="O160" s="300"/>
      <c r="P160" s="300"/>
      <c r="Q160" s="300"/>
      <c r="R160" s="300"/>
      <c r="S160" s="300"/>
      <c r="T160" s="300"/>
      <c r="U160" s="300"/>
      <c r="V160" s="300"/>
      <c r="W160" s="300"/>
      <c r="X160" s="300"/>
      <c r="Y160" s="300"/>
      <c r="Z160" s="300"/>
      <c r="AA160" s="300"/>
    </row>
    <row r="161" spans="1:27" ht="15.5" x14ac:dyDescent="0.35">
      <c r="A161" s="300"/>
      <c r="B161" s="300"/>
      <c r="C161" s="300"/>
      <c r="D161" s="300"/>
      <c r="E161" s="300"/>
      <c r="F161" s="300"/>
      <c r="G161" s="300"/>
      <c r="H161" s="300"/>
      <c r="I161" s="300"/>
      <c r="J161" s="300"/>
      <c r="K161" s="300"/>
      <c r="L161" s="300"/>
      <c r="M161" s="300"/>
      <c r="N161" s="300"/>
      <c r="O161" s="300"/>
      <c r="P161" s="300"/>
      <c r="Q161" s="300"/>
      <c r="R161" s="300"/>
      <c r="S161" s="300"/>
      <c r="T161" s="300"/>
      <c r="U161" s="300"/>
      <c r="V161" s="300"/>
      <c r="W161" s="300"/>
      <c r="X161" s="300"/>
      <c r="Y161" s="300"/>
      <c r="Z161" s="300"/>
      <c r="AA161" s="300"/>
    </row>
    <row r="162" spans="1:27" ht="15.5" x14ac:dyDescent="0.35">
      <c r="A162" s="300"/>
      <c r="B162" s="300"/>
      <c r="C162" s="300"/>
      <c r="D162" s="300"/>
      <c r="E162" s="300"/>
      <c r="F162" s="300"/>
      <c r="G162" s="300"/>
      <c r="H162" s="300"/>
      <c r="I162" s="300"/>
      <c r="J162" s="300"/>
      <c r="K162" s="300"/>
      <c r="L162" s="300"/>
      <c r="M162" s="300"/>
      <c r="N162" s="300"/>
      <c r="O162" s="300"/>
      <c r="P162" s="300"/>
      <c r="Q162" s="300"/>
      <c r="R162" s="300"/>
      <c r="S162" s="300"/>
      <c r="T162" s="300"/>
      <c r="U162" s="300"/>
      <c r="V162" s="300"/>
      <c r="W162" s="300"/>
      <c r="X162" s="300"/>
      <c r="Y162" s="300"/>
      <c r="Z162" s="300"/>
      <c r="AA162" s="300"/>
    </row>
    <row r="163" spans="1:27" ht="15.5" x14ac:dyDescent="0.35">
      <c r="A163" s="300"/>
      <c r="B163" s="300"/>
      <c r="C163" s="300"/>
      <c r="D163" s="300"/>
      <c r="E163" s="300"/>
      <c r="F163" s="300"/>
      <c r="G163" s="300"/>
      <c r="H163" s="300"/>
      <c r="I163" s="300"/>
      <c r="J163" s="300"/>
      <c r="K163" s="300"/>
      <c r="L163" s="300"/>
      <c r="M163" s="300"/>
      <c r="N163" s="300"/>
      <c r="O163" s="300"/>
      <c r="P163" s="300"/>
      <c r="Q163" s="300"/>
      <c r="R163" s="300"/>
      <c r="S163" s="300"/>
      <c r="T163" s="300"/>
      <c r="U163" s="300"/>
      <c r="V163" s="300"/>
      <c r="W163" s="300"/>
      <c r="X163" s="300"/>
      <c r="Y163" s="300"/>
      <c r="Z163" s="300"/>
      <c r="AA163" s="300"/>
    </row>
    <row r="164" spans="1:27" ht="15.5" x14ac:dyDescent="0.35">
      <c r="A164" s="300"/>
      <c r="B164" s="300"/>
      <c r="C164" s="300"/>
      <c r="D164" s="300"/>
      <c r="E164" s="300"/>
      <c r="F164" s="300"/>
      <c r="G164" s="300"/>
      <c r="H164" s="300"/>
      <c r="I164" s="300"/>
      <c r="J164" s="300"/>
      <c r="K164" s="300"/>
      <c r="L164" s="300"/>
      <c r="M164" s="300"/>
      <c r="N164" s="300"/>
      <c r="O164" s="300"/>
      <c r="P164" s="300"/>
      <c r="Q164" s="300"/>
      <c r="R164" s="300"/>
      <c r="S164" s="300"/>
      <c r="T164" s="300"/>
      <c r="U164" s="300"/>
      <c r="V164" s="300"/>
      <c r="W164" s="300"/>
      <c r="X164" s="300"/>
      <c r="Y164" s="300"/>
      <c r="Z164" s="300"/>
      <c r="AA164" s="300"/>
    </row>
    <row r="165" spans="1:27" ht="15.5" x14ac:dyDescent="0.35">
      <c r="A165" s="300"/>
      <c r="B165" s="300"/>
      <c r="C165" s="300"/>
      <c r="D165" s="300"/>
      <c r="E165" s="300"/>
      <c r="F165" s="300"/>
      <c r="G165" s="300"/>
      <c r="H165" s="300"/>
      <c r="I165" s="300"/>
      <c r="J165" s="300"/>
      <c r="K165" s="300"/>
      <c r="L165" s="300"/>
      <c r="M165" s="300"/>
      <c r="N165" s="300"/>
      <c r="O165" s="300"/>
      <c r="P165" s="300"/>
      <c r="Q165" s="300"/>
      <c r="R165" s="300"/>
      <c r="S165" s="300"/>
      <c r="T165" s="300"/>
      <c r="U165" s="300"/>
      <c r="V165" s="300"/>
      <c r="W165" s="300"/>
      <c r="X165" s="300"/>
      <c r="Y165" s="300"/>
      <c r="Z165" s="300"/>
      <c r="AA165" s="300"/>
    </row>
    <row r="166" spans="1:27" ht="15.5" x14ac:dyDescent="0.35">
      <c r="A166" s="300"/>
      <c r="B166" s="300"/>
      <c r="C166" s="300"/>
      <c r="D166" s="300"/>
      <c r="E166" s="300"/>
      <c r="F166" s="300"/>
      <c r="G166" s="300"/>
      <c r="H166" s="300"/>
      <c r="I166" s="300"/>
      <c r="J166" s="300"/>
      <c r="K166" s="300"/>
      <c r="L166" s="300"/>
      <c r="M166" s="300"/>
      <c r="N166" s="300"/>
      <c r="O166" s="300"/>
      <c r="P166" s="300"/>
      <c r="Q166" s="300"/>
      <c r="R166" s="300"/>
      <c r="S166" s="300"/>
      <c r="T166" s="300"/>
      <c r="U166" s="300"/>
      <c r="V166" s="300"/>
      <c r="W166" s="300"/>
      <c r="X166" s="300"/>
      <c r="Y166" s="300"/>
      <c r="Z166" s="300"/>
      <c r="AA166" s="300"/>
    </row>
    <row r="167" spans="1:27" ht="15.5" x14ac:dyDescent="0.35">
      <c r="A167" s="300"/>
      <c r="B167" s="300"/>
      <c r="C167" s="300"/>
      <c r="D167" s="300"/>
      <c r="E167" s="300"/>
      <c r="F167" s="300"/>
      <c r="G167" s="300"/>
      <c r="H167" s="300"/>
      <c r="I167" s="300"/>
      <c r="J167" s="300"/>
      <c r="K167" s="300"/>
      <c r="L167" s="300"/>
      <c r="M167" s="300"/>
      <c r="N167" s="300"/>
      <c r="O167" s="300"/>
      <c r="P167" s="300"/>
      <c r="Q167" s="300"/>
      <c r="R167" s="300"/>
      <c r="S167" s="300"/>
      <c r="T167" s="300"/>
      <c r="U167" s="300"/>
      <c r="V167" s="300"/>
      <c r="W167" s="300"/>
      <c r="X167" s="300"/>
      <c r="Y167" s="300"/>
      <c r="Z167" s="300"/>
      <c r="AA167" s="300"/>
    </row>
    <row r="168" spans="1:27" ht="15.5" x14ac:dyDescent="0.35">
      <c r="A168" s="300"/>
      <c r="B168" s="300"/>
      <c r="C168" s="300"/>
      <c r="D168" s="300"/>
      <c r="E168" s="300"/>
      <c r="F168" s="300"/>
      <c r="G168" s="300"/>
      <c r="H168" s="300"/>
      <c r="I168" s="300"/>
      <c r="J168" s="300"/>
      <c r="K168" s="300"/>
      <c r="L168" s="300"/>
      <c r="M168" s="300"/>
      <c r="N168" s="300"/>
      <c r="O168" s="300"/>
      <c r="P168" s="300"/>
      <c r="Q168" s="300"/>
      <c r="R168" s="300"/>
      <c r="S168" s="300"/>
      <c r="T168" s="300"/>
      <c r="U168" s="300"/>
      <c r="V168" s="300"/>
      <c r="W168" s="300"/>
      <c r="X168" s="300"/>
      <c r="Y168" s="300"/>
      <c r="Z168" s="300"/>
      <c r="AA168" s="300"/>
    </row>
    <row r="169" spans="1:27" ht="15.5" x14ac:dyDescent="0.35">
      <c r="A169" s="300"/>
      <c r="B169" s="300"/>
      <c r="C169" s="300"/>
      <c r="D169" s="300"/>
      <c r="E169" s="300"/>
      <c r="F169" s="300"/>
      <c r="G169" s="300"/>
      <c r="H169" s="300"/>
      <c r="I169" s="300"/>
      <c r="J169" s="300"/>
      <c r="K169" s="300"/>
      <c r="L169" s="300"/>
      <c r="M169" s="300"/>
      <c r="N169" s="300"/>
      <c r="O169" s="300"/>
      <c r="P169" s="300"/>
      <c r="Q169" s="300"/>
      <c r="R169" s="300"/>
      <c r="S169" s="300"/>
      <c r="T169" s="300"/>
      <c r="U169" s="300"/>
      <c r="V169" s="300"/>
      <c r="W169" s="300"/>
      <c r="X169" s="300"/>
      <c r="Y169" s="300"/>
      <c r="Z169" s="300"/>
      <c r="AA169" s="300"/>
    </row>
    <row r="170" spans="1:27" ht="15.5" x14ac:dyDescent="0.35">
      <c r="A170" s="300"/>
      <c r="B170" s="300"/>
      <c r="C170" s="300"/>
      <c r="D170" s="300"/>
      <c r="E170" s="300"/>
      <c r="F170" s="300"/>
      <c r="G170" s="300"/>
      <c r="H170" s="300"/>
      <c r="I170" s="300"/>
      <c r="J170" s="300"/>
      <c r="K170" s="300"/>
      <c r="L170" s="300"/>
      <c r="M170" s="300"/>
      <c r="N170" s="300"/>
      <c r="O170" s="300"/>
      <c r="P170" s="300"/>
      <c r="Q170" s="300"/>
      <c r="R170" s="300"/>
      <c r="S170" s="300"/>
      <c r="T170" s="300"/>
      <c r="U170" s="300"/>
      <c r="V170" s="300"/>
      <c r="W170" s="300"/>
      <c r="X170" s="300"/>
      <c r="Y170" s="300"/>
      <c r="Z170" s="300"/>
      <c r="AA170" s="300"/>
    </row>
    <row r="171" spans="1:27" ht="15.5" x14ac:dyDescent="0.35">
      <c r="A171" s="300"/>
      <c r="B171" s="300"/>
      <c r="C171" s="300"/>
      <c r="D171" s="300"/>
      <c r="E171" s="300"/>
      <c r="F171" s="300"/>
      <c r="G171" s="300"/>
      <c r="H171" s="300"/>
      <c r="I171" s="300"/>
      <c r="J171" s="300"/>
      <c r="K171" s="300"/>
      <c r="L171" s="300"/>
      <c r="M171" s="300"/>
      <c r="N171" s="300"/>
      <c r="O171" s="300"/>
      <c r="P171" s="300"/>
      <c r="Q171" s="300"/>
      <c r="R171" s="300"/>
      <c r="S171" s="300"/>
      <c r="T171" s="300"/>
      <c r="U171" s="300"/>
      <c r="V171" s="300"/>
      <c r="W171" s="300"/>
      <c r="X171" s="300"/>
      <c r="Y171" s="300"/>
      <c r="Z171" s="300"/>
      <c r="AA171" s="300"/>
    </row>
    <row r="172" spans="1:27" ht="15.5" x14ac:dyDescent="0.35">
      <c r="A172" s="300"/>
      <c r="B172" s="300"/>
      <c r="C172" s="300"/>
      <c r="D172" s="300"/>
      <c r="E172" s="300"/>
      <c r="F172" s="300"/>
      <c r="G172" s="300"/>
      <c r="H172" s="300"/>
      <c r="I172" s="300"/>
      <c r="J172" s="300"/>
      <c r="K172" s="300"/>
      <c r="L172" s="300"/>
      <c r="M172" s="300"/>
      <c r="N172" s="300"/>
      <c r="O172" s="300"/>
      <c r="P172" s="300"/>
      <c r="Q172" s="300"/>
      <c r="R172" s="300"/>
      <c r="S172" s="300"/>
      <c r="T172" s="300"/>
      <c r="U172" s="300"/>
      <c r="V172" s="300"/>
      <c r="W172" s="300"/>
      <c r="X172" s="300"/>
      <c r="Y172" s="300"/>
      <c r="Z172" s="300"/>
      <c r="AA172" s="300"/>
    </row>
    <row r="173" spans="1:27" ht="15.5" x14ac:dyDescent="0.35">
      <c r="A173" s="300"/>
      <c r="B173" s="300"/>
      <c r="C173" s="300"/>
      <c r="D173" s="300"/>
      <c r="E173" s="300"/>
      <c r="F173" s="300"/>
      <c r="G173" s="300"/>
      <c r="H173" s="300"/>
      <c r="I173" s="300"/>
      <c r="J173" s="300"/>
      <c r="K173" s="300"/>
      <c r="L173" s="300"/>
      <c r="M173" s="300"/>
      <c r="N173" s="300"/>
      <c r="O173" s="300"/>
      <c r="P173" s="300"/>
      <c r="Q173" s="300"/>
      <c r="R173" s="300"/>
      <c r="S173" s="300"/>
      <c r="T173" s="300"/>
      <c r="U173" s="300"/>
      <c r="V173" s="300"/>
      <c r="W173" s="300"/>
      <c r="X173" s="300"/>
      <c r="Y173" s="300"/>
      <c r="Z173" s="300"/>
      <c r="AA173" s="300"/>
    </row>
    <row r="174" spans="1:27" ht="15.5" x14ac:dyDescent="0.35">
      <c r="A174" s="300"/>
      <c r="B174" s="300"/>
      <c r="C174" s="300"/>
      <c r="D174" s="300"/>
      <c r="E174" s="300"/>
      <c r="F174" s="300"/>
      <c r="G174" s="300"/>
      <c r="H174" s="300"/>
      <c r="I174" s="300"/>
      <c r="J174" s="300"/>
      <c r="K174" s="300"/>
      <c r="L174" s="300"/>
      <c r="M174" s="300"/>
      <c r="N174" s="300"/>
      <c r="O174" s="300"/>
      <c r="P174" s="300"/>
      <c r="Q174" s="300"/>
      <c r="R174" s="300"/>
      <c r="S174" s="300"/>
      <c r="T174" s="300"/>
      <c r="U174" s="300"/>
      <c r="V174" s="300"/>
      <c r="W174" s="300"/>
      <c r="X174" s="300"/>
      <c r="Y174" s="300"/>
      <c r="Z174" s="300"/>
      <c r="AA174" s="300"/>
    </row>
    <row r="175" spans="1:27" ht="15.5" x14ac:dyDescent="0.35">
      <c r="A175" s="300"/>
      <c r="B175" s="300"/>
      <c r="C175" s="300"/>
      <c r="D175" s="300"/>
      <c r="E175" s="300"/>
      <c r="F175" s="300"/>
      <c r="G175" s="300"/>
      <c r="H175" s="300"/>
      <c r="I175" s="300"/>
      <c r="J175" s="300"/>
      <c r="K175" s="300"/>
      <c r="L175" s="300"/>
      <c r="M175" s="300"/>
      <c r="N175" s="300"/>
      <c r="O175" s="300"/>
      <c r="P175" s="300"/>
      <c r="Q175" s="300"/>
      <c r="R175" s="300"/>
      <c r="S175" s="300"/>
      <c r="T175" s="300"/>
      <c r="U175" s="300"/>
      <c r="V175" s="300"/>
      <c r="W175" s="300"/>
      <c r="X175" s="300"/>
      <c r="Y175" s="300"/>
      <c r="Z175" s="300"/>
      <c r="AA175" s="300"/>
    </row>
    <row r="176" spans="1:27" ht="15.5" x14ac:dyDescent="0.35">
      <c r="A176" s="300"/>
      <c r="B176" s="300"/>
      <c r="C176" s="300"/>
      <c r="D176" s="300"/>
      <c r="E176" s="300"/>
      <c r="F176" s="300"/>
      <c r="G176" s="300"/>
      <c r="H176" s="300"/>
      <c r="I176" s="300"/>
      <c r="J176" s="300"/>
      <c r="K176" s="300"/>
      <c r="L176" s="300"/>
      <c r="M176" s="300"/>
      <c r="N176" s="300"/>
      <c r="O176" s="300"/>
      <c r="P176" s="300"/>
      <c r="Q176" s="300"/>
      <c r="R176" s="300"/>
      <c r="S176" s="300"/>
      <c r="T176" s="300"/>
      <c r="U176" s="300"/>
      <c r="V176" s="300"/>
      <c r="W176" s="300"/>
      <c r="X176" s="300"/>
      <c r="Y176" s="300"/>
      <c r="Z176" s="300"/>
      <c r="AA176" s="300"/>
    </row>
    <row r="177" spans="1:27" ht="15.5" x14ac:dyDescent="0.35">
      <c r="A177" s="300"/>
      <c r="B177" s="300"/>
      <c r="C177" s="300"/>
      <c r="D177" s="300"/>
      <c r="E177" s="300"/>
      <c r="F177" s="300"/>
      <c r="G177" s="300"/>
      <c r="H177" s="300"/>
      <c r="I177" s="300"/>
      <c r="J177" s="300"/>
      <c r="K177" s="300"/>
      <c r="L177" s="300"/>
      <c r="M177" s="300"/>
      <c r="N177" s="300"/>
      <c r="O177" s="300"/>
      <c r="P177" s="300"/>
      <c r="Q177" s="300"/>
      <c r="R177" s="300"/>
      <c r="S177" s="300"/>
      <c r="T177" s="300"/>
      <c r="U177" s="300"/>
      <c r="V177" s="300"/>
      <c r="W177" s="300"/>
      <c r="X177" s="300"/>
      <c r="Y177" s="300"/>
      <c r="Z177" s="300"/>
      <c r="AA177" s="300"/>
    </row>
    <row r="178" spans="1:27" ht="15.5" x14ac:dyDescent="0.35">
      <c r="A178" s="300"/>
      <c r="B178" s="300"/>
      <c r="C178" s="300"/>
      <c r="D178" s="300"/>
      <c r="E178" s="300"/>
      <c r="F178" s="300"/>
      <c r="G178" s="300"/>
      <c r="H178" s="300"/>
      <c r="I178" s="300"/>
      <c r="J178" s="300"/>
      <c r="K178" s="300"/>
      <c r="L178" s="300"/>
      <c r="M178" s="300"/>
      <c r="N178" s="300"/>
      <c r="O178" s="300"/>
      <c r="P178" s="300"/>
      <c r="Q178" s="300"/>
      <c r="R178" s="300"/>
      <c r="S178" s="300"/>
      <c r="T178" s="300"/>
      <c r="U178" s="300"/>
      <c r="V178" s="300"/>
      <c r="W178" s="300"/>
      <c r="X178" s="300"/>
      <c r="Y178" s="300"/>
      <c r="Z178" s="300"/>
      <c r="AA178" s="300"/>
    </row>
    <row r="179" spans="1:27" ht="15.5" x14ac:dyDescent="0.35">
      <c r="A179" s="300"/>
      <c r="B179" s="300"/>
      <c r="C179" s="300"/>
      <c r="D179" s="300"/>
      <c r="E179" s="300"/>
      <c r="F179" s="300"/>
      <c r="G179" s="300"/>
      <c r="H179" s="300"/>
      <c r="I179" s="300"/>
      <c r="J179" s="300"/>
      <c r="K179" s="300"/>
      <c r="L179" s="300"/>
      <c r="M179" s="300"/>
      <c r="N179" s="300"/>
      <c r="O179" s="300"/>
      <c r="P179" s="300"/>
      <c r="Q179" s="300"/>
      <c r="R179" s="300"/>
      <c r="S179" s="300"/>
      <c r="T179" s="300"/>
      <c r="U179" s="300"/>
      <c r="V179" s="300"/>
      <c r="W179" s="300"/>
      <c r="X179" s="300"/>
      <c r="Y179" s="300"/>
      <c r="Z179" s="300"/>
      <c r="AA179" s="300"/>
    </row>
    <row r="180" spans="1:27" ht="15.5" x14ac:dyDescent="0.35">
      <c r="A180" s="300"/>
      <c r="B180" s="300"/>
      <c r="C180" s="300"/>
      <c r="D180" s="300"/>
      <c r="E180" s="300"/>
      <c r="F180" s="300"/>
      <c r="G180" s="300"/>
      <c r="H180" s="300"/>
      <c r="I180" s="300"/>
      <c r="J180" s="300"/>
      <c r="K180" s="300"/>
      <c r="L180" s="300"/>
      <c r="M180" s="300"/>
      <c r="N180" s="300"/>
      <c r="O180" s="300"/>
      <c r="P180" s="300"/>
      <c r="Q180" s="300"/>
      <c r="R180" s="300"/>
      <c r="S180" s="300"/>
      <c r="T180" s="300"/>
      <c r="U180" s="300"/>
      <c r="V180" s="300"/>
      <c r="W180" s="300"/>
      <c r="X180" s="300"/>
      <c r="Y180" s="300"/>
      <c r="Z180" s="300"/>
      <c r="AA180" s="300"/>
    </row>
    <row r="181" spans="1:27" ht="15.5" x14ac:dyDescent="0.35">
      <c r="A181" s="300"/>
      <c r="B181" s="300"/>
      <c r="C181" s="300"/>
      <c r="D181" s="300"/>
      <c r="E181" s="300"/>
      <c r="F181" s="300"/>
      <c r="G181" s="300"/>
      <c r="H181" s="300"/>
      <c r="I181" s="300"/>
      <c r="J181" s="300"/>
      <c r="K181" s="300"/>
      <c r="L181" s="300"/>
      <c r="M181" s="300"/>
      <c r="N181" s="300"/>
      <c r="O181" s="300"/>
      <c r="P181" s="300"/>
      <c r="Q181" s="300"/>
      <c r="R181" s="300"/>
      <c r="S181" s="300"/>
      <c r="T181" s="300"/>
      <c r="U181" s="300"/>
      <c r="V181" s="300"/>
      <c r="W181" s="300"/>
      <c r="X181" s="300"/>
      <c r="Y181" s="300"/>
      <c r="Z181" s="300"/>
      <c r="AA181" s="300"/>
    </row>
    <row r="182" spans="1:27" ht="15.5" x14ac:dyDescent="0.35">
      <c r="A182" s="300"/>
      <c r="B182" s="300"/>
      <c r="C182" s="300"/>
      <c r="D182" s="300"/>
      <c r="E182" s="300"/>
      <c r="F182" s="300"/>
      <c r="G182" s="300"/>
      <c r="H182" s="300"/>
      <c r="I182" s="300"/>
      <c r="J182" s="300"/>
      <c r="K182" s="300"/>
      <c r="L182" s="300"/>
      <c r="M182" s="300"/>
      <c r="N182" s="300"/>
      <c r="O182" s="300"/>
      <c r="P182" s="300"/>
      <c r="Q182" s="300"/>
      <c r="R182" s="300"/>
      <c r="S182" s="300"/>
      <c r="T182" s="300"/>
      <c r="U182" s="300"/>
      <c r="V182" s="300"/>
      <c r="W182" s="300"/>
      <c r="X182" s="300"/>
      <c r="Y182" s="300"/>
      <c r="Z182" s="300"/>
      <c r="AA182" s="300"/>
    </row>
    <row r="183" spans="1:27" ht="15.5" x14ac:dyDescent="0.35">
      <c r="A183" s="300"/>
      <c r="B183" s="300"/>
      <c r="C183" s="300"/>
      <c r="D183" s="300"/>
      <c r="E183" s="300"/>
      <c r="F183" s="300"/>
      <c r="G183" s="300"/>
      <c r="H183" s="300"/>
      <c r="I183" s="300"/>
      <c r="J183" s="300"/>
      <c r="K183" s="300"/>
      <c r="L183" s="300"/>
      <c r="M183" s="300"/>
      <c r="N183" s="300"/>
      <c r="O183" s="300"/>
      <c r="P183" s="300"/>
      <c r="Q183" s="300"/>
      <c r="R183" s="300"/>
      <c r="S183" s="300"/>
      <c r="T183" s="300"/>
      <c r="U183" s="300"/>
      <c r="V183" s="300"/>
      <c r="W183" s="300"/>
      <c r="X183" s="300"/>
      <c r="Y183" s="300"/>
      <c r="Z183" s="300"/>
      <c r="AA183" s="300"/>
    </row>
    <row r="184" spans="1:27" ht="15.5" x14ac:dyDescent="0.35">
      <c r="A184" s="300"/>
      <c r="B184" s="300"/>
      <c r="C184" s="300"/>
      <c r="D184" s="300"/>
      <c r="E184" s="300"/>
      <c r="F184" s="300"/>
      <c r="G184" s="300"/>
      <c r="H184" s="300"/>
      <c r="I184" s="300"/>
      <c r="J184" s="300"/>
      <c r="K184" s="300"/>
      <c r="L184" s="300"/>
      <c r="M184" s="300"/>
      <c r="N184" s="300"/>
      <c r="O184" s="300"/>
      <c r="P184" s="300"/>
      <c r="Q184" s="300"/>
      <c r="R184" s="300"/>
      <c r="S184" s="300"/>
      <c r="T184" s="300"/>
      <c r="U184" s="300"/>
      <c r="V184" s="300"/>
      <c r="W184" s="300"/>
      <c r="X184" s="300"/>
      <c r="Y184" s="300"/>
      <c r="Z184" s="300"/>
      <c r="AA184" s="300"/>
    </row>
    <row r="185" spans="1:27" ht="15.5" x14ac:dyDescent="0.35">
      <c r="A185" s="300"/>
      <c r="B185" s="300"/>
      <c r="C185" s="300"/>
      <c r="D185" s="300"/>
      <c r="E185" s="300"/>
      <c r="F185" s="300"/>
      <c r="G185" s="300"/>
      <c r="H185" s="300"/>
      <c r="I185" s="300"/>
      <c r="J185" s="300"/>
      <c r="K185" s="300"/>
      <c r="L185" s="300"/>
      <c r="M185" s="300"/>
      <c r="N185" s="300"/>
      <c r="O185" s="300"/>
      <c r="P185" s="300"/>
      <c r="Q185" s="300"/>
      <c r="R185" s="300"/>
      <c r="S185" s="300"/>
      <c r="T185" s="300"/>
      <c r="U185" s="300"/>
      <c r="V185" s="300"/>
      <c r="W185" s="300"/>
      <c r="X185" s="300"/>
      <c r="Y185" s="300"/>
      <c r="Z185" s="300"/>
      <c r="AA185" s="300"/>
    </row>
    <row r="186" spans="1:27" ht="15.5" x14ac:dyDescent="0.35">
      <c r="A186" s="300"/>
      <c r="B186" s="300"/>
      <c r="C186" s="300"/>
      <c r="D186" s="300"/>
      <c r="E186" s="300"/>
      <c r="F186" s="300"/>
      <c r="G186" s="300"/>
      <c r="H186" s="300"/>
      <c r="I186" s="300"/>
      <c r="J186" s="300"/>
      <c r="K186" s="300"/>
      <c r="L186" s="300"/>
      <c r="M186" s="300"/>
      <c r="N186" s="300"/>
      <c r="O186" s="300"/>
      <c r="P186" s="300"/>
      <c r="Q186" s="300"/>
      <c r="R186" s="300"/>
      <c r="S186" s="300"/>
      <c r="T186" s="300"/>
      <c r="U186" s="300"/>
      <c r="V186" s="300"/>
      <c r="W186" s="300"/>
      <c r="X186" s="300"/>
      <c r="Y186" s="300"/>
      <c r="Z186" s="300"/>
      <c r="AA186" s="300"/>
    </row>
    <row r="187" spans="1:27" ht="15.5" x14ac:dyDescent="0.35">
      <c r="A187" s="300"/>
      <c r="B187" s="300"/>
      <c r="C187" s="300"/>
      <c r="D187" s="300"/>
      <c r="E187" s="300"/>
      <c r="F187" s="300"/>
      <c r="G187" s="300"/>
      <c r="H187" s="300"/>
      <c r="I187" s="300"/>
      <c r="J187" s="300"/>
      <c r="K187" s="300"/>
      <c r="L187" s="300"/>
      <c r="M187" s="300"/>
      <c r="N187" s="300"/>
      <c r="O187" s="300"/>
      <c r="P187" s="300"/>
      <c r="Q187" s="300"/>
      <c r="R187" s="300"/>
      <c r="S187" s="300"/>
      <c r="T187" s="300"/>
      <c r="U187" s="300"/>
      <c r="V187" s="300"/>
      <c r="W187" s="300"/>
      <c r="X187" s="300"/>
      <c r="Y187" s="300"/>
      <c r="Z187" s="300"/>
      <c r="AA187" s="300"/>
    </row>
    <row r="188" spans="1:27" ht="15.5" x14ac:dyDescent="0.35">
      <c r="A188" s="300"/>
      <c r="B188" s="300"/>
      <c r="C188" s="300"/>
      <c r="D188" s="300"/>
      <c r="E188" s="300"/>
      <c r="F188" s="300"/>
      <c r="G188" s="300"/>
      <c r="H188" s="300"/>
      <c r="I188" s="300"/>
      <c r="J188" s="300"/>
      <c r="K188" s="300"/>
      <c r="L188" s="300"/>
      <c r="M188" s="300"/>
      <c r="N188" s="300"/>
      <c r="O188" s="300"/>
      <c r="P188" s="300"/>
      <c r="Q188" s="300"/>
      <c r="R188" s="300"/>
      <c r="S188" s="300"/>
      <c r="T188" s="300"/>
      <c r="U188" s="300"/>
      <c r="V188" s="300"/>
      <c r="W188" s="300"/>
      <c r="X188" s="300"/>
      <c r="Y188" s="300"/>
      <c r="Z188" s="300"/>
      <c r="AA188" s="300"/>
    </row>
    <row r="189" spans="1:27" ht="15.5" x14ac:dyDescent="0.35">
      <c r="A189" s="300"/>
      <c r="B189" s="300"/>
      <c r="C189" s="300"/>
      <c r="D189" s="300"/>
      <c r="E189" s="300"/>
      <c r="F189" s="300"/>
      <c r="G189" s="300"/>
      <c r="H189" s="300"/>
      <c r="I189" s="300"/>
      <c r="J189" s="300"/>
      <c r="K189" s="300"/>
      <c r="L189" s="300"/>
      <c r="M189" s="300"/>
      <c r="N189" s="300"/>
      <c r="O189" s="300"/>
      <c r="P189" s="300"/>
      <c r="Q189" s="300"/>
      <c r="R189" s="300"/>
      <c r="S189" s="300"/>
      <c r="T189" s="300"/>
      <c r="U189" s="300"/>
      <c r="V189" s="300"/>
      <c r="W189" s="300"/>
      <c r="X189" s="300"/>
      <c r="Y189" s="300"/>
      <c r="Z189" s="300"/>
      <c r="AA189" s="300"/>
    </row>
    <row r="190" spans="1:27" ht="15.5" x14ac:dyDescent="0.35">
      <c r="A190" s="300"/>
      <c r="B190" s="300"/>
      <c r="C190" s="300"/>
      <c r="D190" s="300"/>
      <c r="E190" s="300"/>
      <c r="F190" s="300"/>
      <c r="G190" s="300"/>
      <c r="H190" s="300"/>
      <c r="I190" s="300"/>
      <c r="J190" s="300"/>
      <c r="K190" s="300"/>
      <c r="L190" s="300"/>
      <c r="M190" s="300"/>
      <c r="N190" s="300"/>
      <c r="O190" s="300"/>
      <c r="P190" s="300"/>
      <c r="Q190" s="300"/>
      <c r="R190" s="300"/>
      <c r="S190" s="300"/>
      <c r="T190" s="300"/>
      <c r="U190" s="300"/>
      <c r="V190" s="300"/>
      <c r="W190" s="300"/>
      <c r="X190" s="300"/>
      <c r="Y190" s="300"/>
      <c r="Z190" s="300"/>
      <c r="AA190" s="300"/>
    </row>
    <row r="191" spans="1:27" ht="15.5" x14ac:dyDescent="0.35">
      <c r="A191" s="300"/>
      <c r="B191" s="300"/>
      <c r="C191" s="300"/>
      <c r="D191" s="300"/>
      <c r="E191" s="300"/>
      <c r="F191" s="300"/>
      <c r="G191" s="300"/>
      <c r="H191" s="300"/>
      <c r="I191" s="300"/>
      <c r="J191" s="300"/>
      <c r="K191" s="300"/>
      <c r="L191" s="300"/>
      <c r="M191" s="300"/>
      <c r="N191" s="300"/>
      <c r="O191" s="300"/>
      <c r="P191" s="300"/>
      <c r="Q191" s="300"/>
      <c r="R191" s="300"/>
      <c r="S191" s="300"/>
      <c r="T191" s="300"/>
      <c r="U191" s="300"/>
      <c r="V191" s="300"/>
      <c r="W191" s="300"/>
      <c r="X191" s="300"/>
      <c r="Y191" s="300"/>
      <c r="Z191" s="300"/>
      <c r="AA191" s="300"/>
    </row>
    <row r="192" spans="1:27" ht="15.5" x14ac:dyDescent="0.35">
      <c r="A192" s="300"/>
      <c r="B192" s="300"/>
      <c r="C192" s="300"/>
      <c r="D192" s="300"/>
      <c r="E192" s="300"/>
      <c r="F192" s="300"/>
      <c r="G192" s="300"/>
      <c r="H192" s="300"/>
      <c r="I192" s="300"/>
      <c r="J192" s="300"/>
      <c r="K192" s="300"/>
      <c r="L192" s="300"/>
      <c r="M192" s="300"/>
      <c r="N192" s="300"/>
      <c r="O192" s="300"/>
      <c r="P192" s="300"/>
      <c r="Q192" s="300"/>
      <c r="R192" s="300"/>
      <c r="S192" s="300"/>
      <c r="T192" s="300"/>
      <c r="U192" s="300"/>
      <c r="V192" s="300"/>
      <c r="W192" s="300"/>
      <c r="X192" s="300"/>
      <c r="Y192" s="300"/>
      <c r="Z192" s="300"/>
      <c r="AA192" s="300"/>
    </row>
    <row r="193" spans="1:27" ht="15.5" x14ac:dyDescent="0.35">
      <c r="A193" s="300"/>
      <c r="B193" s="300"/>
      <c r="C193" s="300"/>
      <c r="D193" s="300"/>
      <c r="E193" s="300"/>
      <c r="F193" s="300"/>
      <c r="G193" s="300"/>
      <c r="H193" s="300"/>
      <c r="I193" s="300"/>
      <c r="J193" s="300"/>
      <c r="K193" s="300"/>
      <c r="L193" s="300"/>
      <c r="M193" s="300"/>
      <c r="N193" s="300"/>
      <c r="O193" s="300"/>
      <c r="P193" s="300"/>
      <c r="Q193" s="300"/>
      <c r="R193" s="300"/>
      <c r="S193" s="300"/>
      <c r="T193" s="300"/>
      <c r="U193" s="300"/>
      <c r="V193" s="300"/>
      <c r="W193" s="300"/>
      <c r="X193" s="300"/>
      <c r="Y193" s="300"/>
      <c r="Z193" s="300"/>
      <c r="AA193" s="300"/>
    </row>
    <row r="194" spans="1:27" ht="15.5" x14ac:dyDescent="0.35">
      <c r="A194" s="300"/>
      <c r="B194" s="300"/>
      <c r="C194" s="300"/>
      <c r="D194" s="300"/>
      <c r="E194" s="300"/>
      <c r="F194" s="300"/>
      <c r="G194" s="300"/>
      <c r="H194" s="300"/>
      <c r="I194" s="300"/>
      <c r="J194" s="300"/>
      <c r="K194" s="300"/>
      <c r="L194" s="300"/>
      <c r="M194" s="300"/>
      <c r="N194" s="300"/>
      <c r="O194" s="300"/>
      <c r="P194" s="300"/>
      <c r="Q194" s="300"/>
      <c r="R194" s="300"/>
      <c r="S194" s="300"/>
      <c r="T194" s="300"/>
      <c r="U194" s="300"/>
      <c r="V194" s="300"/>
      <c r="W194" s="300"/>
      <c r="X194" s="300"/>
      <c r="Y194" s="300"/>
      <c r="Z194" s="300"/>
      <c r="AA194" s="300"/>
    </row>
    <row r="195" spans="1:27" ht="15.5" x14ac:dyDescent="0.35">
      <c r="A195" s="300"/>
      <c r="B195" s="300"/>
      <c r="C195" s="300"/>
      <c r="D195" s="300"/>
      <c r="E195" s="300"/>
      <c r="F195" s="300"/>
      <c r="G195" s="300"/>
      <c r="H195" s="300"/>
      <c r="I195" s="300"/>
      <c r="J195" s="300"/>
      <c r="K195" s="300"/>
      <c r="L195" s="300"/>
      <c r="M195" s="300"/>
      <c r="N195" s="300"/>
      <c r="O195" s="300"/>
      <c r="P195" s="300"/>
      <c r="Q195" s="300"/>
      <c r="R195" s="300"/>
      <c r="S195" s="300"/>
      <c r="T195" s="300"/>
      <c r="U195" s="300"/>
      <c r="V195" s="300"/>
      <c r="W195" s="300"/>
      <c r="X195" s="300"/>
      <c r="Y195" s="300"/>
      <c r="Z195" s="300"/>
      <c r="AA195" s="300"/>
    </row>
    <row r="196" spans="1:27" ht="15.5" x14ac:dyDescent="0.35">
      <c r="A196" s="300"/>
      <c r="B196" s="300"/>
      <c r="C196" s="300"/>
      <c r="D196" s="300"/>
      <c r="E196" s="300"/>
      <c r="F196" s="300"/>
      <c r="G196" s="300"/>
      <c r="H196" s="300"/>
      <c r="I196" s="300"/>
      <c r="J196" s="300"/>
      <c r="K196" s="300"/>
      <c r="L196" s="300"/>
      <c r="M196" s="300"/>
      <c r="N196" s="300"/>
      <c r="O196" s="300"/>
      <c r="P196" s="300"/>
      <c r="Q196" s="300"/>
      <c r="R196" s="300"/>
      <c r="S196" s="300"/>
      <c r="T196" s="300"/>
      <c r="U196" s="300"/>
      <c r="V196" s="300"/>
      <c r="W196" s="300"/>
      <c r="X196" s="300"/>
      <c r="Y196" s="300"/>
      <c r="Z196" s="300"/>
      <c r="AA196" s="300"/>
    </row>
    <row r="197" spans="1:27" ht="15.5" x14ac:dyDescent="0.35">
      <c r="A197" s="300"/>
      <c r="B197" s="300"/>
      <c r="C197" s="300"/>
      <c r="D197" s="300"/>
      <c r="E197" s="300"/>
      <c r="F197" s="300"/>
      <c r="G197" s="300"/>
      <c r="H197" s="300"/>
      <c r="I197" s="300"/>
      <c r="J197" s="300"/>
      <c r="K197" s="300"/>
      <c r="L197" s="300"/>
      <c r="M197" s="300"/>
      <c r="N197" s="300"/>
      <c r="O197" s="300"/>
      <c r="P197" s="300"/>
      <c r="Q197" s="300"/>
      <c r="R197" s="300"/>
      <c r="S197" s="300"/>
      <c r="T197" s="300"/>
      <c r="U197" s="300"/>
      <c r="V197" s="300"/>
      <c r="W197" s="300"/>
      <c r="X197" s="300"/>
      <c r="Y197" s="300"/>
      <c r="Z197" s="300"/>
      <c r="AA197" s="300"/>
    </row>
    <row r="198" spans="1:27" ht="15.5" x14ac:dyDescent="0.35">
      <c r="A198" s="300"/>
      <c r="B198" s="300"/>
      <c r="C198" s="300"/>
      <c r="D198" s="300"/>
      <c r="E198" s="300"/>
      <c r="F198" s="300"/>
      <c r="G198" s="300"/>
      <c r="H198" s="300"/>
      <c r="I198" s="300"/>
      <c r="J198" s="300"/>
      <c r="K198" s="300"/>
      <c r="L198" s="300"/>
      <c r="M198" s="300"/>
      <c r="N198" s="300"/>
      <c r="O198" s="300"/>
      <c r="P198" s="300"/>
      <c r="Q198" s="300"/>
      <c r="R198" s="300"/>
      <c r="S198" s="300"/>
      <c r="T198" s="300"/>
      <c r="U198" s="300"/>
      <c r="V198" s="300"/>
      <c r="W198" s="300"/>
      <c r="X198" s="300"/>
      <c r="Y198" s="300"/>
      <c r="Z198" s="300"/>
      <c r="AA198" s="300"/>
    </row>
    <row r="199" spans="1:27" ht="15.5" x14ac:dyDescent="0.35">
      <c r="A199" s="300"/>
      <c r="B199" s="300"/>
      <c r="C199" s="300"/>
      <c r="D199" s="300"/>
      <c r="E199" s="300"/>
      <c r="F199" s="300"/>
      <c r="G199" s="300"/>
      <c r="H199" s="300"/>
      <c r="I199" s="300"/>
      <c r="J199" s="300"/>
      <c r="K199" s="300"/>
      <c r="L199" s="300"/>
      <c r="M199" s="300"/>
      <c r="N199" s="300"/>
      <c r="O199" s="300"/>
      <c r="P199" s="300"/>
      <c r="Q199" s="300"/>
      <c r="R199" s="300"/>
      <c r="S199" s="300"/>
      <c r="T199" s="300"/>
      <c r="U199" s="300"/>
      <c r="V199" s="300"/>
      <c r="W199" s="300"/>
      <c r="X199" s="300"/>
      <c r="Y199" s="300"/>
      <c r="Z199" s="300"/>
      <c r="AA199" s="300"/>
    </row>
    <row r="200" spans="1:27" ht="15.5" x14ac:dyDescent="0.35">
      <c r="A200" s="300"/>
      <c r="B200" s="300"/>
      <c r="C200" s="300"/>
      <c r="D200" s="300"/>
      <c r="E200" s="300"/>
      <c r="F200" s="300"/>
      <c r="G200" s="300"/>
      <c r="H200" s="300"/>
      <c r="I200" s="300"/>
      <c r="J200" s="300"/>
      <c r="K200" s="300"/>
      <c r="L200" s="300"/>
      <c r="M200" s="300"/>
      <c r="N200" s="300"/>
      <c r="O200" s="300"/>
      <c r="P200" s="300"/>
      <c r="Q200" s="300"/>
      <c r="R200" s="300"/>
      <c r="S200" s="300"/>
      <c r="T200" s="300"/>
      <c r="U200" s="300"/>
      <c r="V200" s="300"/>
      <c r="W200" s="300"/>
      <c r="X200" s="300"/>
      <c r="Y200" s="300"/>
      <c r="Z200" s="300"/>
      <c r="AA200" s="300"/>
    </row>
    <row r="201" spans="1:27" ht="15.5" x14ac:dyDescent="0.35">
      <c r="A201" s="300"/>
      <c r="B201" s="300"/>
      <c r="C201" s="300"/>
      <c r="D201" s="300"/>
      <c r="E201" s="300"/>
      <c r="F201" s="300"/>
      <c r="G201" s="300"/>
      <c r="H201" s="300"/>
      <c r="I201" s="300"/>
      <c r="J201" s="300"/>
      <c r="K201" s="300"/>
      <c r="L201" s="300"/>
      <c r="M201" s="300"/>
      <c r="N201" s="300"/>
      <c r="O201" s="300"/>
      <c r="P201" s="300"/>
      <c r="Q201" s="300"/>
      <c r="R201" s="300"/>
      <c r="S201" s="300"/>
      <c r="T201" s="300"/>
      <c r="U201" s="300"/>
      <c r="V201" s="300"/>
      <c r="W201" s="300"/>
      <c r="X201" s="300"/>
      <c r="Y201" s="300"/>
      <c r="Z201" s="300"/>
      <c r="AA201" s="300"/>
    </row>
    <row r="202" spans="1:27" ht="15.5" x14ac:dyDescent="0.35">
      <c r="A202" s="300"/>
      <c r="B202" s="300"/>
      <c r="C202" s="300"/>
      <c r="D202" s="300"/>
      <c r="E202" s="300"/>
      <c r="F202" s="300"/>
      <c r="G202" s="300"/>
      <c r="H202" s="300"/>
      <c r="I202" s="300"/>
      <c r="J202" s="300"/>
      <c r="K202" s="300"/>
      <c r="L202" s="300"/>
      <c r="M202" s="300"/>
      <c r="N202" s="300"/>
      <c r="O202" s="300"/>
      <c r="P202" s="300"/>
      <c r="Q202" s="300"/>
      <c r="R202" s="300"/>
      <c r="S202" s="300"/>
      <c r="T202" s="300"/>
      <c r="U202" s="300"/>
      <c r="V202" s="300"/>
      <c r="W202" s="300"/>
      <c r="X202" s="300"/>
      <c r="Y202" s="300"/>
      <c r="Z202" s="300"/>
      <c r="AA202" s="300"/>
    </row>
    <row r="203" spans="1:27" ht="15.5" x14ac:dyDescent="0.35">
      <c r="A203" s="300"/>
      <c r="B203" s="300"/>
      <c r="C203" s="300"/>
      <c r="D203" s="300"/>
      <c r="E203" s="300"/>
      <c r="F203" s="300"/>
      <c r="G203" s="300"/>
      <c r="H203" s="300"/>
      <c r="I203" s="300"/>
      <c r="J203" s="300"/>
      <c r="K203" s="300"/>
      <c r="L203" s="300"/>
      <c r="M203" s="300"/>
      <c r="N203" s="300"/>
      <c r="O203" s="300"/>
      <c r="P203" s="300"/>
      <c r="Q203" s="300"/>
      <c r="R203" s="300"/>
      <c r="S203" s="300"/>
      <c r="T203" s="300"/>
      <c r="U203" s="300"/>
      <c r="V203" s="300"/>
      <c r="W203" s="300"/>
      <c r="X203" s="300"/>
      <c r="Y203" s="300"/>
      <c r="Z203" s="300"/>
      <c r="AA203" s="300"/>
    </row>
    <row r="204" spans="1:27" ht="15.5" x14ac:dyDescent="0.35">
      <c r="A204" s="300"/>
      <c r="B204" s="300"/>
      <c r="C204" s="300"/>
      <c r="D204" s="300"/>
      <c r="E204" s="300"/>
      <c r="F204" s="300"/>
      <c r="G204" s="300"/>
      <c r="H204" s="300"/>
      <c r="I204" s="300"/>
      <c r="J204" s="300"/>
      <c r="K204" s="300"/>
      <c r="L204" s="300"/>
      <c r="M204" s="300"/>
      <c r="N204" s="300"/>
      <c r="O204" s="300"/>
      <c r="P204" s="300"/>
      <c r="Q204" s="300"/>
      <c r="R204" s="300"/>
      <c r="S204" s="300"/>
      <c r="T204" s="300"/>
      <c r="U204" s="300"/>
      <c r="V204" s="300"/>
      <c r="W204" s="300"/>
      <c r="X204" s="300"/>
      <c r="Y204" s="300"/>
      <c r="Z204" s="300"/>
      <c r="AA204" s="300"/>
    </row>
    <row r="205" spans="1:27" ht="15.5" x14ac:dyDescent="0.35">
      <c r="A205" s="300"/>
      <c r="B205" s="300"/>
      <c r="C205" s="300"/>
      <c r="D205" s="300"/>
      <c r="E205" s="300"/>
      <c r="F205" s="300"/>
      <c r="G205" s="300"/>
      <c r="H205" s="300"/>
      <c r="I205" s="300"/>
      <c r="J205" s="300"/>
      <c r="K205" s="300"/>
      <c r="L205" s="300"/>
      <c r="M205" s="300"/>
      <c r="N205" s="300"/>
      <c r="O205" s="300"/>
      <c r="P205" s="300"/>
      <c r="Q205" s="300"/>
      <c r="R205" s="300"/>
      <c r="S205" s="300"/>
      <c r="T205" s="300"/>
      <c r="U205" s="300"/>
      <c r="V205" s="300"/>
      <c r="W205" s="300"/>
      <c r="X205" s="300"/>
      <c r="Y205" s="300"/>
      <c r="Z205" s="300"/>
      <c r="AA205" s="300"/>
    </row>
    <row r="206" spans="1:27" ht="15.5" x14ac:dyDescent="0.35">
      <c r="A206" s="300"/>
      <c r="B206" s="300"/>
      <c r="C206" s="300"/>
      <c r="D206" s="300"/>
      <c r="E206" s="300"/>
      <c r="F206" s="300"/>
      <c r="G206" s="300"/>
      <c r="H206" s="300"/>
      <c r="I206" s="300"/>
      <c r="J206" s="300"/>
      <c r="K206" s="300"/>
      <c r="L206" s="300"/>
      <c r="M206" s="300"/>
      <c r="N206" s="300"/>
      <c r="O206" s="300"/>
      <c r="P206" s="300"/>
      <c r="Q206" s="300"/>
      <c r="R206" s="300"/>
      <c r="S206" s="300"/>
      <c r="T206" s="300"/>
      <c r="U206" s="300"/>
      <c r="V206" s="300"/>
      <c r="W206" s="300"/>
      <c r="X206" s="300"/>
      <c r="Y206" s="300"/>
      <c r="Z206" s="300"/>
      <c r="AA206" s="300"/>
    </row>
    <row r="207" spans="1:27" ht="15.5" x14ac:dyDescent="0.35">
      <c r="A207" s="300"/>
      <c r="B207" s="300"/>
      <c r="C207" s="300"/>
      <c r="D207" s="300"/>
      <c r="E207" s="300"/>
      <c r="F207" s="300"/>
      <c r="G207" s="300"/>
      <c r="H207" s="300"/>
      <c r="I207" s="300"/>
      <c r="J207" s="300"/>
      <c r="K207" s="300"/>
      <c r="L207" s="300"/>
      <c r="M207" s="300"/>
      <c r="N207" s="300"/>
      <c r="O207" s="300"/>
      <c r="P207" s="300"/>
      <c r="Q207" s="300"/>
      <c r="R207" s="300"/>
      <c r="S207" s="300"/>
      <c r="T207" s="300"/>
      <c r="U207" s="300"/>
      <c r="V207" s="300"/>
      <c r="W207" s="300"/>
      <c r="X207" s="300"/>
      <c r="Y207" s="300"/>
      <c r="Z207" s="300"/>
      <c r="AA207" s="300"/>
    </row>
    <row r="208" spans="1:27" ht="15.5" x14ac:dyDescent="0.35">
      <c r="A208" s="300"/>
      <c r="B208" s="300"/>
      <c r="C208" s="300"/>
      <c r="D208" s="300"/>
      <c r="E208" s="300"/>
      <c r="F208" s="300"/>
      <c r="G208" s="300"/>
      <c r="H208" s="300"/>
      <c r="I208" s="300"/>
      <c r="J208" s="300"/>
      <c r="K208" s="300"/>
      <c r="L208" s="300"/>
      <c r="M208" s="300"/>
      <c r="N208" s="300"/>
      <c r="O208" s="300"/>
      <c r="P208" s="300"/>
      <c r="Q208" s="300"/>
      <c r="R208" s="300"/>
      <c r="S208" s="300"/>
      <c r="T208" s="300"/>
      <c r="U208" s="300"/>
      <c r="V208" s="300"/>
      <c r="W208" s="300"/>
      <c r="X208" s="300"/>
      <c r="Y208" s="300"/>
      <c r="Z208" s="300"/>
      <c r="AA208" s="300"/>
    </row>
    <row r="209" spans="1:27" ht="15.5" x14ac:dyDescent="0.35">
      <c r="A209" s="300"/>
      <c r="B209" s="300"/>
      <c r="C209" s="300"/>
      <c r="D209" s="300"/>
      <c r="E209" s="300"/>
      <c r="F209" s="300"/>
      <c r="G209" s="300"/>
      <c r="H209" s="300"/>
      <c r="I209" s="300"/>
      <c r="J209" s="300"/>
      <c r="K209" s="300"/>
      <c r="L209" s="300"/>
      <c r="M209" s="300"/>
      <c r="N209" s="300"/>
      <c r="O209" s="300"/>
      <c r="P209" s="300"/>
      <c r="Q209" s="300"/>
      <c r="R209" s="300"/>
      <c r="S209" s="300"/>
      <c r="T209" s="300"/>
      <c r="U209" s="300"/>
      <c r="V209" s="300"/>
      <c r="W209" s="300"/>
      <c r="X209" s="300"/>
      <c r="Y209" s="300"/>
      <c r="Z209" s="300"/>
      <c r="AA209" s="300"/>
    </row>
    <row r="210" spans="1:27" ht="15.5" x14ac:dyDescent="0.35">
      <c r="A210" s="300"/>
      <c r="B210" s="300"/>
      <c r="C210" s="300"/>
      <c r="D210" s="300"/>
      <c r="E210" s="300"/>
      <c r="F210" s="300"/>
      <c r="G210" s="300"/>
      <c r="H210" s="300"/>
      <c r="I210" s="300"/>
      <c r="J210" s="300"/>
      <c r="K210" s="300"/>
      <c r="L210" s="300"/>
      <c r="M210" s="300"/>
      <c r="N210" s="300"/>
      <c r="O210" s="300"/>
      <c r="P210" s="300"/>
      <c r="Q210" s="300"/>
      <c r="R210" s="300"/>
      <c r="S210" s="300"/>
      <c r="T210" s="300"/>
      <c r="U210" s="300"/>
      <c r="V210" s="300"/>
      <c r="W210" s="300"/>
      <c r="X210" s="300"/>
      <c r="Y210" s="300"/>
      <c r="Z210" s="300"/>
      <c r="AA210" s="300"/>
    </row>
    <row r="211" spans="1:27" ht="15.5" x14ac:dyDescent="0.35">
      <c r="A211" s="300"/>
      <c r="B211" s="300"/>
      <c r="C211" s="300"/>
      <c r="D211" s="300"/>
      <c r="E211" s="300"/>
      <c r="F211" s="300"/>
      <c r="G211" s="300"/>
      <c r="H211" s="300"/>
      <c r="I211" s="300"/>
      <c r="J211" s="300"/>
      <c r="K211" s="300"/>
      <c r="L211" s="300"/>
      <c r="M211" s="300"/>
      <c r="N211" s="300"/>
      <c r="O211" s="300"/>
      <c r="P211" s="300"/>
      <c r="Q211" s="300"/>
      <c r="R211" s="300"/>
      <c r="S211" s="300"/>
      <c r="T211" s="300"/>
      <c r="U211" s="300"/>
      <c r="V211" s="300"/>
      <c r="W211" s="300"/>
      <c r="X211" s="300"/>
      <c r="Y211" s="300"/>
      <c r="Z211" s="300"/>
      <c r="AA211" s="300"/>
    </row>
    <row r="212" spans="1:27" ht="15.5" x14ac:dyDescent="0.35">
      <c r="A212" s="300"/>
      <c r="B212" s="300"/>
      <c r="C212" s="300"/>
      <c r="D212" s="300"/>
      <c r="E212" s="300"/>
      <c r="F212" s="300"/>
      <c r="G212" s="300"/>
      <c r="H212" s="300"/>
      <c r="I212" s="300"/>
      <c r="J212" s="300"/>
      <c r="K212" s="300"/>
      <c r="L212" s="300"/>
      <c r="M212" s="300"/>
      <c r="N212" s="300"/>
      <c r="O212" s="300"/>
      <c r="P212" s="300"/>
      <c r="Q212" s="300"/>
      <c r="R212" s="300"/>
      <c r="S212" s="300"/>
      <c r="T212" s="300"/>
      <c r="U212" s="300"/>
      <c r="V212" s="300"/>
      <c r="W212" s="300"/>
      <c r="X212" s="300"/>
      <c r="Y212" s="300"/>
      <c r="Z212" s="300"/>
      <c r="AA212" s="300"/>
    </row>
    <row r="213" spans="1:27" ht="15.5" x14ac:dyDescent="0.35">
      <c r="A213" s="300"/>
      <c r="B213" s="300"/>
      <c r="C213" s="300"/>
      <c r="D213" s="300"/>
      <c r="E213" s="300"/>
      <c r="F213" s="300"/>
      <c r="G213" s="300"/>
      <c r="H213" s="300"/>
      <c r="I213" s="300"/>
      <c r="J213" s="300"/>
      <c r="K213" s="300"/>
      <c r="L213" s="300"/>
      <c r="M213" s="300"/>
      <c r="N213" s="300"/>
      <c r="O213" s="300"/>
      <c r="P213" s="300"/>
      <c r="Q213" s="300"/>
      <c r="R213" s="300"/>
      <c r="S213" s="300"/>
      <c r="T213" s="300"/>
      <c r="U213" s="300"/>
      <c r="V213" s="300"/>
      <c r="W213" s="300"/>
      <c r="X213" s="300"/>
      <c r="Y213" s="300"/>
      <c r="Z213" s="300"/>
      <c r="AA213" s="300"/>
    </row>
    <row r="214" spans="1:27" ht="15.5" x14ac:dyDescent="0.35">
      <c r="A214" s="300"/>
      <c r="B214" s="300"/>
      <c r="C214" s="300"/>
      <c r="D214" s="300"/>
      <c r="E214" s="300"/>
      <c r="F214" s="300"/>
      <c r="G214" s="300"/>
      <c r="H214" s="300"/>
      <c r="I214" s="300"/>
      <c r="J214" s="300"/>
      <c r="K214" s="300"/>
      <c r="L214" s="300"/>
      <c r="M214" s="300"/>
      <c r="N214" s="300"/>
      <c r="O214" s="300"/>
      <c r="P214" s="300"/>
      <c r="Q214" s="300"/>
      <c r="R214" s="300"/>
      <c r="S214" s="300"/>
      <c r="T214" s="300"/>
      <c r="U214" s="300"/>
      <c r="V214" s="300"/>
      <c r="W214" s="300"/>
      <c r="X214" s="300"/>
      <c r="Y214" s="300"/>
      <c r="Z214" s="300"/>
      <c r="AA214" s="300"/>
    </row>
    <row r="215" spans="1:27" ht="15.5" x14ac:dyDescent="0.35">
      <c r="A215" s="300"/>
      <c r="B215" s="300"/>
      <c r="C215" s="300"/>
      <c r="D215" s="300"/>
      <c r="E215" s="300"/>
      <c r="F215" s="300"/>
      <c r="G215" s="300"/>
      <c r="H215" s="300"/>
      <c r="I215" s="300"/>
      <c r="J215" s="300"/>
      <c r="K215" s="300"/>
      <c r="L215" s="300"/>
      <c r="M215" s="300"/>
      <c r="N215" s="300"/>
      <c r="O215" s="300"/>
      <c r="P215" s="300"/>
      <c r="Q215" s="300"/>
      <c r="R215" s="300"/>
      <c r="S215" s="300"/>
      <c r="T215" s="300"/>
      <c r="U215" s="300"/>
      <c r="V215" s="300"/>
      <c r="W215" s="300"/>
      <c r="X215" s="300"/>
      <c r="Y215" s="300"/>
      <c r="Z215" s="300"/>
      <c r="AA215" s="300"/>
    </row>
    <row r="216" spans="1:27" ht="15.5" x14ac:dyDescent="0.35">
      <c r="A216" s="300"/>
      <c r="B216" s="300"/>
      <c r="C216" s="300"/>
      <c r="D216" s="300"/>
      <c r="E216" s="300"/>
      <c r="F216" s="300"/>
      <c r="G216" s="300"/>
      <c r="H216" s="300"/>
      <c r="I216" s="300"/>
      <c r="J216" s="300"/>
      <c r="K216" s="300"/>
      <c r="L216" s="300"/>
      <c r="M216" s="300"/>
      <c r="N216" s="300"/>
      <c r="O216" s="300"/>
      <c r="P216" s="300"/>
      <c r="Q216" s="300"/>
      <c r="R216" s="300"/>
      <c r="S216" s="300"/>
      <c r="T216" s="300"/>
      <c r="U216" s="300"/>
      <c r="V216" s="300"/>
      <c r="W216" s="300"/>
      <c r="X216" s="300"/>
      <c r="Y216" s="300"/>
      <c r="Z216" s="300"/>
      <c r="AA216" s="300"/>
    </row>
    <row r="217" spans="1:27" ht="15.5" x14ac:dyDescent="0.35">
      <c r="A217" s="300"/>
      <c r="B217" s="300"/>
      <c r="C217" s="300"/>
      <c r="D217" s="300"/>
      <c r="E217" s="300"/>
      <c r="F217" s="300"/>
      <c r="G217" s="300"/>
      <c r="H217" s="300"/>
      <c r="I217" s="300"/>
      <c r="J217" s="300"/>
      <c r="K217" s="300"/>
      <c r="L217" s="300"/>
      <c r="M217" s="300"/>
      <c r="N217" s="300"/>
      <c r="O217" s="300"/>
      <c r="P217" s="300"/>
      <c r="Q217" s="300"/>
      <c r="R217" s="300"/>
      <c r="S217" s="300"/>
      <c r="T217" s="300"/>
      <c r="U217" s="300"/>
      <c r="V217" s="300"/>
      <c r="W217" s="300"/>
      <c r="X217" s="300"/>
      <c r="Y217" s="300"/>
      <c r="Z217" s="300"/>
      <c r="AA217" s="300"/>
    </row>
    <row r="218" spans="1:27" ht="15.5" x14ac:dyDescent="0.35">
      <c r="A218" s="300"/>
      <c r="B218" s="300"/>
      <c r="C218" s="300"/>
      <c r="D218" s="300"/>
      <c r="E218" s="300"/>
      <c r="F218" s="300"/>
      <c r="G218" s="300"/>
      <c r="H218" s="300"/>
      <c r="I218" s="300"/>
      <c r="J218" s="300"/>
      <c r="K218" s="300"/>
      <c r="L218" s="300"/>
      <c r="M218" s="300"/>
      <c r="N218" s="300"/>
      <c r="O218" s="300"/>
      <c r="P218" s="300"/>
      <c r="Q218" s="300"/>
      <c r="R218" s="300"/>
      <c r="S218" s="300"/>
      <c r="T218" s="300"/>
      <c r="U218" s="300"/>
      <c r="V218" s="300"/>
      <c r="W218" s="300"/>
      <c r="X218" s="300"/>
      <c r="Y218" s="300"/>
      <c r="Z218" s="300"/>
      <c r="AA218" s="300"/>
    </row>
    <row r="219" spans="1:27" ht="15.5" x14ac:dyDescent="0.35">
      <c r="A219" s="300"/>
      <c r="B219" s="300"/>
      <c r="C219" s="300"/>
      <c r="D219" s="300"/>
      <c r="E219" s="300"/>
      <c r="F219" s="300"/>
      <c r="G219" s="300"/>
      <c r="H219" s="300"/>
      <c r="I219" s="300"/>
      <c r="J219" s="300"/>
      <c r="K219" s="300"/>
      <c r="L219" s="300"/>
      <c r="M219" s="300"/>
      <c r="N219" s="300"/>
      <c r="O219" s="300"/>
      <c r="P219" s="300"/>
      <c r="Q219" s="300"/>
      <c r="R219" s="300"/>
      <c r="S219" s="300"/>
      <c r="T219" s="300"/>
      <c r="U219" s="300"/>
      <c r="V219" s="300"/>
      <c r="W219" s="300"/>
      <c r="X219" s="300"/>
      <c r="Y219" s="300"/>
      <c r="Z219" s="300"/>
      <c r="AA219" s="300"/>
    </row>
    <row r="220" spans="1:27" ht="15.5" x14ac:dyDescent="0.35">
      <c r="A220" s="300"/>
      <c r="B220" s="300"/>
      <c r="C220" s="300"/>
      <c r="D220" s="300"/>
      <c r="E220" s="300"/>
      <c r="F220" s="300"/>
      <c r="G220" s="300"/>
      <c r="H220" s="300"/>
      <c r="I220" s="300"/>
      <c r="J220" s="300"/>
      <c r="K220" s="300"/>
      <c r="L220" s="300"/>
      <c r="M220" s="300"/>
      <c r="N220" s="300"/>
      <c r="O220" s="300"/>
      <c r="P220" s="300"/>
      <c r="Q220" s="300"/>
      <c r="R220" s="300"/>
      <c r="S220" s="300"/>
      <c r="T220" s="300"/>
      <c r="U220" s="300"/>
      <c r="V220" s="300"/>
      <c r="W220" s="300"/>
      <c r="X220" s="300"/>
      <c r="Y220" s="300"/>
      <c r="Z220" s="300"/>
      <c r="AA220" s="300"/>
    </row>
    <row r="221" spans="1:27" ht="15.5" x14ac:dyDescent="0.35">
      <c r="A221" s="300"/>
      <c r="B221" s="300"/>
      <c r="C221" s="300"/>
      <c r="D221" s="300"/>
      <c r="E221" s="300"/>
      <c r="F221" s="300"/>
      <c r="G221" s="300"/>
      <c r="H221" s="300"/>
      <c r="I221" s="300"/>
      <c r="J221" s="300"/>
      <c r="K221" s="300"/>
      <c r="L221" s="300"/>
      <c r="M221" s="300"/>
      <c r="N221" s="300"/>
      <c r="O221" s="300"/>
      <c r="P221" s="300"/>
      <c r="Q221" s="300"/>
      <c r="R221" s="300"/>
      <c r="S221" s="300"/>
      <c r="T221" s="300"/>
      <c r="U221" s="300"/>
      <c r="V221" s="300"/>
      <c r="W221" s="300"/>
      <c r="X221" s="300"/>
      <c r="Y221" s="300"/>
      <c r="Z221" s="300"/>
      <c r="AA221" s="300"/>
    </row>
    <row r="222" spans="1:27" ht="15.5" x14ac:dyDescent="0.35">
      <c r="A222" s="300"/>
      <c r="B222" s="300"/>
      <c r="C222" s="300"/>
      <c r="D222" s="300"/>
      <c r="E222" s="300"/>
      <c r="F222" s="300"/>
      <c r="G222" s="300"/>
      <c r="H222" s="300"/>
      <c r="I222" s="300"/>
      <c r="J222" s="300"/>
      <c r="K222" s="300"/>
      <c r="L222" s="300"/>
      <c r="M222" s="300"/>
      <c r="N222" s="300"/>
      <c r="O222" s="300"/>
      <c r="P222" s="300"/>
      <c r="Q222" s="300"/>
      <c r="R222" s="300"/>
      <c r="S222" s="300"/>
      <c r="T222" s="300"/>
      <c r="U222" s="300"/>
      <c r="V222" s="300"/>
      <c r="W222" s="300"/>
      <c r="X222" s="300"/>
      <c r="Y222" s="300"/>
      <c r="Z222" s="300"/>
      <c r="AA222" s="300"/>
    </row>
    <row r="223" spans="1:27" ht="15.5" x14ac:dyDescent="0.35">
      <c r="A223" s="300"/>
      <c r="B223" s="300"/>
      <c r="C223" s="300"/>
      <c r="D223" s="300"/>
      <c r="E223" s="300"/>
      <c r="F223" s="300"/>
      <c r="G223" s="300"/>
      <c r="H223" s="300"/>
      <c r="I223" s="300"/>
      <c r="J223" s="300"/>
      <c r="K223" s="300"/>
      <c r="L223" s="300"/>
      <c r="M223" s="300"/>
      <c r="N223" s="300"/>
      <c r="O223" s="300"/>
      <c r="P223" s="300"/>
      <c r="Q223" s="300"/>
      <c r="R223" s="300"/>
      <c r="S223" s="300"/>
      <c r="T223" s="300"/>
      <c r="U223" s="300"/>
      <c r="V223" s="300"/>
      <c r="W223" s="300"/>
      <c r="X223" s="300"/>
      <c r="Y223" s="300"/>
      <c r="Z223" s="300"/>
      <c r="AA223" s="300"/>
    </row>
    <row r="224" spans="1:27" ht="15.5" x14ac:dyDescent="0.35">
      <c r="A224" s="300"/>
      <c r="B224" s="300"/>
      <c r="C224" s="300"/>
      <c r="D224" s="300"/>
      <c r="E224" s="300"/>
      <c r="F224" s="300"/>
      <c r="G224" s="300"/>
      <c r="H224" s="300"/>
      <c r="I224" s="300"/>
      <c r="J224" s="300"/>
      <c r="K224" s="300"/>
      <c r="L224" s="300"/>
      <c r="M224" s="300"/>
      <c r="N224" s="300"/>
      <c r="O224" s="300"/>
      <c r="P224" s="300"/>
      <c r="Q224" s="300"/>
      <c r="R224" s="300"/>
      <c r="S224" s="300"/>
      <c r="T224" s="300"/>
      <c r="U224" s="300"/>
      <c r="V224" s="300"/>
      <c r="W224" s="300"/>
      <c r="X224" s="300"/>
      <c r="Y224" s="300"/>
      <c r="Z224" s="300"/>
      <c r="AA224" s="300"/>
    </row>
    <row r="225" spans="1:27" ht="15.5" x14ac:dyDescent="0.35">
      <c r="A225" s="300"/>
      <c r="B225" s="300"/>
      <c r="C225" s="300"/>
      <c r="D225" s="300"/>
      <c r="E225" s="300"/>
      <c r="F225" s="300"/>
      <c r="G225" s="300"/>
      <c r="H225" s="300"/>
      <c r="I225" s="300"/>
      <c r="J225" s="300"/>
      <c r="K225" s="300"/>
      <c r="L225" s="300"/>
      <c r="M225" s="300"/>
      <c r="N225" s="300"/>
      <c r="O225" s="300"/>
      <c r="P225" s="300"/>
      <c r="Q225" s="300"/>
      <c r="R225" s="300"/>
      <c r="S225" s="300"/>
      <c r="T225" s="300"/>
      <c r="U225" s="300"/>
      <c r="V225" s="300"/>
      <c r="W225" s="300"/>
      <c r="X225" s="300"/>
      <c r="Y225" s="300"/>
      <c r="Z225" s="300"/>
      <c r="AA225" s="300"/>
    </row>
    <row r="226" spans="1:27" ht="15.5" x14ac:dyDescent="0.35">
      <c r="A226" s="300"/>
      <c r="B226" s="300"/>
      <c r="C226" s="300"/>
      <c r="D226" s="300"/>
      <c r="E226" s="300"/>
      <c r="F226" s="300"/>
      <c r="G226" s="300"/>
      <c r="H226" s="300"/>
      <c r="I226" s="300"/>
      <c r="J226" s="300"/>
      <c r="K226" s="300"/>
      <c r="L226" s="300"/>
      <c r="M226" s="300"/>
      <c r="N226" s="300"/>
      <c r="O226" s="300"/>
      <c r="P226" s="300"/>
      <c r="Q226" s="300"/>
      <c r="R226" s="300"/>
      <c r="S226" s="300"/>
      <c r="T226" s="300"/>
      <c r="U226" s="300"/>
      <c r="V226" s="300"/>
      <c r="W226" s="300"/>
      <c r="X226" s="300"/>
      <c r="Y226" s="300"/>
      <c r="Z226" s="300"/>
      <c r="AA226" s="300"/>
    </row>
    <row r="227" spans="1:27" ht="15.5" x14ac:dyDescent="0.35">
      <c r="A227" s="300"/>
      <c r="B227" s="300"/>
      <c r="C227" s="300"/>
      <c r="D227" s="300"/>
      <c r="E227" s="300"/>
      <c r="F227" s="300"/>
      <c r="G227" s="300"/>
      <c r="H227" s="300"/>
      <c r="I227" s="300"/>
      <c r="J227" s="300"/>
      <c r="K227" s="300"/>
      <c r="L227" s="300"/>
      <c r="M227" s="300"/>
      <c r="N227" s="300"/>
      <c r="O227" s="300"/>
      <c r="P227" s="300"/>
      <c r="Q227" s="300"/>
      <c r="R227" s="300"/>
      <c r="S227" s="300"/>
      <c r="T227" s="300"/>
      <c r="U227" s="300"/>
      <c r="V227" s="300"/>
      <c r="W227" s="300"/>
      <c r="X227" s="300"/>
      <c r="Y227" s="300"/>
      <c r="Z227" s="300"/>
      <c r="AA227" s="300"/>
    </row>
    <row r="228" spans="1:27" ht="15.5" x14ac:dyDescent="0.35">
      <c r="A228" s="300"/>
      <c r="B228" s="300"/>
      <c r="C228" s="300"/>
      <c r="D228" s="300"/>
      <c r="E228" s="300"/>
      <c r="F228" s="300"/>
      <c r="G228" s="300"/>
      <c r="H228" s="300"/>
      <c r="I228" s="300"/>
      <c r="J228" s="300"/>
      <c r="K228" s="300"/>
      <c r="L228" s="300"/>
      <c r="M228" s="300"/>
      <c r="N228" s="300"/>
      <c r="O228" s="300"/>
      <c r="P228" s="300"/>
      <c r="Q228" s="300"/>
      <c r="R228" s="300"/>
      <c r="S228" s="300"/>
      <c r="T228" s="300"/>
      <c r="U228" s="300"/>
      <c r="V228" s="300"/>
      <c r="W228" s="300"/>
      <c r="X228" s="300"/>
      <c r="Y228" s="300"/>
      <c r="Z228" s="300"/>
      <c r="AA228" s="300"/>
    </row>
    <row r="229" spans="1:27" ht="15.5" x14ac:dyDescent="0.35">
      <c r="A229" s="300"/>
      <c r="B229" s="300"/>
      <c r="C229" s="300"/>
      <c r="D229" s="300"/>
      <c r="E229" s="300"/>
      <c r="F229" s="300"/>
      <c r="G229" s="300"/>
      <c r="H229" s="300"/>
      <c r="I229" s="300"/>
      <c r="J229" s="300"/>
      <c r="K229" s="300"/>
      <c r="L229" s="300"/>
      <c r="M229" s="300"/>
      <c r="N229" s="300"/>
      <c r="O229" s="300"/>
      <c r="P229" s="300"/>
      <c r="Q229" s="300"/>
      <c r="R229" s="300"/>
      <c r="S229" s="300"/>
      <c r="T229" s="300"/>
      <c r="U229" s="300"/>
      <c r="V229" s="300"/>
      <c r="W229" s="300"/>
      <c r="X229" s="300"/>
      <c r="Y229" s="300"/>
      <c r="Z229" s="300"/>
      <c r="AA229" s="300"/>
    </row>
    <row r="230" spans="1:27" ht="15.5" x14ac:dyDescent="0.35">
      <c r="A230" s="300"/>
      <c r="B230" s="300"/>
      <c r="C230" s="300"/>
      <c r="D230" s="300"/>
      <c r="E230" s="300"/>
      <c r="F230" s="300"/>
      <c r="G230" s="300"/>
      <c r="H230" s="300"/>
      <c r="I230" s="300"/>
      <c r="J230" s="300"/>
      <c r="K230" s="300"/>
      <c r="L230" s="300"/>
      <c r="M230" s="300"/>
      <c r="N230" s="300"/>
      <c r="O230" s="300"/>
      <c r="P230" s="300"/>
      <c r="Q230" s="300"/>
      <c r="R230" s="300"/>
      <c r="S230" s="300"/>
      <c r="T230" s="300"/>
      <c r="U230" s="300"/>
      <c r="V230" s="300"/>
      <c r="W230" s="300"/>
      <c r="X230" s="300"/>
      <c r="Y230" s="300"/>
      <c r="Z230" s="300"/>
      <c r="AA230" s="300"/>
    </row>
    <row r="231" spans="1:27" ht="15.5" x14ac:dyDescent="0.35">
      <c r="A231" s="300"/>
      <c r="B231" s="300"/>
      <c r="C231" s="300"/>
      <c r="D231" s="300"/>
      <c r="E231" s="300"/>
      <c r="F231" s="300"/>
      <c r="G231" s="300"/>
      <c r="H231" s="300"/>
      <c r="I231" s="300"/>
      <c r="J231" s="300"/>
      <c r="K231" s="300"/>
      <c r="L231" s="300"/>
      <c r="M231" s="300"/>
      <c r="N231" s="300"/>
      <c r="O231" s="300"/>
      <c r="P231" s="300"/>
      <c r="Q231" s="300"/>
      <c r="R231" s="300"/>
      <c r="S231" s="300"/>
      <c r="T231" s="300"/>
      <c r="U231" s="300"/>
      <c r="V231" s="300"/>
      <c r="W231" s="300"/>
      <c r="X231" s="300"/>
      <c r="Y231" s="300"/>
      <c r="Z231" s="300"/>
      <c r="AA231" s="300"/>
    </row>
    <row r="232" spans="1:27" ht="15.5" x14ac:dyDescent="0.35">
      <c r="A232" s="300"/>
      <c r="B232" s="300"/>
      <c r="C232" s="300"/>
      <c r="D232" s="300"/>
      <c r="E232" s="300"/>
      <c r="F232" s="300"/>
      <c r="G232" s="300"/>
      <c r="H232" s="300"/>
      <c r="I232" s="300"/>
      <c r="J232" s="300"/>
      <c r="K232" s="300"/>
      <c r="L232" s="300"/>
      <c r="M232" s="300"/>
      <c r="N232" s="300"/>
      <c r="O232" s="300"/>
      <c r="P232" s="300"/>
      <c r="Q232" s="300"/>
      <c r="R232" s="300"/>
      <c r="S232" s="300"/>
      <c r="T232" s="300"/>
      <c r="U232" s="300"/>
      <c r="V232" s="300"/>
      <c r="W232" s="300"/>
      <c r="X232" s="300"/>
      <c r="Y232" s="300"/>
      <c r="Z232" s="300"/>
      <c r="AA232" s="300"/>
    </row>
    <row r="233" spans="1:27" ht="15.5" x14ac:dyDescent="0.35">
      <c r="A233" s="300"/>
      <c r="B233" s="300"/>
      <c r="C233" s="300"/>
      <c r="D233" s="300"/>
      <c r="E233" s="300"/>
      <c r="F233" s="300"/>
      <c r="G233" s="300"/>
      <c r="H233" s="300"/>
      <c r="I233" s="300"/>
      <c r="J233" s="300"/>
      <c r="K233" s="300"/>
      <c r="L233" s="300"/>
      <c r="M233" s="300"/>
      <c r="N233" s="300"/>
      <c r="O233" s="300"/>
      <c r="P233" s="300"/>
      <c r="Q233" s="300"/>
      <c r="R233" s="300"/>
      <c r="S233" s="300"/>
      <c r="T233" s="300"/>
      <c r="U233" s="300"/>
      <c r="V233" s="300"/>
      <c r="W233" s="300"/>
      <c r="X233" s="300"/>
      <c r="Y233" s="300"/>
      <c r="Z233" s="300"/>
      <c r="AA233" s="300"/>
    </row>
    <row r="234" spans="1:27" ht="15.5" x14ac:dyDescent="0.35">
      <c r="A234" s="300"/>
      <c r="B234" s="300"/>
      <c r="C234" s="300"/>
      <c r="D234" s="300"/>
      <c r="E234" s="300"/>
      <c r="F234" s="300"/>
      <c r="G234" s="300"/>
      <c r="H234" s="300"/>
      <c r="I234" s="300"/>
      <c r="J234" s="300"/>
      <c r="K234" s="300"/>
      <c r="L234" s="300"/>
      <c r="M234" s="300"/>
      <c r="N234" s="300"/>
      <c r="O234" s="300"/>
      <c r="P234" s="300"/>
      <c r="Q234" s="300"/>
      <c r="R234" s="300"/>
      <c r="S234" s="300"/>
      <c r="T234" s="300"/>
      <c r="U234" s="300"/>
      <c r="V234" s="300"/>
      <c r="W234" s="300"/>
      <c r="X234" s="300"/>
      <c r="Y234" s="300"/>
      <c r="Z234" s="300"/>
      <c r="AA234" s="300"/>
    </row>
    <row r="235" spans="1:27" ht="15.5" x14ac:dyDescent="0.35">
      <c r="A235" s="300"/>
      <c r="B235" s="300"/>
      <c r="C235" s="300"/>
      <c r="D235" s="300"/>
      <c r="E235" s="300"/>
      <c r="F235" s="300"/>
      <c r="G235" s="300"/>
      <c r="H235" s="300"/>
      <c r="I235" s="300"/>
      <c r="J235" s="300"/>
      <c r="K235" s="300"/>
      <c r="L235" s="300"/>
      <c r="M235" s="300"/>
      <c r="N235" s="300"/>
      <c r="O235" s="300"/>
      <c r="P235" s="300"/>
      <c r="Q235" s="300"/>
      <c r="R235" s="300"/>
      <c r="S235" s="300"/>
      <c r="T235" s="300"/>
      <c r="U235" s="300"/>
      <c r="V235" s="300"/>
      <c r="W235" s="300"/>
      <c r="X235" s="300"/>
      <c r="Y235" s="300"/>
      <c r="Z235" s="300"/>
      <c r="AA235" s="300"/>
    </row>
    <row r="236" spans="1:27" ht="15.5" x14ac:dyDescent="0.35">
      <c r="A236" s="300"/>
      <c r="B236" s="300"/>
      <c r="C236" s="300"/>
      <c r="D236" s="300"/>
      <c r="E236" s="300"/>
      <c r="F236" s="300"/>
      <c r="G236" s="300"/>
      <c r="H236" s="300"/>
      <c r="I236" s="300"/>
      <c r="J236" s="300"/>
      <c r="K236" s="300"/>
      <c r="L236" s="300"/>
      <c r="M236" s="300"/>
      <c r="N236" s="300"/>
      <c r="O236" s="300"/>
      <c r="P236" s="300"/>
      <c r="Q236" s="300"/>
      <c r="R236" s="300"/>
      <c r="S236" s="300"/>
      <c r="T236" s="300"/>
      <c r="U236" s="300"/>
      <c r="V236" s="300"/>
      <c r="W236" s="300"/>
      <c r="X236" s="300"/>
      <c r="Y236" s="300"/>
      <c r="Z236" s="300"/>
      <c r="AA236" s="300"/>
    </row>
    <row r="237" spans="1:27" ht="15.5" x14ac:dyDescent="0.35">
      <c r="A237" s="300"/>
      <c r="B237" s="300"/>
      <c r="C237" s="300"/>
      <c r="D237" s="300"/>
      <c r="E237" s="300"/>
      <c r="F237" s="300"/>
      <c r="G237" s="300"/>
      <c r="H237" s="300"/>
      <c r="I237" s="300"/>
      <c r="J237" s="300"/>
      <c r="K237" s="300"/>
      <c r="L237" s="300"/>
      <c r="M237" s="300"/>
      <c r="N237" s="300"/>
      <c r="O237" s="300"/>
      <c r="P237" s="300"/>
      <c r="Q237" s="300"/>
      <c r="R237" s="300"/>
      <c r="S237" s="300"/>
      <c r="T237" s="300"/>
      <c r="U237" s="300"/>
      <c r="V237" s="300"/>
      <c r="W237" s="300"/>
      <c r="X237" s="300"/>
      <c r="Y237" s="300"/>
      <c r="Z237" s="300"/>
      <c r="AA237" s="300"/>
    </row>
    <row r="238" spans="1:27" ht="15.5" x14ac:dyDescent="0.35">
      <c r="A238" s="300"/>
      <c r="B238" s="300"/>
      <c r="C238" s="300"/>
      <c r="D238" s="300"/>
      <c r="E238" s="300"/>
      <c r="F238" s="300"/>
      <c r="G238" s="300"/>
      <c r="H238" s="300"/>
      <c r="I238" s="300"/>
      <c r="J238" s="300"/>
      <c r="K238" s="300"/>
      <c r="L238" s="300"/>
      <c r="M238" s="300"/>
      <c r="N238" s="300"/>
      <c r="O238" s="300"/>
      <c r="P238" s="300"/>
      <c r="Q238" s="300"/>
      <c r="R238" s="300"/>
      <c r="S238" s="300"/>
      <c r="T238" s="300"/>
      <c r="U238" s="300"/>
      <c r="V238" s="300"/>
      <c r="W238" s="300"/>
      <c r="X238" s="300"/>
      <c r="Y238" s="300"/>
      <c r="Z238" s="300"/>
      <c r="AA238" s="300"/>
    </row>
    <row r="239" spans="1:27" ht="15.5" x14ac:dyDescent="0.35">
      <c r="A239" s="300"/>
      <c r="B239" s="300"/>
      <c r="C239" s="300"/>
      <c r="D239" s="300"/>
      <c r="E239" s="300"/>
      <c r="F239" s="300"/>
      <c r="G239" s="300"/>
      <c r="H239" s="300"/>
      <c r="I239" s="300"/>
      <c r="J239" s="300"/>
      <c r="K239" s="300"/>
      <c r="L239" s="300"/>
      <c r="M239" s="300"/>
      <c r="N239" s="300"/>
      <c r="O239" s="300"/>
      <c r="P239" s="300"/>
      <c r="Q239" s="300"/>
      <c r="R239" s="300"/>
      <c r="S239" s="300"/>
      <c r="T239" s="300"/>
      <c r="U239" s="300"/>
      <c r="V239" s="300"/>
      <c r="W239" s="300"/>
      <c r="X239" s="300"/>
      <c r="Y239" s="300"/>
      <c r="Z239" s="300"/>
      <c r="AA239" s="300"/>
    </row>
    <row r="240" spans="1:27" ht="15.5" x14ac:dyDescent="0.35">
      <c r="A240" s="300"/>
      <c r="B240" s="300"/>
      <c r="C240" s="300"/>
      <c r="D240" s="300"/>
      <c r="E240" s="300"/>
      <c r="F240" s="300"/>
      <c r="G240" s="300"/>
      <c r="H240" s="300"/>
      <c r="I240" s="300"/>
      <c r="J240" s="300"/>
      <c r="K240" s="300"/>
      <c r="L240" s="300"/>
      <c r="M240" s="300"/>
      <c r="N240" s="300"/>
      <c r="O240" s="300"/>
      <c r="P240" s="300"/>
      <c r="Q240" s="300"/>
      <c r="R240" s="300"/>
      <c r="S240" s="300"/>
      <c r="T240" s="300"/>
      <c r="U240" s="300"/>
      <c r="V240" s="300"/>
      <c r="W240" s="300"/>
      <c r="X240" s="300"/>
      <c r="Y240" s="300"/>
      <c r="Z240" s="300"/>
      <c r="AA240" s="300"/>
    </row>
    <row r="241" spans="1:27" ht="15.5" x14ac:dyDescent="0.35">
      <c r="A241" s="300"/>
      <c r="B241" s="300"/>
      <c r="C241" s="300"/>
      <c r="D241" s="300"/>
      <c r="E241" s="300"/>
      <c r="F241" s="300"/>
      <c r="G241" s="300"/>
      <c r="H241" s="300"/>
      <c r="I241" s="300"/>
      <c r="J241" s="300"/>
      <c r="K241" s="300"/>
      <c r="L241" s="300"/>
      <c r="M241" s="300"/>
      <c r="N241" s="300"/>
      <c r="O241" s="300"/>
      <c r="P241" s="300"/>
      <c r="Q241" s="300"/>
      <c r="R241" s="300"/>
      <c r="S241" s="300"/>
      <c r="T241" s="300"/>
      <c r="U241" s="300"/>
      <c r="V241" s="300"/>
      <c r="W241" s="300"/>
      <c r="X241" s="300"/>
      <c r="Y241" s="300"/>
      <c r="Z241" s="300"/>
      <c r="AA241" s="300"/>
    </row>
    <row r="242" spans="1:27" ht="15.5" x14ac:dyDescent="0.35">
      <c r="A242" s="300"/>
      <c r="B242" s="300"/>
      <c r="C242" s="300"/>
      <c r="D242" s="300"/>
      <c r="E242" s="300"/>
      <c r="F242" s="300"/>
      <c r="G242" s="300"/>
      <c r="H242" s="300"/>
      <c r="I242" s="300"/>
      <c r="J242" s="300"/>
      <c r="K242" s="300"/>
      <c r="L242" s="300"/>
      <c r="M242" s="300"/>
      <c r="N242" s="300"/>
      <c r="O242" s="300"/>
      <c r="P242" s="300"/>
      <c r="Q242" s="300"/>
      <c r="R242" s="300"/>
      <c r="S242" s="300"/>
      <c r="T242" s="300"/>
      <c r="U242" s="300"/>
      <c r="V242" s="300"/>
      <c r="W242" s="300"/>
      <c r="X242" s="300"/>
      <c r="Y242" s="300"/>
      <c r="Z242" s="300"/>
      <c r="AA242" s="300"/>
    </row>
    <row r="243" spans="1:27" ht="15.5" x14ac:dyDescent="0.35">
      <c r="A243" s="300"/>
      <c r="B243" s="300"/>
      <c r="C243" s="300"/>
      <c r="D243" s="300"/>
      <c r="E243" s="300"/>
      <c r="F243" s="300"/>
      <c r="G243" s="300"/>
      <c r="H243" s="300"/>
      <c r="I243" s="300"/>
      <c r="J243" s="300"/>
      <c r="K243" s="300"/>
      <c r="L243" s="300"/>
      <c r="M243" s="300"/>
      <c r="N243" s="300"/>
      <c r="O243" s="300"/>
      <c r="P243" s="300"/>
      <c r="Q243" s="300"/>
      <c r="R243" s="300"/>
      <c r="S243" s="300"/>
      <c r="T243" s="300"/>
      <c r="U243" s="300"/>
      <c r="V243" s="300"/>
      <c r="W243" s="300"/>
      <c r="X243" s="300"/>
      <c r="Y243" s="300"/>
      <c r="Z243" s="300"/>
      <c r="AA243" s="300"/>
    </row>
    <row r="244" spans="1:27" ht="15.5" x14ac:dyDescent="0.35">
      <c r="A244" s="300"/>
      <c r="B244" s="300"/>
      <c r="C244" s="300"/>
      <c r="D244" s="300"/>
      <c r="E244" s="300"/>
      <c r="F244" s="300"/>
      <c r="G244" s="300"/>
      <c r="H244" s="300"/>
      <c r="I244" s="300"/>
      <c r="J244" s="300"/>
      <c r="K244" s="300"/>
      <c r="L244" s="300"/>
      <c r="M244" s="300"/>
      <c r="N244" s="300"/>
      <c r="O244" s="300"/>
      <c r="P244" s="300"/>
      <c r="Q244" s="300"/>
      <c r="R244" s="300"/>
      <c r="S244" s="300"/>
      <c r="T244" s="300"/>
      <c r="U244" s="300"/>
      <c r="V244" s="300"/>
      <c r="W244" s="300"/>
      <c r="X244" s="300"/>
      <c r="Y244" s="300"/>
      <c r="Z244" s="300"/>
      <c r="AA244" s="300"/>
    </row>
    <row r="245" spans="1:27" ht="15.5" x14ac:dyDescent="0.35">
      <c r="A245" s="300"/>
      <c r="B245" s="300"/>
      <c r="C245" s="300"/>
      <c r="D245" s="300"/>
      <c r="E245" s="300"/>
      <c r="F245" s="300"/>
      <c r="G245" s="300"/>
      <c r="H245" s="300"/>
      <c r="I245" s="300"/>
      <c r="J245" s="300"/>
      <c r="K245" s="300"/>
      <c r="L245" s="300"/>
      <c r="M245" s="300"/>
      <c r="N245" s="300"/>
      <c r="O245" s="300"/>
      <c r="P245" s="300"/>
      <c r="Q245" s="300"/>
      <c r="R245" s="300"/>
      <c r="S245" s="300"/>
      <c r="T245" s="300"/>
      <c r="U245" s="300"/>
      <c r="V245" s="300"/>
      <c r="W245" s="300"/>
      <c r="X245" s="300"/>
      <c r="Y245" s="300"/>
      <c r="Z245" s="300"/>
      <c r="AA245" s="300"/>
    </row>
    <row r="246" spans="1:27" ht="15.5" x14ac:dyDescent="0.35">
      <c r="A246" s="300"/>
      <c r="B246" s="300"/>
      <c r="C246" s="300"/>
      <c r="D246" s="300"/>
      <c r="E246" s="300"/>
      <c r="F246" s="300"/>
      <c r="G246" s="300"/>
      <c r="H246" s="300"/>
      <c r="I246" s="300"/>
      <c r="J246" s="300"/>
      <c r="K246" s="300"/>
      <c r="L246" s="300"/>
      <c r="M246" s="300"/>
      <c r="N246" s="300"/>
      <c r="O246" s="300"/>
      <c r="P246" s="300"/>
      <c r="Q246" s="300"/>
      <c r="R246" s="300"/>
      <c r="S246" s="300"/>
      <c r="T246" s="300"/>
      <c r="U246" s="300"/>
      <c r="V246" s="300"/>
      <c r="W246" s="300"/>
      <c r="X246" s="300"/>
      <c r="Y246" s="300"/>
      <c r="Z246" s="300"/>
      <c r="AA246" s="300"/>
    </row>
    <row r="247" spans="1:27" ht="15.5" x14ac:dyDescent="0.35">
      <c r="A247" s="300"/>
      <c r="B247" s="300"/>
      <c r="C247" s="300"/>
      <c r="D247" s="300"/>
      <c r="E247" s="300"/>
      <c r="F247" s="300"/>
      <c r="G247" s="300"/>
      <c r="H247" s="300"/>
      <c r="I247" s="300"/>
      <c r="J247" s="300"/>
      <c r="K247" s="300"/>
      <c r="L247" s="300"/>
      <c r="M247" s="300"/>
      <c r="N247" s="300"/>
      <c r="O247" s="300"/>
      <c r="P247" s="300"/>
      <c r="Q247" s="300"/>
      <c r="R247" s="300"/>
      <c r="S247" s="300"/>
      <c r="T247" s="300"/>
      <c r="U247" s="300"/>
      <c r="V247" s="300"/>
      <c r="W247" s="300"/>
      <c r="X247" s="300"/>
      <c r="Y247" s="300"/>
      <c r="Z247" s="300"/>
      <c r="AA247" s="300"/>
    </row>
    <row r="248" spans="1:27" ht="15.5" x14ac:dyDescent="0.35">
      <c r="A248" s="300"/>
      <c r="B248" s="300"/>
      <c r="C248" s="300"/>
      <c r="D248" s="300"/>
      <c r="E248" s="300"/>
      <c r="F248" s="300"/>
      <c r="G248" s="300"/>
      <c r="H248" s="300"/>
      <c r="I248" s="300"/>
      <c r="J248" s="300"/>
      <c r="K248" s="300"/>
      <c r="L248" s="300"/>
      <c r="M248" s="300"/>
      <c r="N248" s="300"/>
      <c r="O248" s="300"/>
      <c r="P248" s="300"/>
      <c r="Q248" s="300"/>
      <c r="R248" s="300"/>
      <c r="S248" s="300"/>
      <c r="T248" s="300"/>
      <c r="U248" s="300"/>
      <c r="V248" s="300"/>
      <c r="W248" s="300"/>
      <c r="X248" s="300"/>
      <c r="Y248" s="300"/>
      <c r="Z248" s="300"/>
      <c r="AA248" s="300"/>
    </row>
    <row r="249" spans="1:27" ht="15.5" x14ac:dyDescent="0.35">
      <c r="A249" s="300"/>
      <c r="B249" s="300"/>
      <c r="C249" s="300"/>
      <c r="D249" s="300"/>
      <c r="E249" s="300"/>
      <c r="F249" s="300"/>
      <c r="G249" s="300"/>
      <c r="H249" s="300"/>
      <c r="I249" s="300"/>
      <c r="J249" s="300"/>
      <c r="K249" s="300"/>
      <c r="L249" s="300"/>
      <c r="M249" s="300"/>
      <c r="N249" s="300"/>
      <c r="O249" s="300"/>
      <c r="P249" s="300"/>
      <c r="Q249" s="300"/>
      <c r="R249" s="300"/>
      <c r="S249" s="300"/>
      <c r="T249" s="300"/>
      <c r="U249" s="300"/>
      <c r="V249" s="300"/>
      <c r="W249" s="300"/>
      <c r="X249" s="300"/>
      <c r="Y249" s="300"/>
      <c r="Z249" s="300"/>
      <c r="AA249" s="300"/>
    </row>
    <row r="250" spans="1:27" ht="15.5" x14ac:dyDescent="0.35">
      <c r="A250" s="300"/>
      <c r="B250" s="300"/>
      <c r="C250" s="300"/>
      <c r="D250" s="300"/>
      <c r="E250" s="300"/>
      <c r="F250" s="300"/>
      <c r="G250" s="300"/>
      <c r="H250" s="300"/>
      <c r="I250" s="300"/>
      <c r="J250" s="300"/>
      <c r="K250" s="300"/>
      <c r="L250" s="300"/>
      <c r="M250" s="300"/>
      <c r="N250" s="300"/>
      <c r="O250" s="300"/>
      <c r="P250" s="300"/>
      <c r="Q250" s="300"/>
      <c r="R250" s="300"/>
      <c r="S250" s="300"/>
      <c r="T250" s="300"/>
      <c r="U250" s="300"/>
      <c r="V250" s="300"/>
      <c r="W250" s="300"/>
      <c r="X250" s="300"/>
      <c r="Y250" s="300"/>
      <c r="Z250" s="300"/>
      <c r="AA250" s="300"/>
    </row>
    <row r="251" spans="1:27" ht="15.5" x14ac:dyDescent="0.35">
      <c r="A251" s="300"/>
      <c r="B251" s="300"/>
      <c r="C251" s="300"/>
      <c r="D251" s="300"/>
      <c r="E251" s="300"/>
      <c r="F251" s="300"/>
      <c r="G251" s="300"/>
      <c r="H251" s="300"/>
      <c r="I251" s="300"/>
      <c r="J251" s="300"/>
      <c r="K251" s="300"/>
      <c r="L251" s="300"/>
      <c r="M251" s="300"/>
      <c r="N251" s="300"/>
      <c r="O251" s="300"/>
      <c r="P251" s="300"/>
      <c r="Q251" s="300"/>
      <c r="R251" s="300"/>
      <c r="S251" s="300"/>
      <c r="T251" s="300"/>
      <c r="U251" s="300"/>
      <c r="V251" s="300"/>
      <c r="W251" s="300"/>
      <c r="X251" s="300"/>
      <c r="Y251" s="300"/>
      <c r="Z251" s="300"/>
      <c r="AA251" s="300"/>
    </row>
    <row r="252" spans="1:27" ht="15.5" x14ac:dyDescent="0.35">
      <c r="A252" s="300"/>
      <c r="B252" s="300"/>
      <c r="C252" s="300"/>
      <c r="D252" s="300"/>
      <c r="E252" s="300"/>
      <c r="F252" s="300"/>
      <c r="G252" s="300"/>
      <c r="H252" s="300"/>
      <c r="I252" s="300"/>
      <c r="J252" s="300"/>
      <c r="K252" s="300"/>
      <c r="L252" s="300"/>
      <c r="M252" s="300"/>
      <c r="N252" s="300"/>
      <c r="O252" s="300"/>
      <c r="P252" s="300"/>
      <c r="Q252" s="300"/>
      <c r="R252" s="300"/>
      <c r="S252" s="300"/>
      <c r="T252" s="300"/>
      <c r="U252" s="300"/>
      <c r="V252" s="300"/>
      <c r="W252" s="300"/>
      <c r="X252" s="300"/>
      <c r="Y252" s="300"/>
      <c r="Z252" s="300"/>
      <c r="AA252" s="300"/>
    </row>
    <row r="253" spans="1:27" ht="15.5" x14ac:dyDescent="0.35">
      <c r="A253" s="300"/>
      <c r="B253" s="300"/>
      <c r="C253" s="300"/>
      <c r="D253" s="300"/>
      <c r="E253" s="300"/>
      <c r="F253" s="300"/>
      <c r="G253" s="300"/>
      <c r="H253" s="300"/>
      <c r="I253" s="300"/>
      <c r="J253" s="300"/>
      <c r="K253" s="300"/>
      <c r="L253" s="300"/>
      <c r="M253" s="300"/>
      <c r="N253" s="300"/>
      <c r="O253" s="300"/>
      <c r="P253" s="300"/>
      <c r="Q253" s="300"/>
      <c r="R253" s="300"/>
      <c r="S253" s="300"/>
      <c r="T253" s="300"/>
      <c r="U253" s="300"/>
      <c r="V253" s="300"/>
      <c r="W253" s="300"/>
      <c r="X253" s="300"/>
      <c r="Y253" s="300"/>
      <c r="Z253" s="300"/>
      <c r="AA253" s="300"/>
    </row>
    <row r="254" spans="1:27" ht="15.5" x14ac:dyDescent="0.35">
      <c r="A254" s="300"/>
      <c r="B254" s="300"/>
      <c r="C254" s="300"/>
      <c r="D254" s="300"/>
      <c r="E254" s="300"/>
      <c r="F254" s="300"/>
      <c r="G254" s="300"/>
      <c r="H254" s="300"/>
      <c r="I254" s="300"/>
      <c r="J254" s="300"/>
      <c r="K254" s="300"/>
      <c r="L254" s="300"/>
      <c r="M254" s="300"/>
      <c r="N254" s="300"/>
      <c r="O254" s="300"/>
      <c r="P254" s="300"/>
      <c r="Q254" s="300"/>
      <c r="R254" s="300"/>
      <c r="S254" s="300"/>
      <c r="T254" s="300"/>
      <c r="U254" s="300"/>
      <c r="V254" s="300"/>
      <c r="W254" s="300"/>
      <c r="X254" s="300"/>
      <c r="Y254" s="300"/>
      <c r="Z254" s="300"/>
      <c r="AA254" s="300"/>
    </row>
    <row r="255" spans="1:27" ht="15.5" x14ac:dyDescent="0.35">
      <c r="A255" s="300"/>
      <c r="B255" s="300"/>
      <c r="C255" s="300"/>
      <c r="D255" s="300"/>
      <c r="E255" s="300"/>
      <c r="F255" s="300"/>
      <c r="G255" s="300"/>
      <c r="H255" s="300"/>
      <c r="I255" s="300"/>
      <c r="J255" s="300"/>
      <c r="K255" s="300"/>
      <c r="L255" s="300"/>
      <c r="M255" s="300"/>
      <c r="N255" s="300"/>
      <c r="O255" s="300"/>
      <c r="P255" s="300"/>
      <c r="Q255" s="300"/>
      <c r="R255" s="300"/>
      <c r="S255" s="300"/>
      <c r="T255" s="300"/>
      <c r="U255" s="300"/>
      <c r="V255" s="300"/>
      <c r="W255" s="300"/>
      <c r="X255" s="300"/>
      <c r="Y255" s="300"/>
      <c r="Z255" s="300"/>
      <c r="AA255" s="300"/>
    </row>
    <row r="256" spans="1:27" ht="15.5" x14ac:dyDescent="0.35">
      <c r="A256" s="300"/>
      <c r="B256" s="300"/>
      <c r="C256" s="300"/>
      <c r="D256" s="300"/>
      <c r="E256" s="300"/>
      <c r="F256" s="300"/>
      <c r="G256" s="300"/>
      <c r="H256" s="300"/>
      <c r="I256" s="300"/>
      <c r="J256" s="300"/>
      <c r="K256" s="300"/>
      <c r="L256" s="300"/>
      <c r="M256" s="300"/>
      <c r="N256" s="300"/>
      <c r="O256" s="300"/>
      <c r="P256" s="300"/>
      <c r="Q256" s="300"/>
      <c r="R256" s="300"/>
      <c r="S256" s="300"/>
      <c r="T256" s="300"/>
      <c r="U256" s="300"/>
      <c r="V256" s="300"/>
      <c r="W256" s="300"/>
      <c r="X256" s="300"/>
      <c r="Y256" s="300"/>
      <c r="Z256" s="300"/>
      <c r="AA256" s="300"/>
    </row>
    <row r="257" spans="1:27" ht="15.5" x14ac:dyDescent="0.35">
      <c r="A257" s="300"/>
      <c r="B257" s="300"/>
      <c r="C257" s="300"/>
      <c r="D257" s="300"/>
      <c r="E257" s="300"/>
      <c r="F257" s="300"/>
      <c r="G257" s="300"/>
      <c r="H257" s="300"/>
      <c r="I257" s="300"/>
      <c r="J257" s="300"/>
      <c r="K257" s="300"/>
      <c r="L257" s="300"/>
      <c r="M257" s="300"/>
      <c r="N257" s="300"/>
      <c r="O257" s="300"/>
      <c r="P257" s="300"/>
      <c r="Q257" s="300"/>
      <c r="R257" s="300"/>
      <c r="S257" s="300"/>
      <c r="T257" s="300"/>
      <c r="U257" s="300"/>
      <c r="V257" s="300"/>
      <c r="W257" s="300"/>
      <c r="X257" s="300"/>
      <c r="Y257" s="300"/>
      <c r="Z257" s="300"/>
      <c r="AA257" s="300"/>
    </row>
    <row r="258" spans="1:27" ht="15.5" x14ac:dyDescent="0.35">
      <c r="A258" s="300"/>
      <c r="B258" s="300"/>
      <c r="C258" s="300"/>
      <c r="D258" s="300"/>
      <c r="E258" s="300"/>
      <c r="F258" s="300"/>
      <c r="G258" s="300"/>
      <c r="H258" s="300"/>
      <c r="I258" s="300"/>
      <c r="J258" s="300"/>
      <c r="K258" s="300"/>
      <c r="L258" s="300"/>
      <c r="M258" s="300"/>
      <c r="N258" s="300"/>
      <c r="O258" s="300"/>
      <c r="P258" s="300"/>
      <c r="Q258" s="300"/>
      <c r="R258" s="300"/>
      <c r="S258" s="300"/>
      <c r="T258" s="300"/>
      <c r="U258" s="300"/>
      <c r="V258" s="300"/>
      <c r="W258" s="300"/>
      <c r="X258" s="300"/>
      <c r="Y258" s="300"/>
      <c r="Z258" s="300"/>
      <c r="AA258" s="300"/>
    </row>
    <row r="259" spans="1:27" ht="15.5" x14ac:dyDescent="0.35">
      <c r="A259" s="300"/>
      <c r="B259" s="300"/>
      <c r="C259" s="300"/>
      <c r="D259" s="300"/>
      <c r="E259" s="300"/>
      <c r="F259" s="300"/>
      <c r="G259" s="300"/>
      <c r="H259" s="300"/>
      <c r="I259" s="300"/>
      <c r="J259" s="300"/>
      <c r="K259" s="300"/>
      <c r="L259" s="300"/>
      <c r="M259" s="300"/>
      <c r="N259" s="300"/>
      <c r="O259" s="300"/>
      <c r="P259" s="300"/>
      <c r="Q259" s="300"/>
      <c r="R259" s="300"/>
      <c r="S259" s="300"/>
      <c r="T259" s="300"/>
      <c r="U259" s="300"/>
      <c r="V259" s="300"/>
      <c r="W259" s="300"/>
      <c r="X259" s="300"/>
      <c r="Y259" s="300"/>
      <c r="Z259" s="300"/>
      <c r="AA259" s="300"/>
    </row>
    <row r="260" spans="1:27" ht="15.5" x14ac:dyDescent="0.35">
      <c r="A260" s="300"/>
      <c r="B260" s="300"/>
      <c r="C260" s="300"/>
      <c r="D260" s="300"/>
      <c r="E260" s="300"/>
      <c r="F260" s="300"/>
      <c r="G260" s="300"/>
      <c r="H260" s="300"/>
      <c r="I260" s="300"/>
      <c r="J260" s="300"/>
      <c r="K260" s="300"/>
      <c r="L260" s="300"/>
      <c r="M260" s="300"/>
      <c r="N260" s="300"/>
      <c r="O260" s="300"/>
      <c r="P260" s="300"/>
      <c r="Q260" s="300"/>
      <c r="R260" s="300"/>
      <c r="S260" s="300"/>
      <c r="T260" s="300"/>
      <c r="U260" s="300"/>
      <c r="V260" s="300"/>
      <c r="W260" s="300"/>
      <c r="X260" s="300"/>
      <c r="Y260" s="300"/>
      <c r="Z260" s="300"/>
      <c r="AA260" s="300"/>
    </row>
    <row r="261" spans="1:27" ht="15.5" x14ac:dyDescent="0.35">
      <c r="A261" s="300"/>
      <c r="B261" s="300"/>
      <c r="C261" s="300"/>
      <c r="D261" s="300"/>
      <c r="E261" s="300"/>
      <c r="F261" s="300"/>
      <c r="G261" s="300"/>
      <c r="H261" s="300"/>
      <c r="I261" s="300"/>
      <c r="J261" s="300"/>
      <c r="K261" s="300"/>
      <c r="L261" s="300"/>
      <c r="M261" s="300"/>
      <c r="N261" s="300"/>
      <c r="O261" s="300"/>
      <c r="P261" s="300"/>
      <c r="Q261" s="300"/>
      <c r="R261" s="300"/>
      <c r="S261" s="300"/>
      <c r="T261" s="300"/>
      <c r="U261" s="300"/>
      <c r="V261" s="300"/>
      <c r="W261" s="300"/>
      <c r="X261" s="300"/>
      <c r="Y261" s="300"/>
      <c r="Z261" s="300"/>
      <c r="AA261" s="300"/>
    </row>
    <row r="262" spans="1:27" ht="15.5" x14ac:dyDescent="0.35">
      <c r="A262" s="300"/>
      <c r="B262" s="300"/>
      <c r="C262" s="300"/>
      <c r="D262" s="300"/>
      <c r="E262" s="300"/>
      <c r="F262" s="300"/>
      <c r="G262" s="300"/>
      <c r="H262" s="300"/>
      <c r="I262" s="300"/>
      <c r="J262" s="300"/>
      <c r="K262" s="300"/>
      <c r="L262" s="300"/>
      <c r="M262" s="300"/>
      <c r="N262" s="300"/>
      <c r="O262" s="300"/>
      <c r="P262" s="300"/>
      <c r="Q262" s="300"/>
      <c r="R262" s="300"/>
      <c r="S262" s="300"/>
      <c r="T262" s="300"/>
      <c r="U262" s="300"/>
      <c r="V262" s="300"/>
      <c r="W262" s="300"/>
      <c r="X262" s="300"/>
      <c r="Y262" s="300"/>
      <c r="Z262" s="300"/>
      <c r="AA262" s="300"/>
    </row>
    <row r="263" spans="1:27" ht="15.5" x14ac:dyDescent="0.35">
      <c r="A263" s="300"/>
      <c r="B263" s="300"/>
      <c r="C263" s="300"/>
      <c r="D263" s="300"/>
      <c r="E263" s="300"/>
      <c r="F263" s="300"/>
      <c r="G263" s="300"/>
      <c r="H263" s="300"/>
      <c r="I263" s="300"/>
      <c r="J263" s="300"/>
      <c r="K263" s="300"/>
      <c r="L263" s="300"/>
      <c r="M263" s="300"/>
      <c r="N263" s="300"/>
      <c r="O263" s="300"/>
      <c r="P263" s="300"/>
      <c r="Q263" s="300"/>
      <c r="R263" s="300"/>
      <c r="S263" s="300"/>
      <c r="T263" s="300"/>
      <c r="U263" s="300"/>
      <c r="V263" s="300"/>
      <c r="W263" s="300"/>
      <c r="X263" s="300"/>
      <c r="Y263" s="300"/>
      <c r="Z263" s="300"/>
      <c r="AA263" s="300"/>
    </row>
    <row r="264" spans="1:27" ht="15.5" x14ac:dyDescent="0.35">
      <c r="A264" s="300"/>
      <c r="B264" s="300"/>
      <c r="C264" s="300"/>
      <c r="D264" s="300"/>
      <c r="E264" s="300"/>
      <c r="F264" s="300"/>
      <c r="G264" s="300"/>
      <c r="H264" s="300"/>
      <c r="I264" s="300"/>
      <c r="J264" s="300"/>
      <c r="K264" s="300"/>
      <c r="L264" s="300"/>
      <c r="M264" s="300"/>
      <c r="N264" s="300"/>
      <c r="O264" s="300"/>
      <c r="P264" s="300"/>
      <c r="Q264" s="300"/>
      <c r="R264" s="300"/>
      <c r="S264" s="300"/>
      <c r="T264" s="300"/>
      <c r="U264" s="300"/>
      <c r="V264" s="300"/>
      <c r="W264" s="300"/>
      <c r="X264" s="300"/>
      <c r="Y264" s="300"/>
      <c r="Z264" s="300"/>
      <c r="AA264" s="300"/>
    </row>
    <row r="265" spans="1:27" ht="15.5" x14ac:dyDescent="0.35">
      <c r="A265" s="300"/>
      <c r="B265" s="300"/>
      <c r="C265" s="300"/>
      <c r="D265" s="300"/>
      <c r="E265" s="300"/>
      <c r="F265" s="300"/>
      <c r="G265" s="300"/>
      <c r="H265" s="300"/>
      <c r="I265" s="300"/>
      <c r="J265" s="300"/>
      <c r="K265" s="300"/>
      <c r="L265" s="300"/>
      <c r="M265" s="300"/>
      <c r="N265" s="300"/>
      <c r="O265" s="300"/>
      <c r="P265" s="300"/>
      <c r="Q265" s="300"/>
      <c r="R265" s="300"/>
      <c r="S265" s="300"/>
      <c r="T265" s="300"/>
      <c r="U265" s="300"/>
      <c r="V265" s="300"/>
      <c r="W265" s="300"/>
      <c r="X265" s="300"/>
      <c r="Y265" s="300"/>
      <c r="Z265" s="300"/>
      <c r="AA265" s="300"/>
    </row>
    <row r="266" spans="1:27" ht="15.5" x14ac:dyDescent="0.35">
      <c r="A266" s="300"/>
      <c r="B266" s="300"/>
      <c r="C266" s="300"/>
      <c r="D266" s="300"/>
      <c r="E266" s="300"/>
      <c r="F266" s="300"/>
      <c r="G266" s="300"/>
      <c r="H266" s="300"/>
      <c r="I266" s="300"/>
      <c r="J266" s="300"/>
      <c r="K266" s="300"/>
      <c r="L266" s="300"/>
      <c r="M266" s="300"/>
      <c r="N266" s="300"/>
      <c r="O266" s="300"/>
      <c r="P266" s="300"/>
      <c r="Q266" s="300"/>
      <c r="R266" s="300"/>
      <c r="S266" s="300"/>
      <c r="T266" s="300"/>
      <c r="U266" s="300"/>
      <c r="V266" s="300"/>
      <c r="W266" s="300"/>
      <c r="X266" s="300"/>
      <c r="Y266" s="300"/>
      <c r="Z266" s="300"/>
      <c r="AA266" s="300"/>
    </row>
    <row r="267" spans="1:27" ht="15.5" x14ac:dyDescent="0.35">
      <c r="A267" s="300"/>
      <c r="B267" s="300"/>
      <c r="C267" s="300"/>
      <c r="D267" s="300"/>
      <c r="E267" s="300"/>
      <c r="F267" s="300"/>
      <c r="G267" s="300"/>
      <c r="H267" s="300"/>
      <c r="I267" s="300"/>
      <c r="J267" s="300"/>
      <c r="K267" s="300"/>
      <c r="L267" s="300"/>
      <c r="M267" s="300"/>
      <c r="N267" s="300"/>
      <c r="O267" s="300"/>
      <c r="P267" s="300"/>
      <c r="Q267" s="300"/>
      <c r="R267" s="300"/>
      <c r="S267" s="300"/>
      <c r="T267" s="300"/>
      <c r="U267" s="300"/>
      <c r="V267" s="300"/>
      <c r="W267" s="300"/>
      <c r="X267" s="300"/>
      <c r="Y267" s="300"/>
      <c r="Z267" s="300"/>
      <c r="AA267" s="300"/>
    </row>
    <row r="268" spans="1:27" ht="15.5" x14ac:dyDescent="0.35">
      <c r="A268" s="300"/>
      <c r="B268" s="300"/>
      <c r="C268" s="300"/>
      <c r="D268" s="300"/>
      <c r="E268" s="300"/>
      <c r="F268" s="300"/>
      <c r="G268" s="300"/>
      <c r="H268" s="300"/>
      <c r="I268" s="300"/>
      <c r="J268" s="300"/>
      <c r="K268" s="300"/>
      <c r="L268" s="300"/>
      <c r="M268" s="300"/>
      <c r="N268" s="300"/>
      <c r="O268" s="300"/>
      <c r="P268" s="300"/>
      <c r="Q268" s="300"/>
      <c r="R268" s="300"/>
      <c r="S268" s="300"/>
      <c r="T268" s="300"/>
      <c r="U268" s="300"/>
      <c r="V268" s="300"/>
      <c r="W268" s="300"/>
      <c r="X268" s="300"/>
      <c r="Y268" s="300"/>
      <c r="Z268" s="300"/>
      <c r="AA268" s="300"/>
    </row>
    <row r="269" spans="1:27" ht="15.5" x14ac:dyDescent="0.35">
      <c r="A269" s="300"/>
      <c r="B269" s="300"/>
      <c r="C269" s="300"/>
      <c r="D269" s="300"/>
      <c r="E269" s="300"/>
      <c r="F269" s="300"/>
      <c r="G269" s="300"/>
      <c r="H269" s="300"/>
      <c r="I269" s="300"/>
      <c r="J269" s="300"/>
      <c r="K269" s="300"/>
      <c r="L269" s="300"/>
      <c r="M269" s="300"/>
      <c r="N269" s="300"/>
      <c r="O269" s="300"/>
      <c r="P269" s="300"/>
      <c r="Q269" s="300"/>
      <c r="R269" s="300"/>
      <c r="S269" s="300"/>
      <c r="T269" s="300"/>
      <c r="U269" s="300"/>
      <c r="V269" s="300"/>
      <c r="W269" s="300"/>
      <c r="X269" s="300"/>
      <c r="Y269" s="300"/>
      <c r="Z269" s="300"/>
      <c r="AA269" s="300"/>
    </row>
    <row r="270" spans="1:27" ht="15.5" x14ac:dyDescent="0.35">
      <c r="A270" s="300"/>
      <c r="B270" s="300"/>
      <c r="C270" s="300"/>
      <c r="D270" s="300"/>
      <c r="E270" s="300"/>
      <c r="F270" s="300"/>
      <c r="G270" s="300"/>
      <c r="H270" s="300"/>
      <c r="I270" s="300"/>
      <c r="J270" s="300"/>
      <c r="K270" s="300"/>
      <c r="L270" s="300"/>
      <c r="M270" s="300"/>
      <c r="N270" s="300"/>
      <c r="O270" s="300"/>
      <c r="P270" s="300"/>
      <c r="Q270" s="300"/>
      <c r="R270" s="300"/>
      <c r="S270" s="300"/>
      <c r="T270" s="300"/>
      <c r="U270" s="300"/>
      <c r="V270" s="300"/>
      <c r="W270" s="300"/>
      <c r="X270" s="300"/>
      <c r="Y270" s="300"/>
      <c r="Z270" s="300"/>
      <c r="AA270" s="300"/>
    </row>
    <row r="271" spans="1:27" ht="15.5" x14ac:dyDescent="0.35">
      <c r="A271" s="300"/>
      <c r="B271" s="300"/>
      <c r="C271" s="300"/>
      <c r="D271" s="300"/>
      <c r="E271" s="300"/>
      <c r="F271" s="300"/>
      <c r="G271" s="300"/>
      <c r="H271" s="300"/>
      <c r="I271" s="300"/>
      <c r="J271" s="300"/>
      <c r="K271" s="300"/>
      <c r="L271" s="300"/>
      <c r="M271" s="300"/>
      <c r="N271" s="300"/>
      <c r="O271" s="300"/>
      <c r="P271" s="300"/>
      <c r="Q271" s="300"/>
      <c r="R271" s="300"/>
      <c r="S271" s="300"/>
      <c r="T271" s="300"/>
      <c r="U271" s="300"/>
      <c r="V271" s="300"/>
      <c r="W271" s="300"/>
      <c r="X271" s="300"/>
      <c r="Y271" s="300"/>
      <c r="Z271" s="300"/>
      <c r="AA271" s="300"/>
    </row>
    <row r="272" spans="1:27" ht="15.5" x14ac:dyDescent="0.35">
      <c r="A272" s="300"/>
      <c r="B272" s="300"/>
      <c r="C272" s="300"/>
      <c r="D272" s="300"/>
      <c r="E272" s="300"/>
      <c r="F272" s="300"/>
      <c r="G272" s="300"/>
      <c r="H272" s="300"/>
      <c r="I272" s="300"/>
      <c r="J272" s="300"/>
      <c r="K272" s="300"/>
      <c r="L272" s="300"/>
      <c r="M272" s="300"/>
      <c r="N272" s="300"/>
      <c r="O272" s="300"/>
      <c r="P272" s="300"/>
      <c r="Q272" s="300"/>
      <c r="R272" s="300"/>
      <c r="S272" s="300"/>
      <c r="T272" s="300"/>
      <c r="U272" s="300"/>
      <c r="V272" s="300"/>
      <c r="W272" s="300"/>
      <c r="X272" s="300"/>
      <c r="Y272" s="300"/>
      <c r="Z272" s="300"/>
      <c r="AA272" s="300"/>
    </row>
    <row r="273" spans="1:27" ht="15.5" x14ac:dyDescent="0.35">
      <c r="A273" s="300"/>
      <c r="B273" s="300"/>
      <c r="C273" s="300"/>
      <c r="D273" s="300"/>
      <c r="E273" s="300"/>
      <c r="F273" s="300"/>
      <c r="G273" s="300"/>
      <c r="H273" s="300"/>
      <c r="I273" s="300"/>
      <c r="J273" s="300"/>
      <c r="K273" s="300"/>
      <c r="L273" s="300"/>
      <c r="M273" s="300"/>
      <c r="N273" s="300"/>
      <c r="O273" s="300"/>
      <c r="P273" s="300"/>
      <c r="Q273" s="300"/>
      <c r="R273" s="300"/>
      <c r="S273" s="300"/>
      <c r="T273" s="300"/>
      <c r="U273" s="300"/>
      <c r="V273" s="300"/>
      <c r="W273" s="300"/>
      <c r="X273" s="300"/>
      <c r="Y273" s="300"/>
      <c r="Z273" s="300"/>
      <c r="AA273" s="300"/>
    </row>
    <row r="274" spans="1:27" ht="15.5" x14ac:dyDescent="0.35">
      <c r="A274" s="300"/>
      <c r="B274" s="300"/>
      <c r="C274" s="300"/>
      <c r="D274" s="300"/>
      <c r="E274" s="300"/>
      <c r="F274" s="300"/>
      <c r="G274" s="300"/>
      <c r="H274" s="300"/>
      <c r="I274" s="300"/>
      <c r="J274" s="300"/>
      <c r="K274" s="300"/>
      <c r="L274" s="300"/>
      <c r="M274" s="300"/>
      <c r="N274" s="300"/>
      <c r="O274" s="300"/>
      <c r="P274" s="300"/>
      <c r="Q274" s="300"/>
      <c r="R274" s="300"/>
      <c r="S274" s="300"/>
      <c r="T274" s="300"/>
      <c r="U274" s="300"/>
      <c r="V274" s="300"/>
      <c r="W274" s="300"/>
      <c r="X274" s="300"/>
      <c r="Y274" s="300"/>
      <c r="Z274" s="300"/>
      <c r="AA274" s="300"/>
    </row>
    <row r="275" spans="1:27" ht="15.5" x14ac:dyDescent="0.35">
      <c r="A275" s="300"/>
      <c r="B275" s="300"/>
      <c r="C275" s="300"/>
      <c r="D275" s="300"/>
      <c r="E275" s="300"/>
      <c r="F275" s="300"/>
      <c r="G275" s="300"/>
      <c r="H275" s="300"/>
      <c r="I275" s="300"/>
      <c r="J275" s="300"/>
      <c r="K275" s="300"/>
      <c r="L275" s="300"/>
      <c r="M275" s="300"/>
      <c r="N275" s="300"/>
      <c r="O275" s="300"/>
      <c r="P275" s="300"/>
      <c r="Q275" s="300"/>
      <c r="R275" s="300"/>
      <c r="S275" s="300"/>
      <c r="T275" s="300"/>
      <c r="U275" s="300"/>
      <c r="V275" s="300"/>
      <c r="W275" s="300"/>
      <c r="X275" s="300"/>
      <c r="Y275" s="300"/>
      <c r="Z275" s="300"/>
      <c r="AA275" s="300"/>
    </row>
    <row r="276" spans="1:27" ht="15.5" x14ac:dyDescent="0.35">
      <c r="A276" s="300"/>
      <c r="B276" s="300"/>
      <c r="C276" s="300"/>
      <c r="D276" s="300"/>
      <c r="E276" s="300"/>
      <c r="F276" s="300"/>
      <c r="G276" s="300"/>
      <c r="H276" s="300"/>
      <c r="I276" s="300"/>
      <c r="J276" s="300"/>
      <c r="K276" s="300"/>
      <c r="L276" s="300"/>
      <c r="M276" s="300"/>
      <c r="N276" s="300"/>
      <c r="O276" s="300"/>
      <c r="P276" s="300"/>
      <c r="Q276" s="300"/>
      <c r="R276" s="300"/>
      <c r="S276" s="300"/>
      <c r="T276" s="300"/>
      <c r="U276" s="300"/>
      <c r="V276" s="300"/>
      <c r="W276" s="300"/>
      <c r="X276" s="300"/>
      <c r="Y276" s="300"/>
      <c r="Z276" s="300"/>
      <c r="AA276" s="300"/>
    </row>
    <row r="277" spans="1:27" ht="15.5" x14ac:dyDescent="0.35">
      <c r="A277" s="300"/>
      <c r="B277" s="300"/>
      <c r="C277" s="300"/>
      <c r="D277" s="300"/>
      <c r="E277" s="300"/>
      <c r="F277" s="300"/>
      <c r="G277" s="300"/>
      <c r="H277" s="300"/>
      <c r="I277" s="300"/>
      <c r="J277" s="300"/>
      <c r="K277" s="300"/>
      <c r="L277" s="300"/>
      <c r="M277" s="300"/>
      <c r="N277" s="300"/>
      <c r="O277" s="300"/>
      <c r="P277" s="300"/>
      <c r="Q277" s="300"/>
      <c r="R277" s="300"/>
      <c r="S277" s="300"/>
      <c r="T277" s="300"/>
      <c r="U277" s="300"/>
      <c r="V277" s="300"/>
      <c r="W277" s="300"/>
      <c r="X277" s="300"/>
      <c r="Y277" s="300"/>
      <c r="Z277" s="300"/>
      <c r="AA277" s="300"/>
    </row>
    <row r="278" spans="1:27" ht="15.5" x14ac:dyDescent="0.35">
      <c r="A278" s="300"/>
      <c r="B278" s="300"/>
      <c r="C278" s="300"/>
      <c r="D278" s="300"/>
      <c r="E278" s="300"/>
      <c r="F278" s="300"/>
      <c r="G278" s="300"/>
      <c r="H278" s="300"/>
      <c r="I278" s="300"/>
      <c r="J278" s="300"/>
      <c r="K278" s="300"/>
      <c r="L278" s="300"/>
      <c r="M278" s="300"/>
      <c r="N278" s="300"/>
      <c r="O278" s="300"/>
      <c r="P278" s="300"/>
      <c r="Q278" s="300"/>
      <c r="R278" s="300"/>
      <c r="S278" s="300"/>
      <c r="T278" s="300"/>
      <c r="U278" s="300"/>
      <c r="V278" s="300"/>
      <c r="W278" s="300"/>
      <c r="X278" s="300"/>
      <c r="Y278" s="300"/>
      <c r="Z278" s="300"/>
      <c r="AA278" s="300"/>
    </row>
    <row r="279" spans="1:27" ht="15.5" x14ac:dyDescent="0.35">
      <c r="A279" s="300"/>
      <c r="B279" s="300"/>
      <c r="C279" s="300"/>
      <c r="D279" s="300"/>
      <c r="E279" s="300"/>
      <c r="F279" s="300"/>
      <c r="G279" s="300"/>
      <c r="H279" s="300"/>
      <c r="I279" s="300"/>
      <c r="J279" s="300"/>
      <c r="K279" s="300"/>
      <c r="L279" s="300"/>
      <c r="M279" s="300"/>
      <c r="N279" s="300"/>
      <c r="O279" s="300"/>
      <c r="P279" s="300"/>
      <c r="Q279" s="300"/>
      <c r="R279" s="300"/>
      <c r="S279" s="300"/>
      <c r="T279" s="300"/>
      <c r="U279" s="300"/>
      <c r="V279" s="300"/>
      <c r="W279" s="300"/>
      <c r="X279" s="300"/>
      <c r="Y279" s="300"/>
      <c r="Z279" s="300"/>
      <c r="AA279" s="300"/>
    </row>
    <row r="280" spans="1:27" ht="15.5" x14ac:dyDescent="0.35">
      <c r="A280" s="300"/>
      <c r="B280" s="300"/>
      <c r="C280" s="300"/>
      <c r="D280" s="300"/>
      <c r="E280" s="300"/>
      <c r="F280" s="300"/>
      <c r="G280" s="300"/>
      <c r="H280" s="300"/>
      <c r="I280" s="300"/>
      <c r="J280" s="300"/>
      <c r="K280" s="300"/>
      <c r="L280" s="300"/>
      <c r="M280" s="300"/>
      <c r="N280" s="300"/>
      <c r="O280" s="300"/>
      <c r="P280" s="300"/>
      <c r="Q280" s="300"/>
      <c r="R280" s="300"/>
      <c r="S280" s="300"/>
      <c r="T280" s="300"/>
      <c r="U280" s="300"/>
      <c r="V280" s="300"/>
      <c r="W280" s="300"/>
      <c r="X280" s="300"/>
      <c r="Y280" s="300"/>
      <c r="Z280" s="300"/>
      <c r="AA280" s="300"/>
    </row>
    <row r="281" spans="1:27" ht="15.5" x14ac:dyDescent="0.35">
      <c r="A281" s="300"/>
      <c r="B281" s="300"/>
      <c r="C281" s="300"/>
      <c r="D281" s="300"/>
      <c r="E281" s="300"/>
      <c r="F281" s="300"/>
      <c r="G281" s="300"/>
      <c r="H281" s="300"/>
      <c r="I281" s="300"/>
      <c r="J281" s="300"/>
      <c r="K281" s="300"/>
      <c r="L281" s="300"/>
      <c r="M281" s="300"/>
      <c r="N281" s="300"/>
      <c r="O281" s="300"/>
      <c r="P281" s="300"/>
      <c r="Q281" s="300"/>
      <c r="R281" s="300"/>
      <c r="S281" s="300"/>
      <c r="T281" s="300"/>
      <c r="U281" s="300"/>
      <c r="V281" s="300"/>
      <c r="W281" s="300"/>
      <c r="X281" s="300"/>
      <c r="Y281" s="300"/>
      <c r="Z281" s="300"/>
      <c r="AA281" s="300"/>
    </row>
    <row r="282" spans="1:27" ht="15.5" x14ac:dyDescent="0.35">
      <c r="A282" s="300"/>
      <c r="B282" s="300"/>
      <c r="C282" s="300"/>
      <c r="D282" s="300"/>
      <c r="E282" s="300"/>
      <c r="F282" s="300"/>
      <c r="G282" s="300"/>
      <c r="H282" s="300"/>
      <c r="I282" s="300"/>
      <c r="J282" s="300"/>
      <c r="K282" s="300"/>
      <c r="L282" s="300"/>
      <c r="M282" s="300"/>
      <c r="N282" s="300"/>
      <c r="O282" s="300"/>
      <c r="P282" s="300"/>
      <c r="Q282" s="300"/>
      <c r="R282" s="300"/>
      <c r="S282" s="300"/>
      <c r="T282" s="300"/>
      <c r="U282" s="300"/>
      <c r="V282" s="300"/>
      <c r="W282" s="300"/>
      <c r="X282" s="300"/>
      <c r="Y282" s="300"/>
      <c r="Z282" s="300"/>
      <c r="AA282" s="300"/>
    </row>
    <row r="283" spans="1:27" ht="15.5" x14ac:dyDescent="0.35">
      <c r="A283" s="300"/>
      <c r="B283" s="300"/>
      <c r="C283" s="300"/>
      <c r="D283" s="300"/>
      <c r="E283" s="300"/>
      <c r="F283" s="300"/>
      <c r="G283" s="300"/>
      <c r="H283" s="300"/>
      <c r="I283" s="300"/>
      <c r="J283" s="300"/>
      <c r="K283" s="300"/>
      <c r="L283" s="300"/>
      <c r="M283" s="300"/>
      <c r="N283" s="300"/>
      <c r="O283" s="300"/>
      <c r="P283" s="300"/>
      <c r="Q283" s="300"/>
      <c r="R283" s="300"/>
      <c r="S283" s="300"/>
      <c r="T283" s="300"/>
      <c r="U283" s="300"/>
      <c r="V283" s="300"/>
      <c r="W283" s="300"/>
      <c r="X283" s="300"/>
      <c r="Y283" s="300"/>
      <c r="Z283" s="300"/>
      <c r="AA283" s="300"/>
    </row>
    <row r="284" spans="1:27" ht="15.5" x14ac:dyDescent="0.35">
      <c r="A284" s="300"/>
      <c r="B284" s="300"/>
      <c r="C284" s="300"/>
      <c r="D284" s="300"/>
      <c r="E284" s="300"/>
      <c r="F284" s="300"/>
      <c r="G284" s="300"/>
      <c r="H284" s="300"/>
      <c r="I284" s="300"/>
      <c r="J284" s="300"/>
      <c r="K284" s="300"/>
      <c r="L284" s="300"/>
      <c r="M284" s="300"/>
      <c r="N284" s="300"/>
      <c r="O284" s="300"/>
      <c r="P284" s="300"/>
      <c r="Q284" s="300"/>
      <c r="R284" s="300"/>
      <c r="S284" s="300"/>
      <c r="T284" s="300"/>
      <c r="U284" s="300"/>
      <c r="V284" s="300"/>
      <c r="W284" s="300"/>
      <c r="X284" s="300"/>
      <c r="Y284" s="300"/>
      <c r="Z284" s="300"/>
      <c r="AA284" s="300"/>
    </row>
    <row r="285" spans="1:27" ht="15.5" x14ac:dyDescent="0.35">
      <c r="A285" s="300"/>
      <c r="B285" s="300"/>
      <c r="C285" s="300"/>
      <c r="D285" s="300"/>
      <c r="E285" s="300"/>
      <c r="F285" s="300"/>
      <c r="G285" s="300"/>
      <c r="H285" s="300"/>
      <c r="I285" s="300"/>
      <c r="J285" s="300"/>
      <c r="K285" s="300"/>
      <c r="L285" s="300"/>
      <c r="M285" s="300"/>
      <c r="N285" s="300"/>
      <c r="O285" s="300"/>
      <c r="P285" s="300"/>
      <c r="Q285" s="300"/>
      <c r="R285" s="300"/>
      <c r="S285" s="300"/>
      <c r="T285" s="300"/>
      <c r="U285" s="300"/>
      <c r="V285" s="300"/>
      <c r="W285" s="300"/>
      <c r="X285" s="300"/>
      <c r="Y285" s="300"/>
      <c r="Z285" s="300"/>
      <c r="AA285" s="300"/>
    </row>
    <row r="286" spans="1:27" ht="15.5" x14ac:dyDescent="0.35">
      <c r="A286" s="300"/>
      <c r="B286" s="300"/>
      <c r="C286" s="300"/>
      <c r="D286" s="300"/>
      <c r="E286" s="300"/>
      <c r="F286" s="300"/>
      <c r="G286" s="300"/>
      <c r="H286" s="300"/>
      <c r="I286" s="300"/>
      <c r="J286" s="300"/>
      <c r="K286" s="300"/>
      <c r="L286" s="300"/>
      <c r="M286" s="300"/>
      <c r="N286" s="300"/>
      <c r="O286" s="300"/>
      <c r="P286" s="300"/>
      <c r="Q286" s="300"/>
      <c r="R286" s="300"/>
      <c r="S286" s="300"/>
      <c r="T286" s="300"/>
      <c r="U286" s="300"/>
      <c r="V286" s="300"/>
      <c r="W286" s="300"/>
      <c r="X286" s="300"/>
      <c r="Y286" s="300"/>
      <c r="Z286" s="300"/>
      <c r="AA286" s="300"/>
    </row>
    <row r="287" spans="1:27" ht="15.5" x14ac:dyDescent="0.35">
      <c r="A287" s="300"/>
      <c r="B287" s="300"/>
      <c r="C287" s="300"/>
      <c r="D287" s="300"/>
      <c r="E287" s="300"/>
      <c r="F287" s="300"/>
      <c r="G287" s="300"/>
      <c r="H287" s="300"/>
      <c r="I287" s="300"/>
      <c r="J287" s="300"/>
      <c r="K287" s="300"/>
      <c r="L287" s="300"/>
      <c r="M287" s="300"/>
      <c r="N287" s="300"/>
      <c r="O287" s="300"/>
      <c r="P287" s="300"/>
      <c r="Q287" s="300"/>
      <c r="R287" s="300"/>
      <c r="S287" s="300"/>
      <c r="T287" s="300"/>
      <c r="U287" s="300"/>
      <c r="V287" s="300"/>
      <c r="W287" s="300"/>
      <c r="X287" s="300"/>
      <c r="Y287" s="300"/>
      <c r="Z287" s="300"/>
      <c r="AA287" s="300"/>
    </row>
    <row r="288" spans="1:27" ht="15.5" x14ac:dyDescent="0.35">
      <c r="A288" s="300"/>
      <c r="B288" s="300"/>
      <c r="C288" s="300"/>
      <c r="D288" s="300"/>
      <c r="E288" s="300"/>
      <c r="F288" s="300"/>
      <c r="G288" s="300"/>
      <c r="H288" s="300"/>
      <c r="I288" s="300"/>
      <c r="J288" s="300"/>
      <c r="K288" s="300"/>
      <c r="L288" s="300"/>
      <c r="M288" s="300"/>
      <c r="N288" s="300"/>
      <c r="O288" s="300"/>
      <c r="P288" s="300"/>
      <c r="Q288" s="300"/>
      <c r="R288" s="300"/>
      <c r="S288" s="300"/>
      <c r="T288" s="300"/>
      <c r="U288" s="300"/>
      <c r="V288" s="300"/>
      <c r="W288" s="300"/>
      <c r="X288" s="300"/>
      <c r="Y288" s="300"/>
      <c r="Z288" s="300"/>
      <c r="AA288" s="300"/>
    </row>
    <row r="289" spans="1:27" ht="15.5" x14ac:dyDescent="0.35">
      <c r="A289" s="300"/>
      <c r="B289" s="300"/>
      <c r="C289" s="300"/>
      <c r="D289" s="300"/>
      <c r="E289" s="300"/>
      <c r="F289" s="300"/>
      <c r="G289" s="300"/>
      <c r="H289" s="300"/>
      <c r="I289" s="300"/>
      <c r="J289" s="300"/>
      <c r="K289" s="300"/>
      <c r="L289" s="300"/>
      <c r="M289" s="300"/>
      <c r="N289" s="300"/>
      <c r="O289" s="300"/>
      <c r="P289" s="300"/>
      <c r="Q289" s="300"/>
      <c r="R289" s="300"/>
      <c r="S289" s="300"/>
      <c r="T289" s="300"/>
      <c r="U289" s="300"/>
      <c r="V289" s="300"/>
      <c r="W289" s="300"/>
      <c r="X289" s="300"/>
      <c r="Y289" s="300"/>
      <c r="Z289" s="300"/>
      <c r="AA289" s="300"/>
    </row>
    <row r="290" spans="1:27" ht="15.5" x14ac:dyDescent="0.35">
      <c r="A290" s="300"/>
      <c r="B290" s="300"/>
      <c r="C290" s="300"/>
      <c r="D290" s="300"/>
      <c r="E290" s="300"/>
      <c r="F290" s="300"/>
      <c r="G290" s="300"/>
      <c r="H290" s="300"/>
      <c r="I290" s="300"/>
      <c r="J290" s="300"/>
      <c r="K290" s="300"/>
      <c r="L290" s="300"/>
      <c r="M290" s="300"/>
      <c r="N290" s="300"/>
      <c r="O290" s="300"/>
      <c r="P290" s="300"/>
      <c r="Q290" s="300"/>
      <c r="R290" s="300"/>
      <c r="S290" s="300"/>
      <c r="T290" s="300"/>
      <c r="U290" s="300"/>
      <c r="V290" s="300"/>
      <c r="W290" s="300"/>
      <c r="X290" s="300"/>
      <c r="Y290" s="300"/>
      <c r="Z290" s="300"/>
      <c r="AA290" s="300"/>
    </row>
    <row r="291" spans="1:27" ht="15.5" x14ac:dyDescent="0.35">
      <c r="A291" s="300"/>
      <c r="B291" s="300"/>
      <c r="C291" s="300"/>
      <c r="D291" s="300"/>
      <c r="E291" s="300"/>
      <c r="F291" s="300"/>
      <c r="G291" s="300"/>
      <c r="H291" s="300"/>
      <c r="I291" s="300"/>
      <c r="J291" s="300"/>
      <c r="K291" s="300"/>
      <c r="L291" s="300"/>
      <c r="M291" s="300"/>
      <c r="N291" s="300"/>
      <c r="O291" s="300"/>
      <c r="P291" s="300"/>
      <c r="Q291" s="300"/>
      <c r="R291" s="300"/>
      <c r="S291" s="300"/>
      <c r="T291" s="300"/>
      <c r="U291" s="300"/>
      <c r="V291" s="300"/>
      <c r="W291" s="300"/>
      <c r="X291" s="300"/>
      <c r="Y291" s="300"/>
      <c r="Z291" s="300"/>
      <c r="AA291" s="300"/>
    </row>
    <row r="292" spans="1:27" ht="15.5" x14ac:dyDescent="0.35">
      <c r="A292" s="300"/>
      <c r="B292" s="300"/>
      <c r="C292" s="300"/>
      <c r="D292" s="300"/>
      <c r="E292" s="300"/>
      <c r="F292" s="300"/>
      <c r="G292" s="300"/>
      <c r="H292" s="300"/>
      <c r="I292" s="300"/>
      <c r="J292" s="300"/>
      <c r="K292" s="300"/>
      <c r="L292" s="300"/>
      <c r="M292" s="300"/>
      <c r="N292" s="300"/>
      <c r="O292" s="300"/>
      <c r="P292" s="300"/>
      <c r="Q292" s="300"/>
      <c r="R292" s="300"/>
      <c r="S292" s="300"/>
      <c r="T292" s="300"/>
      <c r="U292" s="300"/>
      <c r="V292" s="300"/>
      <c r="W292" s="300"/>
      <c r="X292" s="300"/>
      <c r="Y292" s="300"/>
      <c r="Z292" s="300"/>
      <c r="AA292" s="300"/>
    </row>
    <row r="293" spans="1:27" ht="15.5" x14ac:dyDescent="0.35">
      <c r="A293" s="300"/>
      <c r="B293" s="300"/>
      <c r="C293" s="300"/>
      <c r="D293" s="300"/>
      <c r="E293" s="300"/>
      <c r="F293" s="300"/>
      <c r="G293" s="300"/>
      <c r="H293" s="300"/>
      <c r="I293" s="300"/>
      <c r="J293" s="300"/>
      <c r="K293" s="300"/>
      <c r="L293" s="300"/>
      <c r="M293" s="300"/>
      <c r="N293" s="300"/>
      <c r="O293" s="300"/>
      <c r="P293" s="300"/>
      <c r="Q293" s="300"/>
      <c r="R293" s="300"/>
      <c r="S293" s="300"/>
      <c r="T293" s="300"/>
      <c r="U293" s="300"/>
      <c r="V293" s="300"/>
      <c r="W293" s="300"/>
      <c r="X293" s="300"/>
      <c r="Y293" s="300"/>
      <c r="Z293" s="300"/>
      <c r="AA293" s="300"/>
    </row>
    <row r="294" spans="1:27" ht="15.5" x14ac:dyDescent="0.35">
      <c r="A294" s="300"/>
      <c r="B294" s="300"/>
      <c r="C294" s="300"/>
      <c r="D294" s="300"/>
      <c r="E294" s="300"/>
      <c r="F294" s="300"/>
      <c r="G294" s="300"/>
      <c r="H294" s="300"/>
      <c r="I294" s="300"/>
      <c r="J294" s="300"/>
      <c r="K294" s="300"/>
      <c r="L294" s="300"/>
      <c r="M294" s="300"/>
      <c r="N294" s="300"/>
      <c r="O294" s="300"/>
      <c r="P294" s="300"/>
      <c r="Q294" s="300"/>
      <c r="R294" s="300"/>
      <c r="S294" s="300"/>
      <c r="T294" s="300"/>
      <c r="U294" s="300"/>
      <c r="V294" s="300"/>
      <c r="W294" s="300"/>
      <c r="X294" s="300"/>
      <c r="Y294" s="300"/>
      <c r="Z294" s="300"/>
      <c r="AA294" s="300"/>
    </row>
    <row r="295" spans="1:27" ht="15.5" x14ac:dyDescent="0.35">
      <c r="A295" s="300"/>
      <c r="B295" s="300"/>
      <c r="C295" s="300"/>
      <c r="D295" s="300"/>
      <c r="E295" s="300"/>
      <c r="F295" s="300"/>
      <c r="G295" s="300"/>
      <c r="H295" s="300"/>
      <c r="I295" s="300"/>
      <c r="J295" s="300"/>
      <c r="K295" s="300"/>
      <c r="L295" s="300"/>
      <c r="M295" s="300"/>
      <c r="N295" s="300"/>
      <c r="O295" s="300"/>
      <c r="P295" s="300"/>
      <c r="Q295" s="300"/>
      <c r="R295" s="300"/>
      <c r="S295" s="300"/>
      <c r="T295" s="300"/>
      <c r="U295" s="300"/>
      <c r="V295" s="300"/>
      <c r="W295" s="300"/>
      <c r="X295" s="300"/>
      <c r="Y295" s="300"/>
      <c r="Z295" s="300"/>
      <c r="AA295" s="300"/>
    </row>
    <row r="296" spans="1:27" ht="15.5" x14ac:dyDescent="0.35">
      <c r="A296" s="300"/>
      <c r="B296" s="300"/>
      <c r="C296" s="300"/>
      <c r="D296" s="300"/>
      <c r="E296" s="300"/>
      <c r="F296" s="300"/>
      <c r="G296" s="300"/>
      <c r="H296" s="300"/>
      <c r="I296" s="300"/>
      <c r="J296" s="300"/>
      <c r="K296" s="300"/>
      <c r="L296" s="300"/>
      <c r="M296" s="300"/>
      <c r="N296" s="300"/>
      <c r="O296" s="300"/>
      <c r="P296" s="300"/>
      <c r="Q296" s="300"/>
      <c r="R296" s="300"/>
      <c r="S296" s="300"/>
      <c r="T296" s="300"/>
      <c r="U296" s="300"/>
      <c r="V296" s="300"/>
      <c r="W296" s="300"/>
      <c r="X296" s="300"/>
      <c r="Y296" s="300"/>
      <c r="Z296" s="300"/>
      <c r="AA296" s="300"/>
    </row>
    <row r="297" spans="1:27" ht="15.5" x14ac:dyDescent="0.35">
      <c r="A297" s="300"/>
      <c r="B297" s="300"/>
      <c r="C297" s="300"/>
      <c r="D297" s="300"/>
      <c r="E297" s="300"/>
      <c r="F297" s="300"/>
      <c r="G297" s="300"/>
      <c r="H297" s="300"/>
      <c r="I297" s="300"/>
      <c r="J297" s="300"/>
      <c r="K297" s="300"/>
      <c r="L297" s="300"/>
      <c r="M297" s="300"/>
      <c r="N297" s="300"/>
      <c r="O297" s="300"/>
      <c r="P297" s="300"/>
      <c r="Q297" s="300"/>
      <c r="R297" s="300"/>
      <c r="S297" s="300"/>
      <c r="T297" s="300"/>
      <c r="U297" s="300"/>
      <c r="V297" s="300"/>
      <c r="W297" s="300"/>
      <c r="X297" s="300"/>
      <c r="Y297" s="300"/>
      <c r="Z297" s="300"/>
      <c r="AA297" s="300"/>
    </row>
    <row r="298" spans="1:27" ht="15.5" x14ac:dyDescent="0.35">
      <c r="A298" s="300"/>
      <c r="B298" s="300"/>
      <c r="C298" s="300"/>
      <c r="D298" s="300"/>
      <c r="E298" s="300"/>
      <c r="F298" s="300"/>
      <c r="G298" s="300"/>
      <c r="H298" s="300"/>
      <c r="I298" s="300"/>
      <c r="J298" s="300"/>
      <c r="K298" s="300"/>
      <c r="L298" s="300"/>
      <c r="M298" s="300"/>
      <c r="N298" s="300"/>
      <c r="O298" s="300"/>
      <c r="P298" s="300"/>
      <c r="Q298" s="300"/>
      <c r="R298" s="300"/>
      <c r="S298" s="300"/>
      <c r="T298" s="300"/>
      <c r="U298" s="300"/>
      <c r="V298" s="300"/>
      <c r="W298" s="300"/>
      <c r="X298" s="300"/>
      <c r="Y298" s="300"/>
      <c r="Z298" s="300"/>
      <c r="AA298" s="300"/>
    </row>
    <row r="299" spans="1:27" ht="15.5" x14ac:dyDescent="0.35">
      <c r="A299" s="300"/>
      <c r="B299" s="300"/>
      <c r="C299" s="300"/>
      <c r="D299" s="300"/>
      <c r="E299" s="300"/>
      <c r="F299" s="300"/>
      <c r="G299" s="300"/>
      <c r="H299" s="300"/>
      <c r="I299" s="300"/>
      <c r="J299" s="300"/>
      <c r="K299" s="300"/>
      <c r="L299" s="300"/>
      <c r="M299" s="300"/>
      <c r="N299" s="300"/>
      <c r="O299" s="300"/>
      <c r="P299" s="300"/>
      <c r="Q299" s="300"/>
      <c r="R299" s="300"/>
      <c r="S299" s="300"/>
      <c r="T299" s="300"/>
      <c r="U299" s="300"/>
      <c r="V299" s="300"/>
      <c r="W299" s="300"/>
      <c r="X299" s="300"/>
      <c r="Y299" s="300"/>
      <c r="Z299" s="300"/>
      <c r="AA299" s="300"/>
    </row>
    <row r="300" spans="1:27" ht="15.5" x14ac:dyDescent="0.35">
      <c r="A300" s="300"/>
      <c r="B300" s="300"/>
      <c r="C300" s="300"/>
      <c r="D300" s="300"/>
      <c r="E300" s="300"/>
      <c r="F300" s="300"/>
      <c r="G300" s="300"/>
      <c r="H300" s="300"/>
      <c r="I300" s="300"/>
      <c r="J300" s="300"/>
      <c r="K300" s="300"/>
      <c r="L300" s="300"/>
      <c r="M300" s="300"/>
      <c r="N300" s="300"/>
      <c r="O300" s="300"/>
      <c r="P300" s="300"/>
      <c r="Q300" s="300"/>
      <c r="R300" s="300"/>
      <c r="S300" s="300"/>
      <c r="T300" s="300"/>
      <c r="U300" s="300"/>
      <c r="V300" s="300"/>
      <c r="W300" s="300"/>
      <c r="X300" s="300"/>
      <c r="Y300" s="300"/>
      <c r="Z300" s="300"/>
      <c r="AA300" s="300"/>
    </row>
    <row r="301" spans="1:27" ht="15.5" x14ac:dyDescent="0.35">
      <c r="A301" s="300"/>
      <c r="B301" s="300"/>
      <c r="C301" s="300"/>
      <c r="D301" s="300"/>
      <c r="E301" s="300"/>
      <c r="F301" s="300"/>
      <c r="G301" s="300"/>
      <c r="H301" s="300"/>
      <c r="I301" s="300"/>
      <c r="J301" s="300"/>
      <c r="K301" s="300"/>
      <c r="L301" s="300"/>
      <c r="M301" s="300"/>
      <c r="N301" s="300"/>
      <c r="O301" s="300"/>
      <c r="P301" s="300"/>
      <c r="Q301" s="300"/>
      <c r="R301" s="300"/>
      <c r="S301" s="300"/>
      <c r="T301" s="300"/>
      <c r="U301" s="300"/>
      <c r="V301" s="300"/>
      <c r="W301" s="300"/>
      <c r="X301" s="300"/>
      <c r="Y301" s="300"/>
      <c r="Z301" s="300"/>
      <c r="AA301" s="300"/>
    </row>
    <row r="302" spans="1:27" ht="15.5" x14ac:dyDescent="0.35">
      <c r="A302" s="300"/>
      <c r="B302" s="300"/>
      <c r="C302" s="300"/>
      <c r="D302" s="300"/>
      <c r="E302" s="300"/>
      <c r="F302" s="300"/>
      <c r="G302" s="300"/>
      <c r="H302" s="300"/>
      <c r="I302" s="300"/>
      <c r="J302" s="300"/>
      <c r="K302" s="300"/>
      <c r="L302" s="300"/>
      <c r="M302" s="300"/>
      <c r="N302" s="300"/>
      <c r="O302" s="300"/>
      <c r="P302" s="300"/>
      <c r="Q302" s="300"/>
      <c r="R302" s="300"/>
      <c r="S302" s="300"/>
      <c r="T302" s="300"/>
      <c r="U302" s="300"/>
      <c r="V302" s="300"/>
      <c r="W302" s="300"/>
      <c r="X302" s="300"/>
      <c r="Y302" s="300"/>
      <c r="Z302" s="300"/>
      <c r="AA302" s="300"/>
    </row>
    <row r="303" spans="1:27" ht="15.5" x14ac:dyDescent="0.35">
      <c r="A303" s="300"/>
      <c r="B303" s="300"/>
      <c r="C303" s="300"/>
      <c r="D303" s="300"/>
      <c r="E303" s="300"/>
      <c r="F303" s="300"/>
      <c r="G303" s="300"/>
      <c r="H303" s="300"/>
      <c r="I303" s="300"/>
      <c r="J303" s="300"/>
      <c r="K303" s="300"/>
      <c r="L303" s="300"/>
      <c r="M303" s="300"/>
      <c r="N303" s="300"/>
      <c r="O303" s="300"/>
      <c r="P303" s="300"/>
      <c r="Q303" s="300"/>
      <c r="R303" s="300"/>
      <c r="S303" s="300"/>
      <c r="T303" s="300"/>
      <c r="U303" s="300"/>
      <c r="V303" s="300"/>
      <c r="W303" s="300"/>
      <c r="X303" s="300"/>
      <c r="Y303" s="300"/>
      <c r="Z303" s="300"/>
      <c r="AA303" s="300"/>
    </row>
    <row r="304" spans="1:27" ht="15.5" x14ac:dyDescent="0.35">
      <c r="A304" s="300"/>
      <c r="B304" s="300"/>
      <c r="C304" s="300"/>
      <c r="D304" s="300"/>
      <c r="E304" s="300"/>
      <c r="F304" s="300"/>
      <c r="G304" s="300"/>
      <c r="H304" s="300"/>
      <c r="I304" s="300"/>
      <c r="J304" s="300"/>
      <c r="K304" s="300"/>
      <c r="L304" s="300"/>
      <c r="M304" s="300"/>
      <c r="N304" s="300"/>
      <c r="O304" s="300"/>
      <c r="P304" s="300"/>
      <c r="Q304" s="300"/>
      <c r="R304" s="300"/>
      <c r="S304" s="300"/>
      <c r="T304" s="300"/>
      <c r="U304" s="300"/>
      <c r="V304" s="300"/>
      <c r="W304" s="300"/>
      <c r="X304" s="300"/>
      <c r="Y304" s="300"/>
      <c r="Z304" s="300"/>
      <c r="AA304" s="300"/>
    </row>
    <row r="305" spans="1:27" ht="15.5" x14ac:dyDescent="0.35">
      <c r="A305" s="300"/>
      <c r="B305" s="300"/>
      <c r="C305" s="300"/>
      <c r="D305" s="300"/>
      <c r="E305" s="300"/>
      <c r="F305" s="300"/>
      <c r="G305" s="300"/>
      <c r="H305" s="300"/>
      <c r="I305" s="300"/>
      <c r="J305" s="300"/>
      <c r="K305" s="300"/>
      <c r="L305" s="300"/>
      <c r="M305" s="300"/>
      <c r="N305" s="300"/>
      <c r="O305" s="300"/>
      <c r="P305" s="300"/>
      <c r="Q305" s="300"/>
      <c r="R305" s="300"/>
      <c r="S305" s="300"/>
      <c r="T305" s="300"/>
      <c r="U305" s="300"/>
      <c r="V305" s="300"/>
      <c r="W305" s="300"/>
      <c r="X305" s="300"/>
      <c r="Y305" s="300"/>
      <c r="Z305" s="300"/>
      <c r="AA305" s="300"/>
    </row>
    <row r="306" spans="1:27" ht="15.5" x14ac:dyDescent="0.35">
      <c r="A306" s="300"/>
      <c r="B306" s="300"/>
      <c r="C306" s="300"/>
      <c r="D306" s="300"/>
      <c r="E306" s="300"/>
      <c r="F306" s="300"/>
      <c r="G306" s="300"/>
      <c r="H306" s="300"/>
      <c r="I306" s="300"/>
      <c r="J306" s="300"/>
      <c r="K306" s="300"/>
      <c r="L306" s="300"/>
      <c r="M306" s="300"/>
      <c r="N306" s="300"/>
      <c r="O306" s="300"/>
      <c r="P306" s="300"/>
      <c r="Q306" s="300"/>
      <c r="R306" s="300"/>
      <c r="S306" s="300"/>
      <c r="T306" s="300"/>
      <c r="U306" s="300"/>
      <c r="V306" s="300"/>
      <c r="W306" s="300"/>
      <c r="X306" s="300"/>
      <c r="Y306" s="300"/>
      <c r="Z306" s="300"/>
      <c r="AA306" s="300"/>
    </row>
    <row r="307" spans="1:27" ht="15.5" x14ac:dyDescent="0.35">
      <c r="A307" s="300"/>
      <c r="B307" s="300"/>
      <c r="C307" s="300"/>
      <c r="D307" s="300"/>
      <c r="E307" s="300"/>
      <c r="F307" s="300"/>
      <c r="G307" s="300"/>
      <c r="H307" s="300"/>
      <c r="I307" s="300"/>
      <c r="J307" s="300"/>
      <c r="K307" s="300"/>
      <c r="L307" s="300"/>
      <c r="M307" s="300"/>
      <c r="N307" s="300"/>
      <c r="O307" s="300"/>
      <c r="P307" s="300"/>
      <c r="Q307" s="300"/>
      <c r="R307" s="300"/>
      <c r="S307" s="300"/>
      <c r="T307" s="300"/>
      <c r="U307" s="300"/>
      <c r="V307" s="300"/>
      <c r="W307" s="300"/>
      <c r="X307" s="300"/>
      <c r="Y307" s="300"/>
      <c r="Z307" s="300"/>
      <c r="AA307" s="300"/>
    </row>
    <row r="308" spans="1:27" ht="15.5" x14ac:dyDescent="0.35">
      <c r="A308" s="300"/>
      <c r="B308" s="300"/>
      <c r="C308" s="300"/>
      <c r="D308" s="300"/>
      <c r="E308" s="300"/>
      <c r="F308" s="300"/>
      <c r="G308" s="300"/>
      <c r="H308" s="300"/>
      <c r="I308" s="300"/>
      <c r="J308" s="300"/>
      <c r="K308" s="300"/>
      <c r="L308" s="300"/>
      <c r="M308" s="300"/>
      <c r="N308" s="300"/>
      <c r="O308" s="300"/>
      <c r="P308" s="300"/>
      <c r="Q308" s="300"/>
      <c r="R308" s="300"/>
      <c r="S308" s="300"/>
      <c r="T308" s="300"/>
      <c r="U308" s="300"/>
      <c r="V308" s="300"/>
      <c r="W308" s="300"/>
      <c r="X308" s="300"/>
      <c r="Y308" s="300"/>
      <c r="Z308" s="300"/>
      <c r="AA308" s="300"/>
    </row>
    <row r="309" spans="1:27" ht="15.5" x14ac:dyDescent="0.35">
      <c r="A309" s="300"/>
      <c r="B309" s="300"/>
      <c r="C309" s="300"/>
      <c r="D309" s="300"/>
      <c r="E309" s="300"/>
      <c r="F309" s="300"/>
      <c r="G309" s="300"/>
      <c r="H309" s="300"/>
      <c r="I309" s="300"/>
      <c r="J309" s="300"/>
      <c r="K309" s="300"/>
      <c r="L309" s="300"/>
      <c r="M309" s="300"/>
      <c r="N309" s="300"/>
      <c r="O309" s="300"/>
      <c r="P309" s="300"/>
      <c r="Q309" s="300"/>
      <c r="R309" s="300"/>
      <c r="S309" s="300"/>
      <c r="T309" s="300"/>
      <c r="U309" s="300"/>
      <c r="V309" s="300"/>
      <c r="W309" s="300"/>
      <c r="X309" s="300"/>
      <c r="Y309" s="300"/>
      <c r="Z309" s="300"/>
      <c r="AA309" s="300"/>
    </row>
    <row r="310" spans="1:27" ht="15.5" x14ac:dyDescent="0.35">
      <c r="A310" s="300"/>
      <c r="B310" s="300"/>
      <c r="C310" s="300"/>
      <c r="D310" s="300"/>
      <c r="E310" s="300"/>
      <c r="F310" s="300"/>
      <c r="G310" s="300"/>
      <c r="H310" s="300"/>
      <c r="I310" s="300"/>
      <c r="J310" s="300"/>
      <c r="K310" s="300"/>
      <c r="L310" s="300"/>
      <c r="M310" s="300"/>
      <c r="N310" s="300"/>
      <c r="O310" s="300"/>
      <c r="P310" s="300"/>
      <c r="Q310" s="300"/>
      <c r="R310" s="300"/>
      <c r="S310" s="300"/>
      <c r="T310" s="300"/>
      <c r="U310" s="300"/>
      <c r="V310" s="300"/>
      <c r="W310" s="300"/>
      <c r="X310" s="300"/>
      <c r="Y310" s="300"/>
      <c r="Z310" s="300"/>
      <c r="AA310" s="300"/>
    </row>
    <row r="311" spans="1:27" ht="15.5" x14ac:dyDescent="0.35">
      <c r="A311" s="300"/>
      <c r="B311" s="300"/>
      <c r="C311" s="300"/>
      <c r="D311" s="300"/>
      <c r="E311" s="300"/>
      <c r="F311" s="300"/>
      <c r="G311" s="300"/>
      <c r="H311" s="300"/>
      <c r="I311" s="300"/>
      <c r="J311" s="300"/>
      <c r="K311" s="300"/>
      <c r="L311" s="300"/>
      <c r="M311" s="300"/>
      <c r="N311" s="300"/>
      <c r="O311" s="300"/>
      <c r="P311" s="300"/>
      <c r="Q311" s="300"/>
      <c r="R311" s="300"/>
      <c r="S311" s="300"/>
      <c r="T311" s="300"/>
      <c r="U311" s="300"/>
      <c r="V311" s="300"/>
      <c r="W311" s="300"/>
      <c r="X311" s="300"/>
      <c r="Y311" s="300"/>
      <c r="Z311" s="300"/>
      <c r="AA311" s="300"/>
    </row>
    <row r="312" spans="1:27" ht="15.5" x14ac:dyDescent="0.35">
      <c r="A312" s="300"/>
      <c r="B312" s="300"/>
      <c r="C312" s="300"/>
      <c r="D312" s="300"/>
      <c r="E312" s="300"/>
      <c r="F312" s="300"/>
      <c r="G312" s="300"/>
      <c r="H312" s="300"/>
      <c r="I312" s="300"/>
      <c r="J312" s="300"/>
      <c r="K312" s="300"/>
      <c r="L312" s="300"/>
      <c r="M312" s="300"/>
      <c r="N312" s="300"/>
      <c r="O312" s="300"/>
      <c r="P312" s="300"/>
      <c r="Q312" s="300"/>
      <c r="R312" s="300"/>
      <c r="S312" s="300"/>
      <c r="T312" s="300"/>
      <c r="U312" s="300"/>
      <c r="V312" s="300"/>
      <c r="W312" s="300"/>
      <c r="X312" s="300"/>
      <c r="Y312" s="300"/>
      <c r="Z312" s="300"/>
      <c r="AA312" s="300"/>
    </row>
    <row r="313" spans="1:27" ht="15.5" x14ac:dyDescent="0.35">
      <c r="A313" s="300"/>
      <c r="B313" s="300"/>
      <c r="C313" s="300"/>
      <c r="D313" s="300"/>
      <c r="E313" s="300"/>
      <c r="F313" s="300"/>
      <c r="G313" s="300"/>
      <c r="H313" s="300"/>
      <c r="I313" s="300"/>
      <c r="J313" s="300"/>
      <c r="K313" s="300"/>
      <c r="L313" s="300"/>
      <c r="M313" s="300"/>
      <c r="N313" s="300"/>
      <c r="O313" s="300"/>
      <c r="P313" s="300"/>
      <c r="Q313" s="300"/>
      <c r="R313" s="300"/>
      <c r="S313" s="300"/>
      <c r="T313" s="300"/>
      <c r="U313" s="300"/>
      <c r="V313" s="300"/>
      <c r="W313" s="300"/>
      <c r="X313" s="300"/>
      <c r="Y313" s="300"/>
      <c r="Z313" s="300"/>
      <c r="AA313" s="300"/>
    </row>
    <row r="314" spans="1:27" ht="15.5" x14ac:dyDescent="0.35">
      <c r="A314" s="300"/>
      <c r="B314" s="300"/>
      <c r="C314" s="300"/>
      <c r="D314" s="300"/>
      <c r="E314" s="300"/>
      <c r="F314" s="300"/>
      <c r="G314" s="300"/>
      <c r="H314" s="300"/>
      <c r="I314" s="300"/>
      <c r="J314" s="300"/>
      <c r="K314" s="300"/>
      <c r="L314" s="300"/>
      <c r="M314" s="300"/>
      <c r="N314" s="300"/>
      <c r="O314" s="300"/>
      <c r="P314" s="300"/>
      <c r="Q314" s="300"/>
      <c r="R314" s="300"/>
      <c r="S314" s="300"/>
      <c r="T314" s="300"/>
      <c r="U314" s="300"/>
      <c r="V314" s="300"/>
      <c r="W314" s="300"/>
      <c r="X314" s="300"/>
      <c r="Y314" s="300"/>
      <c r="Z314" s="300"/>
      <c r="AA314" s="300"/>
    </row>
    <row r="315" spans="1:27" ht="15.5" x14ac:dyDescent="0.35">
      <c r="A315" s="300"/>
      <c r="B315" s="300"/>
      <c r="C315" s="300"/>
      <c r="D315" s="300"/>
      <c r="E315" s="300"/>
      <c r="F315" s="300"/>
      <c r="G315" s="300"/>
      <c r="H315" s="300"/>
      <c r="I315" s="300"/>
      <c r="J315" s="300"/>
      <c r="K315" s="300"/>
      <c r="L315" s="300"/>
      <c r="M315" s="300"/>
      <c r="N315" s="300"/>
      <c r="O315" s="300"/>
      <c r="P315" s="300"/>
      <c r="Q315" s="300"/>
      <c r="R315" s="300"/>
      <c r="S315" s="300"/>
      <c r="T315" s="300"/>
      <c r="U315" s="300"/>
      <c r="V315" s="300"/>
      <c r="W315" s="300"/>
      <c r="X315" s="300"/>
      <c r="Y315" s="300"/>
      <c r="Z315" s="300"/>
      <c r="AA315" s="300"/>
    </row>
    <row r="316" spans="1:27" ht="15.5" x14ac:dyDescent="0.35">
      <c r="A316" s="300"/>
      <c r="B316" s="300"/>
      <c r="C316" s="300"/>
      <c r="D316" s="300"/>
      <c r="E316" s="300"/>
      <c r="F316" s="300"/>
      <c r="G316" s="300"/>
      <c r="H316" s="300"/>
      <c r="I316" s="300"/>
      <c r="J316" s="300"/>
      <c r="K316" s="300"/>
      <c r="L316" s="300"/>
      <c r="M316" s="300"/>
      <c r="N316" s="300"/>
      <c r="O316" s="300"/>
      <c r="P316" s="300"/>
      <c r="Q316" s="300"/>
      <c r="R316" s="300"/>
      <c r="S316" s="300"/>
      <c r="T316" s="300"/>
      <c r="U316" s="300"/>
      <c r="V316" s="300"/>
      <c r="W316" s="300"/>
      <c r="X316" s="300"/>
      <c r="Y316" s="300"/>
      <c r="Z316" s="300"/>
      <c r="AA316" s="300"/>
    </row>
    <row r="317" spans="1:27" ht="15.5" x14ac:dyDescent="0.35">
      <c r="A317" s="300"/>
      <c r="B317" s="300"/>
      <c r="C317" s="300"/>
      <c r="D317" s="300"/>
      <c r="E317" s="300"/>
      <c r="F317" s="300"/>
      <c r="G317" s="300"/>
      <c r="H317" s="300"/>
      <c r="I317" s="300"/>
      <c r="J317" s="300"/>
      <c r="K317" s="300"/>
      <c r="L317" s="300"/>
      <c r="M317" s="300"/>
      <c r="N317" s="300"/>
      <c r="O317" s="300"/>
      <c r="P317" s="300"/>
      <c r="Q317" s="300"/>
      <c r="R317" s="300"/>
      <c r="S317" s="300"/>
      <c r="T317" s="300"/>
      <c r="U317" s="300"/>
      <c r="V317" s="300"/>
      <c r="W317" s="300"/>
      <c r="X317" s="300"/>
      <c r="Y317" s="300"/>
      <c r="Z317" s="300"/>
      <c r="AA317" s="300"/>
    </row>
    <row r="318" spans="1:27" ht="15.5" x14ac:dyDescent="0.35">
      <c r="A318" s="300"/>
      <c r="B318" s="300"/>
      <c r="C318" s="300"/>
      <c r="D318" s="300"/>
      <c r="E318" s="300"/>
      <c r="F318" s="300"/>
      <c r="G318" s="300"/>
      <c r="H318" s="300"/>
      <c r="I318" s="300"/>
      <c r="J318" s="300"/>
      <c r="K318" s="300"/>
      <c r="L318" s="300"/>
      <c r="M318" s="300"/>
      <c r="N318" s="300"/>
      <c r="O318" s="300"/>
      <c r="P318" s="300"/>
      <c r="Q318" s="300"/>
      <c r="R318" s="300"/>
      <c r="S318" s="300"/>
      <c r="T318" s="300"/>
      <c r="U318" s="300"/>
      <c r="V318" s="300"/>
      <c r="W318" s="300"/>
      <c r="X318" s="300"/>
      <c r="Y318" s="300"/>
      <c r="Z318" s="300"/>
      <c r="AA318" s="300"/>
    </row>
    <row r="319" spans="1:27" ht="15.5" x14ac:dyDescent="0.35">
      <c r="A319" s="300"/>
      <c r="B319" s="300"/>
      <c r="C319" s="300"/>
      <c r="D319" s="300"/>
      <c r="E319" s="300"/>
      <c r="F319" s="300"/>
      <c r="G319" s="300"/>
      <c r="H319" s="300"/>
      <c r="I319" s="300"/>
      <c r="J319" s="300"/>
      <c r="K319" s="300"/>
      <c r="L319" s="300"/>
      <c r="M319" s="300"/>
      <c r="N319" s="300"/>
      <c r="O319" s="300"/>
      <c r="P319" s="300"/>
      <c r="Q319" s="300"/>
      <c r="R319" s="300"/>
      <c r="S319" s="300"/>
      <c r="T319" s="300"/>
      <c r="U319" s="300"/>
      <c r="V319" s="300"/>
      <c r="W319" s="300"/>
      <c r="X319" s="300"/>
      <c r="Y319" s="300"/>
      <c r="Z319" s="300"/>
      <c r="AA319" s="300"/>
    </row>
    <row r="320" spans="1:27" ht="15.5" x14ac:dyDescent="0.35">
      <c r="A320" s="300"/>
      <c r="B320" s="300"/>
      <c r="C320" s="300"/>
      <c r="D320" s="300"/>
      <c r="E320" s="300"/>
      <c r="F320" s="300"/>
      <c r="G320" s="300"/>
      <c r="H320" s="300"/>
      <c r="I320" s="300"/>
      <c r="J320" s="300"/>
      <c r="K320" s="300"/>
      <c r="L320" s="300"/>
      <c r="M320" s="300"/>
      <c r="N320" s="300"/>
      <c r="O320" s="300"/>
      <c r="P320" s="300"/>
      <c r="Q320" s="300"/>
      <c r="R320" s="300"/>
      <c r="S320" s="300"/>
      <c r="T320" s="300"/>
      <c r="U320" s="300"/>
      <c r="V320" s="300"/>
      <c r="W320" s="300"/>
      <c r="X320" s="300"/>
      <c r="Y320" s="300"/>
      <c r="Z320" s="300"/>
      <c r="AA320" s="300"/>
    </row>
    <row r="321" spans="1:27" ht="15.5" x14ac:dyDescent="0.35">
      <c r="A321" s="300"/>
      <c r="B321" s="300"/>
      <c r="C321" s="300"/>
      <c r="D321" s="300"/>
      <c r="E321" s="300"/>
      <c r="F321" s="300"/>
      <c r="G321" s="300"/>
      <c r="H321" s="300"/>
      <c r="I321" s="300"/>
      <c r="J321" s="300"/>
      <c r="K321" s="300"/>
      <c r="L321" s="300"/>
      <c r="M321" s="300"/>
      <c r="N321" s="300"/>
      <c r="O321" s="300"/>
      <c r="P321" s="300"/>
      <c r="Q321" s="300"/>
      <c r="R321" s="300"/>
      <c r="S321" s="300"/>
      <c r="T321" s="300"/>
      <c r="U321" s="300"/>
      <c r="V321" s="300"/>
      <c r="W321" s="300"/>
      <c r="X321" s="300"/>
      <c r="Y321" s="300"/>
      <c r="Z321" s="300"/>
      <c r="AA321" s="300"/>
    </row>
    <row r="322" spans="1:27" ht="15.5" x14ac:dyDescent="0.35">
      <c r="A322" s="300"/>
      <c r="B322" s="300"/>
      <c r="C322" s="300"/>
      <c r="D322" s="300"/>
      <c r="E322" s="300"/>
      <c r="F322" s="300"/>
      <c r="G322" s="300"/>
      <c r="H322" s="300"/>
      <c r="I322" s="300"/>
      <c r="J322" s="300"/>
      <c r="K322" s="300"/>
      <c r="L322" s="300"/>
      <c r="M322" s="300"/>
      <c r="N322" s="300"/>
      <c r="O322" s="300"/>
      <c r="P322" s="300"/>
      <c r="Q322" s="300"/>
      <c r="R322" s="300"/>
      <c r="S322" s="300"/>
      <c r="T322" s="300"/>
      <c r="U322" s="300"/>
      <c r="V322" s="300"/>
      <c r="W322" s="300"/>
      <c r="X322" s="300"/>
      <c r="Y322" s="300"/>
      <c r="Z322" s="300"/>
      <c r="AA322" s="300"/>
    </row>
    <row r="323" spans="1:27" ht="15.5" x14ac:dyDescent="0.35">
      <c r="A323" s="300"/>
      <c r="B323" s="300"/>
      <c r="C323" s="300"/>
      <c r="D323" s="300"/>
      <c r="E323" s="300"/>
      <c r="F323" s="300"/>
      <c r="G323" s="300"/>
      <c r="H323" s="300"/>
      <c r="I323" s="300"/>
      <c r="J323" s="300"/>
      <c r="K323" s="300"/>
      <c r="L323" s="300"/>
      <c r="M323" s="300"/>
      <c r="N323" s="300"/>
      <c r="O323" s="300"/>
      <c r="P323" s="300"/>
      <c r="Q323" s="300"/>
      <c r="R323" s="300"/>
      <c r="S323" s="300"/>
      <c r="T323" s="300"/>
      <c r="U323" s="300"/>
      <c r="V323" s="300"/>
      <c r="W323" s="300"/>
      <c r="X323" s="300"/>
      <c r="Y323" s="300"/>
      <c r="Z323" s="300"/>
      <c r="AA323" s="300"/>
    </row>
    <row r="324" spans="1:27" ht="15.5" x14ac:dyDescent="0.35">
      <c r="A324" s="300"/>
      <c r="B324" s="300"/>
      <c r="C324" s="300"/>
      <c r="D324" s="300"/>
      <c r="E324" s="300"/>
      <c r="F324" s="300"/>
      <c r="G324" s="300"/>
      <c r="H324" s="300"/>
      <c r="I324" s="300"/>
      <c r="J324" s="300"/>
      <c r="K324" s="300"/>
      <c r="L324" s="300"/>
      <c r="M324" s="300"/>
      <c r="N324" s="300"/>
      <c r="O324" s="300"/>
      <c r="P324" s="300"/>
      <c r="Q324" s="300"/>
      <c r="R324" s="300"/>
      <c r="S324" s="300"/>
      <c r="T324" s="300"/>
      <c r="U324" s="300"/>
      <c r="V324" s="300"/>
      <c r="W324" s="300"/>
      <c r="X324" s="300"/>
      <c r="Y324" s="300"/>
      <c r="Z324" s="300"/>
      <c r="AA324" s="300"/>
    </row>
    <row r="325" spans="1:27" ht="15.5" x14ac:dyDescent="0.35">
      <c r="A325" s="300"/>
      <c r="B325" s="300"/>
      <c r="C325" s="300"/>
      <c r="D325" s="300"/>
      <c r="E325" s="300"/>
      <c r="F325" s="300"/>
      <c r="G325" s="300"/>
      <c r="H325" s="300"/>
      <c r="I325" s="300"/>
      <c r="J325" s="300"/>
      <c r="K325" s="300"/>
      <c r="L325" s="300"/>
      <c r="M325" s="300"/>
      <c r="N325" s="300"/>
      <c r="O325" s="300"/>
      <c r="P325" s="300"/>
      <c r="Q325" s="300"/>
      <c r="R325" s="300"/>
      <c r="S325" s="300"/>
      <c r="T325" s="300"/>
      <c r="U325" s="300"/>
      <c r="V325" s="300"/>
      <c r="W325" s="300"/>
      <c r="X325" s="300"/>
      <c r="Y325" s="300"/>
      <c r="Z325" s="300"/>
      <c r="AA325" s="300"/>
    </row>
    <row r="326" spans="1:27" ht="15.5" x14ac:dyDescent="0.35">
      <c r="A326" s="300"/>
      <c r="B326" s="300"/>
      <c r="C326" s="300"/>
      <c r="D326" s="300"/>
      <c r="E326" s="300"/>
      <c r="F326" s="300"/>
      <c r="G326" s="300"/>
      <c r="H326" s="300"/>
      <c r="I326" s="300"/>
      <c r="J326" s="300"/>
      <c r="K326" s="300"/>
      <c r="L326" s="300"/>
      <c r="M326" s="300"/>
      <c r="N326" s="300"/>
      <c r="O326" s="300"/>
      <c r="P326" s="300"/>
      <c r="Q326" s="300"/>
      <c r="R326" s="300"/>
      <c r="S326" s="300"/>
      <c r="T326" s="300"/>
      <c r="U326" s="300"/>
      <c r="V326" s="300"/>
      <c r="W326" s="300"/>
      <c r="X326" s="300"/>
      <c r="Y326" s="300"/>
      <c r="Z326" s="300"/>
      <c r="AA326" s="300"/>
    </row>
    <row r="327" spans="1:27" ht="15.5" x14ac:dyDescent="0.35">
      <c r="A327" s="300"/>
      <c r="B327" s="300"/>
      <c r="C327" s="300"/>
      <c r="D327" s="300"/>
      <c r="E327" s="300"/>
      <c r="F327" s="300"/>
      <c r="G327" s="300"/>
      <c r="H327" s="300"/>
      <c r="I327" s="300"/>
      <c r="J327" s="300"/>
      <c r="K327" s="300"/>
      <c r="L327" s="300"/>
      <c r="M327" s="300"/>
      <c r="N327" s="300"/>
      <c r="O327" s="300"/>
      <c r="P327" s="300"/>
      <c r="Q327" s="300"/>
      <c r="R327" s="300"/>
      <c r="S327" s="300"/>
      <c r="T327" s="300"/>
      <c r="U327" s="300"/>
      <c r="V327" s="300"/>
      <c r="W327" s="300"/>
      <c r="X327" s="300"/>
      <c r="Y327" s="300"/>
      <c r="Z327" s="300"/>
      <c r="AA327" s="300"/>
    </row>
    <row r="328" spans="1:27" ht="15.5" x14ac:dyDescent="0.35">
      <c r="A328" s="300"/>
      <c r="B328" s="300"/>
      <c r="C328" s="300"/>
      <c r="D328" s="300"/>
      <c r="E328" s="300"/>
      <c r="F328" s="300"/>
      <c r="G328" s="300"/>
      <c r="H328" s="300"/>
      <c r="I328" s="300"/>
      <c r="J328" s="300"/>
      <c r="K328" s="300"/>
      <c r="L328" s="300"/>
      <c r="M328" s="300"/>
      <c r="N328" s="300"/>
      <c r="O328" s="300"/>
      <c r="P328" s="300"/>
      <c r="Q328" s="300"/>
      <c r="R328" s="300"/>
      <c r="S328" s="300"/>
      <c r="T328" s="300"/>
      <c r="U328" s="300"/>
      <c r="V328" s="300"/>
      <c r="W328" s="300"/>
      <c r="X328" s="300"/>
      <c r="Y328" s="300"/>
      <c r="Z328" s="300"/>
      <c r="AA328" s="300"/>
    </row>
    <row r="329" spans="1:27" ht="15.5" x14ac:dyDescent="0.35">
      <c r="A329" s="300"/>
      <c r="B329" s="300"/>
      <c r="C329" s="300"/>
      <c r="D329" s="300"/>
      <c r="E329" s="300"/>
      <c r="F329" s="300"/>
      <c r="G329" s="300"/>
      <c r="H329" s="300"/>
      <c r="I329" s="300"/>
      <c r="J329" s="300"/>
      <c r="K329" s="300"/>
      <c r="L329" s="300"/>
      <c r="M329" s="300"/>
      <c r="N329" s="300"/>
      <c r="O329" s="300"/>
      <c r="P329" s="300"/>
      <c r="Q329" s="300"/>
      <c r="R329" s="300"/>
      <c r="S329" s="300"/>
      <c r="T329" s="300"/>
      <c r="U329" s="300"/>
      <c r="V329" s="300"/>
      <c r="W329" s="300"/>
      <c r="X329" s="300"/>
      <c r="Y329" s="300"/>
      <c r="Z329" s="300"/>
      <c r="AA329" s="300"/>
    </row>
    <row r="330" spans="1:27" ht="15.5" x14ac:dyDescent="0.35">
      <c r="A330" s="300"/>
      <c r="B330" s="300"/>
      <c r="C330" s="300"/>
      <c r="D330" s="300"/>
      <c r="E330" s="300"/>
      <c r="F330" s="300"/>
      <c r="G330" s="300"/>
      <c r="H330" s="300"/>
      <c r="I330" s="300"/>
      <c r="J330" s="300"/>
      <c r="K330" s="300"/>
      <c r="L330" s="300"/>
      <c r="M330" s="300"/>
      <c r="N330" s="300"/>
      <c r="O330" s="300"/>
      <c r="P330" s="300"/>
      <c r="Q330" s="300"/>
      <c r="R330" s="300"/>
      <c r="S330" s="300"/>
      <c r="T330" s="300"/>
      <c r="U330" s="300"/>
      <c r="V330" s="300"/>
      <c r="W330" s="300"/>
      <c r="X330" s="300"/>
      <c r="Y330" s="300"/>
      <c r="Z330" s="300"/>
      <c r="AA330" s="300"/>
    </row>
    <row r="331" spans="1:27" ht="15.5" x14ac:dyDescent="0.35">
      <c r="A331" s="300"/>
      <c r="B331" s="300"/>
      <c r="C331" s="300"/>
      <c r="D331" s="300"/>
      <c r="E331" s="300"/>
      <c r="F331" s="300"/>
      <c r="G331" s="300"/>
      <c r="H331" s="300"/>
      <c r="I331" s="300"/>
      <c r="J331" s="300"/>
      <c r="K331" s="300"/>
      <c r="L331" s="300"/>
      <c r="M331" s="300"/>
      <c r="N331" s="300"/>
      <c r="O331" s="300"/>
      <c r="P331" s="300"/>
      <c r="Q331" s="300"/>
      <c r="R331" s="300"/>
      <c r="S331" s="300"/>
      <c r="T331" s="300"/>
      <c r="U331" s="300"/>
      <c r="V331" s="300"/>
      <c r="W331" s="300"/>
      <c r="X331" s="300"/>
      <c r="Y331" s="300"/>
      <c r="Z331" s="300"/>
      <c r="AA331" s="300"/>
    </row>
    <row r="332" spans="1:27" ht="15.5" x14ac:dyDescent="0.35">
      <c r="A332" s="300"/>
      <c r="B332" s="300"/>
      <c r="C332" s="300"/>
      <c r="D332" s="300"/>
      <c r="E332" s="300"/>
      <c r="F332" s="300"/>
      <c r="G332" s="300"/>
      <c r="H332" s="300"/>
      <c r="I332" s="300"/>
      <c r="J332" s="300"/>
      <c r="K332" s="300"/>
      <c r="L332" s="300"/>
      <c r="M332" s="300"/>
      <c r="N332" s="300"/>
      <c r="O332" s="300"/>
      <c r="P332" s="300"/>
      <c r="Q332" s="300"/>
      <c r="R332" s="300"/>
      <c r="S332" s="300"/>
      <c r="T332" s="300"/>
      <c r="U332" s="300"/>
      <c r="V332" s="300"/>
      <c r="W332" s="300"/>
      <c r="X332" s="300"/>
      <c r="Y332" s="300"/>
      <c r="Z332" s="300"/>
      <c r="AA332" s="300"/>
    </row>
    <row r="333" spans="1:27" ht="15.5" x14ac:dyDescent="0.35">
      <c r="A333" s="300"/>
      <c r="B333" s="300"/>
      <c r="C333" s="300"/>
      <c r="D333" s="300"/>
      <c r="E333" s="300"/>
      <c r="F333" s="300"/>
      <c r="G333" s="300"/>
      <c r="H333" s="300"/>
      <c r="I333" s="300"/>
      <c r="J333" s="300"/>
      <c r="K333" s="300"/>
      <c r="L333" s="300"/>
      <c r="M333" s="300"/>
      <c r="N333" s="300"/>
      <c r="O333" s="300"/>
      <c r="P333" s="300"/>
      <c r="Q333" s="300"/>
      <c r="R333" s="300"/>
      <c r="S333" s="300"/>
      <c r="T333" s="300"/>
      <c r="U333" s="300"/>
      <c r="V333" s="300"/>
      <c r="W333" s="300"/>
      <c r="X333" s="300"/>
      <c r="Y333" s="300"/>
      <c r="Z333" s="300"/>
      <c r="AA333" s="300"/>
    </row>
    <row r="334" spans="1:27" ht="15.5" x14ac:dyDescent="0.35">
      <c r="A334" s="300"/>
      <c r="B334" s="300"/>
      <c r="C334" s="300"/>
      <c r="D334" s="300"/>
      <c r="E334" s="300"/>
      <c r="F334" s="300"/>
      <c r="G334" s="300"/>
      <c r="H334" s="300"/>
      <c r="I334" s="300"/>
      <c r="J334" s="300"/>
      <c r="K334" s="300"/>
      <c r="L334" s="300"/>
      <c r="M334" s="300"/>
      <c r="N334" s="300"/>
      <c r="O334" s="300"/>
      <c r="P334" s="300"/>
      <c r="Q334" s="300"/>
      <c r="R334" s="300"/>
      <c r="S334" s="300"/>
      <c r="T334" s="300"/>
      <c r="U334" s="300"/>
      <c r="V334" s="300"/>
      <c r="W334" s="300"/>
      <c r="X334" s="300"/>
      <c r="Y334" s="300"/>
      <c r="Z334" s="300"/>
      <c r="AA334" s="300"/>
    </row>
    <row r="335" spans="1:27" ht="15.5" x14ac:dyDescent="0.35">
      <c r="A335" s="300"/>
      <c r="B335" s="300"/>
      <c r="C335" s="300"/>
      <c r="D335" s="300"/>
      <c r="E335" s="300"/>
      <c r="F335" s="300"/>
      <c r="G335" s="300"/>
      <c r="H335" s="300"/>
      <c r="I335" s="300"/>
      <c r="J335" s="300"/>
      <c r="K335" s="300"/>
      <c r="L335" s="300"/>
      <c r="M335" s="300"/>
      <c r="N335" s="300"/>
      <c r="O335" s="300"/>
      <c r="P335" s="300"/>
      <c r="Q335" s="300"/>
      <c r="R335" s="300"/>
      <c r="S335" s="300"/>
      <c r="T335" s="300"/>
      <c r="U335" s="300"/>
      <c r="V335" s="300"/>
      <c r="W335" s="300"/>
      <c r="X335" s="300"/>
      <c r="Y335" s="300"/>
      <c r="Z335" s="300"/>
      <c r="AA335" s="300"/>
    </row>
    <row r="336" spans="1:27" ht="15.5" x14ac:dyDescent="0.35">
      <c r="A336" s="300"/>
      <c r="B336" s="300"/>
      <c r="C336" s="300"/>
      <c r="D336" s="300"/>
      <c r="E336" s="300"/>
      <c r="F336" s="300"/>
      <c r="G336" s="300"/>
      <c r="H336" s="300"/>
      <c r="I336" s="300"/>
      <c r="J336" s="300"/>
      <c r="K336" s="300"/>
      <c r="L336" s="300"/>
      <c r="M336" s="300"/>
      <c r="N336" s="300"/>
      <c r="O336" s="300"/>
      <c r="P336" s="300"/>
      <c r="Q336" s="300"/>
      <c r="R336" s="300"/>
      <c r="S336" s="300"/>
      <c r="T336" s="300"/>
      <c r="U336" s="300"/>
      <c r="V336" s="300"/>
      <c r="W336" s="300"/>
      <c r="X336" s="300"/>
      <c r="Y336" s="300"/>
      <c r="Z336" s="300"/>
      <c r="AA336" s="300"/>
    </row>
    <row r="337" spans="1:27" ht="15.5" x14ac:dyDescent="0.35">
      <c r="A337" s="300"/>
      <c r="B337" s="300"/>
      <c r="C337" s="300"/>
      <c r="D337" s="300"/>
      <c r="E337" s="300"/>
      <c r="F337" s="300"/>
      <c r="G337" s="300"/>
      <c r="H337" s="300"/>
      <c r="I337" s="300"/>
      <c r="J337" s="300"/>
      <c r="K337" s="300"/>
      <c r="L337" s="300"/>
      <c r="M337" s="300"/>
      <c r="N337" s="300"/>
      <c r="O337" s="300"/>
      <c r="P337" s="300"/>
      <c r="Q337" s="300"/>
      <c r="R337" s="300"/>
      <c r="S337" s="300"/>
      <c r="T337" s="300"/>
      <c r="U337" s="300"/>
      <c r="V337" s="300"/>
      <c r="W337" s="300"/>
      <c r="X337" s="300"/>
      <c r="Y337" s="300"/>
      <c r="Z337" s="300"/>
      <c r="AA337" s="300"/>
    </row>
    <row r="338" spans="1:27" ht="15.5" x14ac:dyDescent="0.35">
      <c r="A338" s="300"/>
      <c r="B338" s="300"/>
      <c r="C338" s="300"/>
      <c r="D338" s="300"/>
      <c r="E338" s="300"/>
      <c r="F338" s="300"/>
      <c r="G338" s="300"/>
      <c r="H338" s="300"/>
      <c r="I338" s="300"/>
      <c r="J338" s="300"/>
      <c r="K338" s="300"/>
      <c r="L338" s="300"/>
      <c r="M338" s="300"/>
      <c r="N338" s="300"/>
      <c r="O338" s="300"/>
      <c r="P338" s="300"/>
      <c r="Q338" s="300"/>
      <c r="R338" s="300"/>
      <c r="S338" s="300"/>
      <c r="T338" s="300"/>
      <c r="U338" s="300"/>
      <c r="V338" s="300"/>
      <c r="W338" s="300"/>
      <c r="X338" s="300"/>
      <c r="Y338" s="300"/>
      <c r="Z338" s="300"/>
      <c r="AA338" s="300"/>
    </row>
    <row r="339" spans="1:27" ht="15.5" x14ac:dyDescent="0.35">
      <c r="A339" s="300"/>
      <c r="B339" s="300"/>
      <c r="C339" s="300"/>
      <c r="D339" s="300"/>
      <c r="E339" s="300"/>
      <c r="F339" s="300"/>
      <c r="G339" s="300"/>
      <c r="H339" s="300"/>
      <c r="I339" s="300"/>
      <c r="J339" s="300"/>
      <c r="K339" s="300"/>
      <c r="L339" s="300"/>
      <c r="M339" s="300"/>
      <c r="N339" s="300"/>
      <c r="O339" s="300"/>
      <c r="P339" s="300"/>
      <c r="Q339" s="300"/>
      <c r="R339" s="300"/>
      <c r="S339" s="300"/>
      <c r="T339" s="300"/>
      <c r="U339" s="300"/>
      <c r="V339" s="300"/>
      <c r="W339" s="300"/>
      <c r="X339" s="300"/>
      <c r="Y339" s="300"/>
      <c r="Z339" s="300"/>
      <c r="AA339" s="300"/>
    </row>
    <row r="340" spans="1:27" ht="15.5" x14ac:dyDescent="0.35">
      <c r="A340" s="300"/>
      <c r="B340" s="300"/>
      <c r="C340" s="300"/>
      <c r="D340" s="300"/>
      <c r="E340" s="300"/>
      <c r="F340" s="300"/>
      <c r="G340" s="300"/>
      <c r="H340" s="300"/>
      <c r="I340" s="300"/>
      <c r="J340" s="300"/>
      <c r="K340" s="300"/>
      <c r="L340" s="300"/>
      <c r="M340" s="300"/>
      <c r="N340" s="300"/>
      <c r="O340" s="300"/>
      <c r="P340" s="300"/>
      <c r="Q340" s="300"/>
      <c r="R340" s="300"/>
      <c r="S340" s="300"/>
      <c r="T340" s="300"/>
      <c r="U340" s="300"/>
      <c r="V340" s="300"/>
      <c r="W340" s="300"/>
      <c r="X340" s="300"/>
      <c r="Y340" s="300"/>
      <c r="Z340" s="300"/>
      <c r="AA340" s="300"/>
    </row>
    <row r="341" spans="1:27" ht="15.5" x14ac:dyDescent="0.35">
      <c r="A341" s="300"/>
      <c r="B341" s="300"/>
      <c r="C341" s="300"/>
      <c r="D341" s="300"/>
      <c r="E341" s="300"/>
      <c r="F341" s="300"/>
      <c r="G341" s="300"/>
      <c r="H341" s="300"/>
      <c r="I341" s="300"/>
      <c r="J341" s="300"/>
      <c r="K341" s="300"/>
      <c r="L341" s="300"/>
      <c r="M341" s="300"/>
      <c r="N341" s="300"/>
      <c r="O341" s="300"/>
      <c r="P341" s="300"/>
      <c r="Q341" s="300"/>
      <c r="R341" s="300"/>
      <c r="S341" s="300"/>
      <c r="T341" s="300"/>
      <c r="U341" s="300"/>
      <c r="V341" s="300"/>
      <c r="W341" s="300"/>
      <c r="X341" s="300"/>
      <c r="Y341" s="300"/>
      <c r="Z341" s="300"/>
      <c r="AA341" s="300"/>
    </row>
    <row r="342" spans="1:27" ht="15.5" x14ac:dyDescent="0.35">
      <c r="A342" s="300"/>
      <c r="B342" s="300"/>
      <c r="C342" s="300"/>
      <c r="D342" s="300"/>
      <c r="E342" s="300"/>
      <c r="F342" s="300"/>
      <c r="G342" s="300"/>
      <c r="H342" s="300"/>
      <c r="I342" s="300"/>
      <c r="J342" s="300"/>
      <c r="K342" s="300"/>
      <c r="L342" s="300"/>
      <c r="M342" s="300"/>
      <c r="N342" s="300"/>
      <c r="O342" s="300"/>
      <c r="P342" s="300"/>
      <c r="Q342" s="300"/>
      <c r="R342" s="300"/>
      <c r="S342" s="300"/>
      <c r="T342" s="300"/>
      <c r="U342" s="300"/>
      <c r="V342" s="300"/>
      <c r="W342" s="300"/>
      <c r="X342" s="300"/>
      <c r="Y342" s="300"/>
      <c r="Z342" s="300"/>
      <c r="AA342" s="300"/>
    </row>
    <row r="343" spans="1:27" ht="15.5" x14ac:dyDescent="0.35">
      <c r="A343" s="300"/>
      <c r="B343" s="300"/>
      <c r="C343" s="300"/>
      <c r="D343" s="300"/>
      <c r="E343" s="300"/>
      <c r="F343" s="300"/>
      <c r="G343" s="300"/>
      <c r="H343" s="300"/>
      <c r="I343" s="300"/>
      <c r="J343" s="300"/>
      <c r="K343" s="300"/>
      <c r="L343" s="300"/>
      <c r="M343" s="300"/>
      <c r="N343" s="300"/>
      <c r="O343" s="300"/>
      <c r="P343" s="300"/>
      <c r="Q343" s="300"/>
      <c r="R343" s="300"/>
      <c r="S343" s="300"/>
      <c r="T343" s="300"/>
      <c r="U343" s="300"/>
      <c r="V343" s="300"/>
      <c r="W343" s="300"/>
      <c r="X343" s="300"/>
      <c r="Y343" s="300"/>
      <c r="Z343" s="300"/>
      <c r="AA343" s="300"/>
    </row>
    <row r="344" spans="1:27" ht="15.5" x14ac:dyDescent="0.35">
      <c r="A344" s="300"/>
      <c r="B344" s="300"/>
      <c r="C344" s="300"/>
      <c r="D344" s="300"/>
      <c r="E344" s="300"/>
      <c r="F344" s="300"/>
      <c r="G344" s="300"/>
      <c r="H344" s="300"/>
      <c r="I344" s="300"/>
      <c r="J344" s="300"/>
      <c r="K344" s="300"/>
      <c r="L344" s="300"/>
      <c r="M344" s="300"/>
      <c r="N344" s="300"/>
      <c r="O344" s="300"/>
      <c r="P344" s="300"/>
      <c r="Q344" s="300"/>
      <c r="R344" s="300"/>
      <c r="S344" s="300"/>
      <c r="T344" s="300"/>
      <c r="U344" s="300"/>
      <c r="V344" s="300"/>
      <c r="W344" s="300"/>
      <c r="X344" s="300"/>
      <c r="Y344" s="300"/>
      <c r="Z344" s="300"/>
      <c r="AA344" s="300"/>
    </row>
    <row r="345" spans="1:27" ht="15.5" x14ac:dyDescent="0.35">
      <c r="A345" s="300"/>
      <c r="B345" s="300"/>
      <c r="C345" s="300"/>
      <c r="D345" s="300"/>
      <c r="E345" s="300"/>
      <c r="F345" s="300"/>
      <c r="G345" s="300"/>
      <c r="H345" s="300"/>
      <c r="I345" s="300"/>
      <c r="J345" s="300"/>
      <c r="K345" s="300"/>
      <c r="L345" s="300"/>
      <c r="M345" s="300"/>
      <c r="N345" s="300"/>
      <c r="O345" s="300"/>
      <c r="P345" s="300"/>
      <c r="Q345" s="300"/>
      <c r="R345" s="300"/>
      <c r="S345" s="300"/>
      <c r="T345" s="300"/>
      <c r="U345" s="300"/>
      <c r="V345" s="300"/>
      <c r="W345" s="300"/>
      <c r="X345" s="300"/>
      <c r="Y345" s="300"/>
      <c r="Z345" s="300"/>
      <c r="AA345" s="300"/>
    </row>
    <row r="346" spans="1:27" ht="15.5" x14ac:dyDescent="0.35">
      <c r="A346" s="300"/>
      <c r="B346" s="300"/>
      <c r="C346" s="300"/>
      <c r="D346" s="300"/>
      <c r="E346" s="300"/>
      <c r="F346" s="300"/>
      <c r="G346" s="300"/>
      <c r="H346" s="300"/>
      <c r="I346" s="300"/>
      <c r="J346" s="300"/>
      <c r="K346" s="300"/>
      <c r="L346" s="300"/>
      <c r="M346" s="300"/>
      <c r="N346" s="300"/>
      <c r="O346" s="300"/>
      <c r="P346" s="300"/>
      <c r="Q346" s="300"/>
      <c r="R346" s="300"/>
      <c r="S346" s="300"/>
      <c r="T346" s="300"/>
      <c r="U346" s="300"/>
      <c r="V346" s="300"/>
      <c r="W346" s="300"/>
      <c r="X346" s="300"/>
      <c r="Y346" s="300"/>
      <c r="Z346" s="300"/>
      <c r="AA346" s="300"/>
    </row>
    <row r="347" spans="1:27" ht="15.5" x14ac:dyDescent="0.35">
      <c r="A347" s="300"/>
      <c r="B347" s="300"/>
      <c r="C347" s="300"/>
      <c r="D347" s="300"/>
      <c r="E347" s="300"/>
      <c r="F347" s="300"/>
      <c r="G347" s="300"/>
      <c r="H347" s="300"/>
      <c r="I347" s="300"/>
      <c r="J347" s="300"/>
      <c r="K347" s="300"/>
      <c r="L347" s="300"/>
      <c r="M347" s="300"/>
      <c r="N347" s="300"/>
      <c r="O347" s="300"/>
      <c r="P347" s="300"/>
      <c r="Q347" s="300"/>
      <c r="R347" s="300"/>
      <c r="S347" s="300"/>
      <c r="T347" s="300"/>
      <c r="U347" s="300"/>
      <c r="V347" s="300"/>
      <c r="W347" s="300"/>
      <c r="X347" s="300"/>
      <c r="Y347" s="300"/>
      <c r="Z347" s="300"/>
      <c r="AA347" s="300"/>
    </row>
    <row r="348" spans="1:27" ht="15.5" x14ac:dyDescent="0.35">
      <c r="A348" s="300"/>
      <c r="B348" s="300"/>
      <c r="C348" s="300"/>
      <c r="D348" s="300"/>
      <c r="E348" s="300"/>
      <c r="F348" s="300"/>
      <c r="G348" s="300"/>
      <c r="H348" s="300"/>
      <c r="I348" s="300"/>
      <c r="J348" s="300"/>
      <c r="K348" s="300"/>
      <c r="L348" s="300"/>
      <c r="M348" s="300"/>
      <c r="N348" s="300"/>
      <c r="O348" s="300"/>
      <c r="P348" s="300"/>
      <c r="Q348" s="300"/>
      <c r="R348" s="300"/>
      <c r="S348" s="300"/>
      <c r="T348" s="300"/>
      <c r="U348" s="300"/>
      <c r="V348" s="300"/>
      <c r="W348" s="300"/>
      <c r="X348" s="300"/>
      <c r="Y348" s="300"/>
      <c r="Z348" s="300"/>
      <c r="AA348" s="300"/>
    </row>
    <row r="349" spans="1:27" ht="15.5" x14ac:dyDescent="0.35">
      <c r="A349" s="300"/>
      <c r="B349" s="300"/>
      <c r="C349" s="300"/>
      <c r="D349" s="300"/>
      <c r="E349" s="300"/>
      <c r="F349" s="300"/>
      <c r="G349" s="300"/>
      <c r="H349" s="300"/>
      <c r="I349" s="300"/>
      <c r="J349" s="300"/>
      <c r="K349" s="300"/>
      <c r="L349" s="300"/>
      <c r="M349" s="300"/>
      <c r="N349" s="300"/>
      <c r="O349" s="300"/>
      <c r="P349" s="300"/>
      <c r="Q349" s="300"/>
      <c r="R349" s="300"/>
      <c r="S349" s="300"/>
      <c r="T349" s="300"/>
      <c r="U349" s="300"/>
      <c r="V349" s="300"/>
      <c r="W349" s="300"/>
      <c r="X349" s="300"/>
      <c r="Y349" s="300"/>
      <c r="Z349" s="300"/>
      <c r="AA349" s="300"/>
    </row>
    <row r="350" spans="1:27" ht="15.5" x14ac:dyDescent="0.35">
      <c r="A350" s="300"/>
      <c r="B350" s="300"/>
      <c r="C350" s="300"/>
      <c r="D350" s="300"/>
      <c r="E350" s="300"/>
      <c r="F350" s="300"/>
      <c r="G350" s="300"/>
      <c r="H350" s="300"/>
      <c r="I350" s="300"/>
      <c r="J350" s="300"/>
      <c r="K350" s="300"/>
      <c r="L350" s="300"/>
      <c r="M350" s="300"/>
      <c r="N350" s="300"/>
      <c r="O350" s="300"/>
      <c r="P350" s="300"/>
      <c r="Q350" s="300"/>
      <c r="R350" s="300"/>
      <c r="S350" s="300"/>
      <c r="T350" s="300"/>
      <c r="U350" s="300"/>
      <c r="V350" s="300"/>
      <c r="W350" s="300"/>
      <c r="X350" s="300"/>
      <c r="Y350" s="300"/>
      <c r="Z350" s="300"/>
      <c r="AA350" s="300"/>
    </row>
    <row r="351" spans="1:27" ht="15.5" x14ac:dyDescent="0.35">
      <c r="A351" s="300"/>
      <c r="B351" s="300"/>
      <c r="C351" s="300"/>
      <c r="D351" s="300"/>
      <c r="E351" s="300"/>
      <c r="F351" s="300"/>
      <c r="G351" s="300"/>
      <c r="H351" s="300"/>
      <c r="I351" s="300"/>
      <c r="J351" s="300"/>
      <c r="K351" s="300"/>
      <c r="L351" s="300"/>
      <c r="M351" s="300"/>
      <c r="N351" s="300"/>
      <c r="O351" s="300"/>
      <c r="P351" s="300"/>
      <c r="Q351" s="300"/>
      <c r="R351" s="300"/>
      <c r="S351" s="300"/>
      <c r="T351" s="300"/>
      <c r="U351" s="300"/>
      <c r="V351" s="300"/>
      <c r="W351" s="300"/>
      <c r="X351" s="300"/>
      <c r="Y351" s="300"/>
      <c r="Z351" s="300"/>
      <c r="AA351" s="300"/>
    </row>
    <row r="352" spans="1:27" ht="15.5" x14ac:dyDescent="0.35">
      <c r="A352" s="300"/>
      <c r="B352" s="300"/>
      <c r="C352" s="300"/>
      <c r="D352" s="300"/>
      <c r="E352" s="300"/>
      <c r="F352" s="300"/>
      <c r="G352" s="300"/>
      <c r="H352" s="300"/>
      <c r="I352" s="300"/>
      <c r="J352" s="300"/>
      <c r="K352" s="300"/>
      <c r="L352" s="300"/>
      <c r="M352" s="300"/>
      <c r="N352" s="300"/>
      <c r="O352" s="300"/>
      <c r="P352" s="300"/>
      <c r="Q352" s="300"/>
      <c r="R352" s="300"/>
      <c r="S352" s="300"/>
      <c r="T352" s="300"/>
      <c r="U352" s="300"/>
      <c r="V352" s="300"/>
      <c r="W352" s="300"/>
      <c r="X352" s="300"/>
      <c r="Y352" s="300"/>
      <c r="Z352" s="300"/>
      <c r="AA352" s="300"/>
    </row>
    <row r="353" spans="1:27" ht="15.5" x14ac:dyDescent="0.35">
      <c r="A353" s="300"/>
      <c r="B353" s="300"/>
      <c r="C353" s="300"/>
      <c r="D353" s="300"/>
      <c r="E353" s="300"/>
      <c r="F353" s="300"/>
      <c r="G353" s="300"/>
      <c r="H353" s="300"/>
      <c r="I353" s="300"/>
      <c r="J353" s="300"/>
      <c r="K353" s="300"/>
      <c r="L353" s="300"/>
      <c r="M353" s="300"/>
      <c r="N353" s="300"/>
      <c r="O353" s="300"/>
      <c r="P353" s="300"/>
      <c r="Q353" s="300"/>
      <c r="R353" s="300"/>
      <c r="S353" s="300"/>
      <c r="T353" s="300"/>
      <c r="U353" s="300"/>
      <c r="V353" s="300"/>
      <c r="W353" s="300"/>
      <c r="X353" s="300"/>
      <c r="Y353" s="300"/>
      <c r="Z353" s="300"/>
      <c r="AA353" s="300"/>
    </row>
    <row r="354" spans="1:27" ht="15.5" x14ac:dyDescent="0.35">
      <c r="A354" s="300"/>
      <c r="B354" s="300"/>
      <c r="C354" s="300"/>
      <c r="D354" s="300"/>
      <c r="E354" s="300"/>
      <c r="F354" s="300"/>
      <c r="G354" s="300"/>
      <c r="H354" s="300"/>
      <c r="I354" s="300"/>
      <c r="J354" s="300"/>
      <c r="K354" s="300"/>
      <c r="L354" s="300"/>
      <c r="M354" s="300"/>
      <c r="N354" s="300"/>
      <c r="O354" s="300"/>
      <c r="P354" s="300"/>
      <c r="Q354" s="300"/>
      <c r="R354" s="300"/>
      <c r="S354" s="300"/>
      <c r="T354" s="300"/>
      <c r="U354" s="300"/>
      <c r="V354" s="300"/>
      <c r="W354" s="300"/>
      <c r="X354" s="300"/>
      <c r="Y354" s="300"/>
      <c r="Z354" s="300"/>
      <c r="AA354" s="300"/>
    </row>
    <row r="355" spans="1:27" ht="15.5" x14ac:dyDescent="0.35">
      <c r="A355" s="300"/>
      <c r="B355" s="300"/>
      <c r="C355" s="300"/>
      <c r="D355" s="300"/>
      <c r="E355" s="300"/>
      <c r="F355" s="300"/>
      <c r="G355" s="300"/>
      <c r="H355" s="300"/>
      <c r="I355" s="300"/>
      <c r="J355" s="300"/>
      <c r="K355" s="300"/>
      <c r="L355" s="300"/>
      <c r="M355" s="300"/>
      <c r="N355" s="300"/>
      <c r="O355" s="300"/>
      <c r="P355" s="300"/>
      <c r="Q355" s="300"/>
      <c r="R355" s="300"/>
      <c r="S355" s="300"/>
      <c r="T355" s="300"/>
      <c r="U355" s="300"/>
      <c r="V355" s="300"/>
      <c r="W355" s="300"/>
      <c r="X355" s="300"/>
      <c r="Y355" s="300"/>
      <c r="Z355" s="300"/>
      <c r="AA355" s="300"/>
    </row>
    <row r="356" spans="1:27" ht="15.5" x14ac:dyDescent="0.35">
      <c r="A356" s="300"/>
      <c r="B356" s="300"/>
      <c r="C356" s="300"/>
      <c r="D356" s="300"/>
      <c r="E356" s="300"/>
      <c r="F356" s="300"/>
      <c r="G356" s="300"/>
      <c r="H356" s="300"/>
      <c r="I356" s="300"/>
      <c r="J356" s="300"/>
      <c r="K356" s="300"/>
      <c r="L356" s="300"/>
      <c r="M356" s="300"/>
      <c r="N356" s="300"/>
      <c r="O356" s="300"/>
      <c r="P356" s="300"/>
      <c r="Q356" s="300"/>
      <c r="R356" s="300"/>
      <c r="S356" s="300"/>
      <c r="T356" s="300"/>
      <c r="U356" s="300"/>
      <c r="V356" s="300"/>
      <c r="W356" s="300"/>
      <c r="X356" s="300"/>
      <c r="Y356" s="300"/>
      <c r="Z356" s="300"/>
      <c r="AA356" s="300"/>
    </row>
    <row r="357" spans="1:27" ht="15.5" x14ac:dyDescent="0.35">
      <c r="A357" s="300"/>
      <c r="B357" s="300"/>
      <c r="C357" s="300"/>
      <c r="D357" s="300"/>
      <c r="E357" s="300"/>
      <c r="F357" s="300"/>
      <c r="G357" s="300"/>
      <c r="H357" s="300"/>
      <c r="I357" s="300"/>
      <c r="J357" s="300"/>
      <c r="K357" s="300"/>
      <c r="L357" s="300"/>
      <c r="M357" s="300"/>
      <c r="N357" s="300"/>
      <c r="O357" s="300"/>
      <c r="P357" s="300"/>
      <c r="Q357" s="300"/>
      <c r="R357" s="300"/>
      <c r="S357" s="300"/>
      <c r="T357" s="300"/>
      <c r="U357" s="300"/>
      <c r="V357" s="300"/>
      <c r="W357" s="300"/>
      <c r="X357" s="300"/>
      <c r="Y357" s="300"/>
      <c r="Z357" s="300"/>
      <c r="AA357" s="300"/>
    </row>
    <row r="358" spans="1:27" ht="15.5" x14ac:dyDescent="0.35">
      <c r="A358" s="300"/>
      <c r="B358" s="300"/>
      <c r="C358" s="300"/>
      <c r="D358" s="300"/>
      <c r="E358" s="300"/>
      <c r="F358" s="300"/>
      <c r="G358" s="300"/>
      <c r="H358" s="300"/>
      <c r="I358" s="300"/>
      <c r="J358" s="300"/>
      <c r="K358" s="300"/>
      <c r="L358" s="300"/>
      <c r="M358" s="300"/>
      <c r="N358" s="300"/>
      <c r="O358" s="300"/>
      <c r="P358" s="300"/>
      <c r="Q358" s="300"/>
      <c r="R358" s="300"/>
      <c r="S358" s="300"/>
      <c r="T358" s="300"/>
      <c r="U358" s="300"/>
      <c r="V358" s="300"/>
      <c r="W358" s="300"/>
      <c r="X358" s="300"/>
      <c r="Y358" s="300"/>
      <c r="Z358" s="300"/>
      <c r="AA358" s="300"/>
    </row>
    <row r="359" spans="1:27" ht="15.5" x14ac:dyDescent="0.35">
      <c r="A359" s="300"/>
      <c r="B359" s="300"/>
      <c r="C359" s="300"/>
      <c r="D359" s="300"/>
      <c r="E359" s="300"/>
      <c r="F359" s="300"/>
      <c r="G359" s="300"/>
      <c r="H359" s="300"/>
      <c r="I359" s="300"/>
      <c r="J359" s="300"/>
      <c r="K359" s="300"/>
      <c r="L359" s="300"/>
      <c r="M359" s="300"/>
      <c r="N359" s="300"/>
      <c r="O359" s="300"/>
      <c r="P359" s="300"/>
      <c r="Q359" s="300"/>
      <c r="R359" s="300"/>
      <c r="S359" s="300"/>
      <c r="T359" s="300"/>
      <c r="U359" s="300"/>
      <c r="V359" s="300"/>
      <c r="W359" s="300"/>
      <c r="X359" s="300"/>
      <c r="Y359" s="300"/>
      <c r="Z359" s="300"/>
      <c r="AA359" s="300"/>
    </row>
    <row r="360" spans="1:27" ht="15.5" x14ac:dyDescent="0.35">
      <c r="A360" s="300"/>
      <c r="B360" s="300"/>
      <c r="C360" s="300"/>
      <c r="D360" s="300"/>
      <c r="E360" s="300"/>
      <c r="F360" s="300"/>
      <c r="G360" s="300"/>
      <c r="H360" s="300"/>
      <c r="I360" s="300"/>
      <c r="J360" s="300"/>
      <c r="K360" s="300"/>
      <c r="L360" s="300"/>
      <c r="M360" s="300"/>
      <c r="N360" s="300"/>
      <c r="O360" s="300"/>
      <c r="P360" s="300"/>
      <c r="Q360" s="300"/>
      <c r="R360" s="300"/>
      <c r="S360" s="300"/>
      <c r="T360" s="300"/>
      <c r="U360" s="300"/>
      <c r="V360" s="300"/>
      <c r="W360" s="300"/>
      <c r="X360" s="300"/>
      <c r="Y360" s="300"/>
      <c r="Z360" s="300"/>
      <c r="AA360" s="300"/>
    </row>
    <row r="361" spans="1:27" ht="15.5" x14ac:dyDescent="0.35">
      <c r="A361" s="300"/>
      <c r="B361" s="300"/>
      <c r="C361" s="300"/>
      <c r="D361" s="300"/>
      <c r="E361" s="300"/>
      <c r="F361" s="300"/>
      <c r="G361" s="300"/>
      <c r="H361" s="300"/>
      <c r="I361" s="300"/>
      <c r="J361" s="300"/>
      <c r="K361" s="300"/>
      <c r="L361" s="300"/>
      <c r="M361" s="300"/>
      <c r="N361" s="300"/>
      <c r="O361" s="300"/>
      <c r="P361" s="300"/>
      <c r="Q361" s="300"/>
      <c r="R361" s="300"/>
      <c r="S361" s="300"/>
      <c r="T361" s="300"/>
      <c r="U361" s="300"/>
      <c r="V361" s="300"/>
      <c r="W361" s="300"/>
      <c r="X361" s="300"/>
      <c r="Y361" s="300"/>
      <c r="Z361" s="300"/>
      <c r="AA361" s="300"/>
    </row>
    <row r="362" spans="1:27" ht="15.5" x14ac:dyDescent="0.35">
      <c r="A362" s="300"/>
      <c r="B362" s="300"/>
      <c r="C362" s="300"/>
      <c r="D362" s="300"/>
      <c r="E362" s="300"/>
      <c r="F362" s="300"/>
      <c r="G362" s="300"/>
      <c r="H362" s="300"/>
      <c r="I362" s="300"/>
      <c r="J362" s="300"/>
      <c r="K362" s="300"/>
      <c r="L362" s="300"/>
      <c r="M362" s="300"/>
      <c r="N362" s="300"/>
      <c r="O362" s="300"/>
      <c r="P362" s="300"/>
      <c r="Q362" s="300"/>
      <c r="R362" s="300"/>
      <c r="S362" s="300"/>
      <c r="T362" s="300"/>
      <c r="U362" s="300"/>
      <c r="V362" s="300"/>
      <c r="W362" s="300"/>
      <c r="X362" s="300"/>
      <c r="Y362" s="300"/>
      <c r="Z362" s="300"/>
      <c r="AA362" s="300"/>
    </row>
    <row r="363" spans="1:27" ht="15.5" x14ac:dyDescent="0.35">
      <c r="A363" s="300"/>
      <c r="B363" s="300"/>
      <c r="C363" s="300"/>
      <c r="D363" s="300"/>
      <c r="E363" s="300"/>
      <c r="F363" s="300"/>
      <c r="G363" s="300"/>
      <c r="H363" s="300"/>
      <c r="I363" s="300"/>
      <c r="J363" s="300"/>
      <c r="K363" s="300"/>
      <c r="L363" s="300"/>
      <c r="M363" s="300"/>
      <c r="N363" s="300"/>
      <c r="O363" s="300"/>
      <c r="P363" s="300"/>
      <c r="Q363" s="300"/>
      <c r="R363" s="300"/>
      <c r="S363" s="300"/>
      <c r="T363" s="300"/>
      <c r="U363" s="300"/>
      <c r="V363" s="300"/>
      <c r="W363" s="300"/>
      <c r="X363" s="300"/>
      <c r="Y363" s="300"/>
      <c r="Z363" s="300"/>
      <c r="AA363" s="300"/>
    </row>
    <row r="364" spans="1:27" ht="15.5" x14ac:dyDescent="0.35">
      <c r="A364" s="300"/>
      <c r="B364" s="300"/>
      <c r="C364" s="300"/>
      <c r="D364" s="300"/>
      <c r="E364" s="300"/>
      <c r="F364" s="300"/>
      <c r="G364" s="300"/>
      <c r="H364" s="300"/>
      <c r="I364" s="300"/>
      <c r="J364" s="300"/>
      <c r="K364" s="300"/>
      <c r="L364" s="300"/>
      <c r="M364" s="300"/>
      <c r="N364" s="300"/>
      <c r="O364" s="300"/>
      <c r="P364" s="300"/>
      <c r="Q364" s="300"/>
      <c r="R364" s="300"/>
      <c r="S364" s="300"/>
      <c r="T364" s="300"/>
      <c r="U364" s="300"/>
      <c r="V364" s="300"/>
      <c r="W364" s="300"/>
      <c r="X364" s="300"/>
      <c r="Y364" s="300"/>
      <c r="Z364" s="300"/>
      <c r="AA364" s="300"/>
    </row>
    <row r="365" spans="1:27" ht="15.5" x14ac:dyDescent="0.35">
      <c r="A365" s="300"/>
      <c r="B365" s="300"/>
      <c r="C365" s="300"/>
      <c r="D365" s="300"/>
      <c r="E365" s="300"/>
      <c r="F365" s="300"/>
      <c r="G365" s="300"/>
      <c r="H365" s="300"/>
      <c r="I365" s="300"/>
      <c r="J365" s="300"/>
      <c r="K365" s="300"/>
      <c r="L365" s="300"/>
      <c r="M365" s="300"/>
      <c r="N365" s="300"/>
      <c r="O365" s="300"/>
      <c r="P365" s="300"/>
      <c r="Q365" s="300"/>
      <c r="R365" s="300"/>
      <c r="S365" s="300"/>
      <c r="T365" s="300"/>
      <c r="U365" s="300"/>
      <c r="V365" s="300"/>
      <c r="W365" s="300"/>
      <c r="X365" s="300"/>
      <c r="Y365" s="300"/>
      <c r="Z365" s="300"/>
      <c r="AA365" s="300"/>
    </row>
    <row r="366" spans="1:27" ht="15.5" x14ac:dyDescent="0.35">
      <c r="A366" s="300"/>
      <c r="B366" s="300"/>
      <c r="C366" s="300"/>
      <c r="D366" s="300"/>
      <c r="E366" s="300"/>
      <c r="F366" s="300"/>
      <c r="G366" s="300"/>
      <c r="H366" s="300"/>
      <c r="I366" s="300"/>
      <c r="J366" s="300"/>
      <c r="K366" s="300"/>
      <c r="L366" s="300"/>
      <c r="M366" s="300"/>
      <c r="N366" s="300"/>
      <c r="O366" s="300"/>
      <c r="P366" s="300"/>
      <c r="Q366" s="300"/>
      <c r="R366" s="300"/>
      <c r="S366" s="300"/>
      <c r="T366" s="300"/>
      <c r="U366" s="300"/>
      <c r="V366" s="300"/>
      <c r="W366" s="300"/>
      <c r="X366" s="300"/>
      <c r="Y366" s="300"/>
      <c r="Z366" s="300"/>
      <c r="AA366" s="300"/>
    </row>
    <row r="367" spans="1:27" ht="15.5" x14ac:dyDescent="0.35">
      <c r="A367" s="300"/>
      <c r="B367" s="300"/>
      <c r="C367" s="300"/>
      <c r="D367" s="300"/>
      <c r="E367" s="300"/>
      <c r="F367" s="300"/>
      <c r="G367" s="300"/>
      <c r="H367" s="300"/>
      <c r="I367" s="300"/>
      <c r="J367" s="300"/>
      <c r="K367" s="300"/>
      <c r="L367" s="300"/>
      <c r="M367" s="300"/>
      <c r="N367" s="300"/>
      <c r="O367" s="300"/>
      <c r="P367" s="300"/>
      <c r="Q367" s="300"/>
      <c r="R367" s="300"/>
      <c r="S367" s="300"/>
      <c r="T367" s="300"/>
      <c r="U367" s="300"/>
      <c r="V367" s="300"/>
      <c r="W367" s="300"/>
      <c r="X367" s="300"/>
      <c r="Y367" s="300"/>
      <c r="Z367" s="300"/>
      <c r="AA367" s="300"/>
    </row>
    <row r="368" spans="1:27" ht="15.5" x14ac:dyDescent="0.35">
      <c r="A368" s="300"/>
      <c r="B368" s="300"/>
      <c r="C368" s="300"/>
      <c r="D368" s="300"/>
      <c r="E368" s="300"/>
      <c r="F368" s="300"/>
      <c r="G368" s="300"/>
      <c r="H368" s="300"/>
      <c r="I368" s="300"/>
      <c r="J368" s="300"/>
      <c r="K368" s="300"/>
      <c r="L368" s="300"/>
      <c r="M368" s="300"/>
      <c r="N368" s="300"/>
      <c r="O368" s="300"/>
      <c r="P368" s="300"/>
      <c r="Q368" s="300"/>
      <c r="R368" s="300"/>
      <c r="S368" s="300"/>
      <c r="T368" s="300"/>
      <c r="U368" s="300"/>
      <c r="V368" s="300"/>
      <c r="W368" s="300"/>
      <c r="X368" s="300"/>
      <c r="Y368" s="300"/>
      <c r="Z368" s="300"/>
      <c r="AA368" s="300"/>
    </row>
    <row r="369" spans="1:27" ht="15.5" x14ac:dyDescent="0.35">
      <c r="A369" s="300"/>
      <c r="B369" s="300"/>
      <c r="C369" s="300"/>
      <c r="D369" s="300"/>
      <c r="E369" s="300"/>
      <c r="F369" s="300"/>
      <c r="G369" s="300"/>
      <c r="H369" s="300"/>
      <c r="I369" s="300"/>
      <c r="J369" s="300"/>
      <c r="K369" s="300"/>
      <c r="L369" s="300"/>
      <c r="M369" s="300"/>
      <c r="N369" s="300"/>
      <c r="O369" s="300"/>
      <c r="P369" s="300"/>
      <c r="Q369" s="300"/>
      <c r="R369" s="300"/>
      <c r="S369" s="300"/>
      <c r="T369" s="300"/>
      <c r="U369" s="300"/>
      <c r="V369" s="300"/>
      <c r="W369" s="300"/>
      <c r="X369" s="300"/>
      <c r="Y369" s="300"/>
      <c r="Z369" s="300"/>
      <c r="AA369" s="300"/>
    </row>
    <row r="370" spans="1:27" ht="15.5" x14ac:dyDescent="0.35">
      <c r="A370" s="300"/>
      <c r="B370" s="300"/>
      <c r="C370" s="300"/>
      <c r="D370" s="300"/>
      <c r="E370" s="300"/>
      <c r="F370" s="300"/>
      <c r="G370" s="300"/>
      <c r="H370" s="300"/>
      <c r="I370" s="300"/>
      <c r="J370" s="300"/>
      <c r="K370" s="300"/>
      <c r="L370" s="300"/>
      <c r="M370" s="300"/>
      <c r="N370" s="300"/>
      <c r="O370" s="300"/>
      <c r="P370" s="300"/>
      <c r="Q370" s="300"/>
      <c r="R370" s="300"/>
      <c r="S370" s="300"/>
      <c r="T370" s="300"/>
      <c r="U370" s="300"/>
      <c r="V370" s="300"/>
      <c r="W370" s="300"/>
      <c r="X370" s="300"/>
      <c r="Y370" s="300"/>
      <c r="Z370" s="300"/>
      <c r="AA370" s="300"/>
    </row>
    <row r="371" spans="1:27" ht="15.5" x14ac:dyDescent="0.35">
      <c r="A371" s="300"/>
      <c r="B371" s="300"/>
      <c r="C371" s="300"/>
      <c r="D371" s="300"/>
      <c r="E371" s="300"/>
      <c r="F371" s="300"/>
      <c r="G371" s="300"/>
      <c r="H371" s="300"/>
      <c r="I371" s="300"/>
      <c r="J371" s="300"/>
      <c r="K371" s="300"/>
      <c r="L371" s="300"/>
      <c r="M371" s="300"/>
      <c r="N371" s="300"/>
      <c r="O371" s="300"/>
      <c r="P371" s="300"/>
      <c r="Q371" s="300"/>
      <c r="R371" s="300"/>
      <c r="S371" s="300"/>
      <c r="T371" s="300"/>
      <c r="U371" s="300"/>
      <c r="V371" s="300"/>
      <c r="W371" s="300"/>
      <c r="X371" s="300"/>
      <c r="Y371" s="300"/>
      <c r="Z371" s="300"/>
      <c r="AA371" s="300"/>
    </row>
    <row r="372" spans="1:27" ht="15.5" x14ac:dyDescent="0.35">
      <c r="A372" s="300"/>
      <c r="B372" s="300"/>
      <c r="C372" s="300"/>
      <c r="D372" s="300"/>
      <c r="E372" s="300"/>
      <c r="F372" s="300"/>
      <c r="G372" s="300"/>
      <c r="H372" s="300"/>
      <c r="I372" s="300"/>
      <c r="J372" s="300"/>
      <c r="K372" s="300"/>
      <c r="L372" s="300"/>
      <c r="M372" s="300"/>
      <c r="N372" s="300"/>
      <c r="O372" s="300"/>
      <c r="P372" s="300"/>
      <c r="Q372" s="300"/>
      <c r="R372" s="300"/>
      <c r="S372" s="300"/>
      <c r="T372" s="300"/>
      <c r="U372" s="300"/>
      <c r="V372" s="300"/>
      <c r="W372" s="300"/>
      <c r="X372" s="300"/>
      <c r="Y372" s="300"/>
      <c r="Z372" s="300"/>
      <c r="AA372" s="300"/>
    </row>
    <row r="373" spans="1:27" ht="15.5" x14ac:dyDescent="0.35">
      <c r="A373" s="300"/>
      <c r="B373" s="300"/>
      <c r="C373" s="300"/>
      <c r="D373" s="300"/>
      <c r="E373" s="300"/>
      <c r="F373" s="300"/>
      <c r="G373" s="300"/>
      <c r="H373" s="300"/>
      <c r="I373" s="300"/>
      <c r="J373" s="300"/>
      <c r="K373" s="300"/>
      <c r="L373" s="300"/>
      <c r="M373" s="300"/>
      <c r="N373" s="300"/>
      <c r="O373" s="300"/>
      <c r="P373" s="300"/>
      <c r="Q373" s="300"/>
      <c r="R373" s="300"/>
      <c r="S373" s="300"/>
      <c r="T373" s="300"/>
      <c r="U373" s="300"/>
      <c r="V373" s="300"/>
      <c r="W373" s="300"/>
      <c r="X373" s="300"/>
      <c r="Y373" s="300"/>
      <c r="Z373" s="300"/>
      <c r="AA373" s="300"/>
    </row>
    <row r="374" spans="1:27" ht="15.5" x14ac:dyDescent="0.35">
      <c r="A374" s="300"/>
      <c r="B374" s="300"/>
      <c r="C374" s="300"/>
      <c r="D374" s="300"/>
      <c r="E374" s="300"/>
      <c r="F374" s="300"/>
      <c r="G374" s="300"/>
      <c r="H374" s="300"/>
      <c r="I374" s="300"/>
      <c r="J374" s="300"/>
      <c r="K374" s="300"/>
      <c r="L374" s="300"/>
      <c r="M374" s="300"/>
      <c r="N374" s="300"/>
      <c r="O374" s="300"/>
      <c r="P374" s="300"/>
      <c r="Q374" s="300"/>
      <c r="R374" s="300"/>
      <c r="S374" s="300"/>
      <c r="T374" s="300"/>
      <c r="U374" s="300"/>
      <c r="V374" s="300"/>
      <c r="W374" s="300"/>
      <c r="X374" s="300"/>
      <c r="Y374" s="300"/>
      <c r="Z374" s="300"/>
      <c r="AA374" s="300"/>
    </row>
    <row r="375" spans="1:27" ht="15.5" x14ac:dyDescent="0.35">
      <c r="A375" s="300"/>
      <c r="B375" s="300"/>
      <c r="C375" s="300"/>
      <c r="D375" s="300"/>
      <c r="E375" s="300"/>
      <c r="F375" s="300"/>
      <c r="G375" s="300"/>
      <c r="H375" s="300"/>
      <c r="I375" s="300"/>
      <c r="J375" s="300"/>
      <c r="K375" s="300"/>
      <c r="L375" s="300"/>
      <c r="M375" s="300"/>
      <c r="N375" s="300"/>
      <c r="O375" s="300"/>
      <c r="P375" s="300"/>
      <c r="Q375" s="300"/>
      <c r="R375" s="300"/>
      <c r="S375" s="300"/>
      <c r="T375" s="300"/>
      <c r="U375" s="300"/>
      <c r="V375" s="300"/>
      <c r="W375" s="300"/>
      <c r="X375" s="300"/>
      <c r="Y375" s="300"/>
      <c r="Z375" s="300"/>
      <c r="AA375" s="300"/>
    </row>
    <row r="376" spans="1:27" ht="15.5" x14ac:dyDescent="0.35">
      <c r="A376" s="300"/>
      <c r="B376" s="300"/>
      <c r="C376" s="300"/>
      <c r="D376" s="300"/>
      <c r="E376" s="300"/>
      <c r="F376" s="300"/>
      <c r="G376" s="300"/>
      <c r="H376" s="300"/>
      <c r="I376" s="300"/>
      <c r="J376" s="300"/>
      <c r="K376" s="300"/>
      <c r="L376" s="300"/>
      <c r="M376" s="300"/>
      <c r="N376" s="300"/>
      <c r="O376" s="300"/>
      <c r="P376" s="300"/>
      <c r="Q376" s="300"/>
      <c r="R376" s="300"/>
      <c r="S376" s="300"/>
      <c r="T376" s="300"/>
      <c r="U376" s="300"/>
      <c r="V376" s="300"/>
      <c r="W376" s="300"/>
      <c r="X376" s="300"/>
      <c r="Y376" s="300"/>
      <c r="Z376" s="300"/>
      <c r="AA376" s="300"/>
    </row>
    <row r="377" spans="1:27" ht="15.5" x14ac:dyDescent="0.35">
      <c r="A377" s="300"/>
      <c r="B377" s="300"/>
      <c r="C377" s="300"/>
      <c r="D377" s="300"/>
      <c r="E377" s="300"/>
      <c r="F377" s="300"/>
      <c r="G377" s="300"/>
      <c r="H377" s="300"/>
      <c r="I377" s="300"/>
      <c r="J377" s="300"/>
      <c r="K377" s="300"/>
      <c r="L377" s="300"/>
      <c r="M377" s="300"/>
      <c r="N377" s="300"/>
      <c r="O377" s="300"/>
      <c r="P377" s="300"/>
      <c r="Q377" s="300"/>
      <c r="R377" s="300"/>
      <c r="S377" s="300"/>
      <c r="T377" s="300"/>
      <c r="U377" s="300"/>
      <c r="V377" s="300"/>
      <c r="W377" s="300"/>
      <c r="X377" s="300"/>
      <c r="Y377" s="300"/>
      <c r="Z377" s="300"/>
      <c r="AA377" s="300"/>
    </row>
    <row r="378" spans="1:27" ht="15.5" x14ac:dyDescent="0.35">
      <c r="A378" s="300"/>
      <c r="B378" s="300"/>
      <c r="C378" s="300"/>
      <c r="D378" s="300"/>
      <c r="E378" s="300"/>
      <c r="F378" s="300"/>
      <c r="G378" s="300"/>
      <c r="H378" s="300"/>
      <c r="I378" s="300"/>
      <c r="J378" s="300"/>
      <c r="K378" s="300"/>
      <c r="L378" s="300"/>
      <c r="M378" s="300"/>
      <c r="N378" s="300"/>
      <c r="O378" s="300"/>
      <c r="P378" s="300"/>
      <c r="Q378" s="300"/>
      <c r="R378" s="300"/>
      <c r="S378" s="300"/>
      <c r="T378" s="300"/>
      <c r="U378" s="300"/>
      <c r="V378" s="300"/>
      <c r="W378" s="300"/>
      <c r="X378" s="300"/>
      <c r="Y378" s="300"/>
      <c r="Z378" s="300"/>
      <c r="AA378" s="300"/>
    </row>
    <row r="379" spans="1:27" ht="15.5" x14ac:dyDescent="0.35">
      <c r="A379" s="300"/>
      <c r="B379" s="300"/>
      <c r="C379" s="300"/>
      <c r="D379" s="300"/>
      <c r="E379" s="300"/>
      <c r="F379" s="300"/>
      <c r="G379" s="300"/>
      <c r="H379" s="300"/>
      <c r="I379" s="300"/>
      <c r="J379" s="300"/>
      <c r="K379" s="300"/>
      <c r="L379" s="300"/>
      <c r="M379" s="300"/>
      <c r="N379" s="300"/>
      <c r="O379" s="300"/>
      <c r="P379" s="300"/>
      <c r="Q379" s="300"/>
      <c r="R379" s="300"/>
      <c r="S379" s="300"/>
      <c r="T379" s="300"/>
      <c r="U379" s="300"/>
      <c r="V379" s="300"/>
      <c r="W379" s="300"/>
      <c r="X379" s="300"/>
      <c r="Y379" s="300"/>
      <c r="Z379" s="300"/>
      <c r="AA379" s="300"/>
    </row>
    <row r="380" spans="1:27" ht="15.5" x14ac:dyDescent="0.35">
      <c r="A380" s="300"/>
      <c r="B380" s="300"/>
      <c r="C380" s="300"/>
      <c r="D380" s="300"/>
      <c r="E380" s="300"/>
      <c r="F380" s="300"/>
      <c r="G380" s="300"/>
      <c r="H380" s="300"/>
      <c r="I380" s="300"/>
      <c r="J380" s="300"/>
      <c r="K380" s="300"/>
      <c r="L380" s="300"/>
      <c r="M380" s="300"/>
      <c r="N380" s="300"/>
      <c r="O380" s="300"/>
      <c r="P380" s="300"/>
      <c r="Q380" s="300"/>
      <c r="R380" s="300"/>
      <c r="S380" s="300"/>
      <c r="T380" s="300"/>
      <c r="U380" s="300"/>
      <c r="V380" s="300"/>
      <c r="W380" s="300"/>
      <c r="X380" s="300"/>
      <c r="Y380" s="300"/>
      <c r="Z380" s="300"/>
      <c r="AA380" s="300"/>
    </row>
    <row r="381" spans="1:27" ht="15.5" x14ac:dyDescent="0.35">
      <c r="A381" s="300"/>
      <c r="B381" s="300"/>
      <c r="C381" s="300"/>
      <c r="D381" s="300"/>
      <c r="E381" s="300"/>
      <c r="F381" s="300"/>
      <c r="G381" s="300"/>
      <c r="H381" s="300"/>
      <c r="I381" s="300"/>
      <c r="J381" s="300"/>
      <c r="K381" s="300"/>
      <c r="L381" s="300"/>
      <c r="M381" s="300"/>
      <c r="N381" s="300"/>
      <c r="O381" s="300"/>
      <c r="P381" s="300"/>
      <c r="Q381" s="300"/>
      <c r="R381" s="300"/>
      <c r="S381" s="300"/>
      <c r="T381" s="300"/>
      <c r="U381" s="300"/>
      <c r="V381" s="300"/>
      <c r="W381" s="300"/>
      <c r="X381" s="300"/>
      <c r="Y381" s="300"/>
      <c r="Z381" s="300"/>
      <c r="AA381" s="300"/>
    </row>
    <row r="382" spans="1:27" ht="15.5" x14ac:dyDescent="0.35">
      <c r="A382" s="300"/>
      <c r="B382" s="300"/>
      <c r="C382" s="300"/>
      <c r="D382" s="300"/>
      <c r="E382" s="300"/>
      <c r="F382" s="300"/>
      <c r="G382" s="300"/>
      <c r="H382" s="300"/>
      <c r="I382" s="300"/>
      <c r="J382" s="300"/>
      <c r="K382" s="300"/>
      <c r="L382" s="300"/>
      <c r="M382" s="300"/>
      <c r="N382" s="300"/>
      <c r="O382" s="300"/>
      <c r="P382" s="300"/>
      <c r="Q382" s="300"/>
      <c r="R382" s="300"/>
      <c r="S382" s="300"/>
      <c r="T382" s="300"/>
      <c r="U382" s="300"/>
      <c r="V382" s="300"/>
      <c r="W382" s="300"/>
      <c r="X382" s="300"/>
      <c r="Y382" s="300"/>
      <c r="Z382" s="300"/>
      <c r="AA382" s="300"/>
    </row>
    <row r="383" spans="1:27" ht="15.5" x14ac:dyDescent="0.35">
      <c r="A383" s="300"/>
      <c r="B383" s="300"/>
      <c r="C383" s="300"/>
      <c r="D383" s="300"/>
      <c r="E383" s="300"/>
      <c r="F383" s="300"/>
      <c r="G383" s="300"/>
      <c r="H383" s="300"/>
      <c r="I383" s="300"/>
      <c r="J383" s="300"/>
      <c r="K383" s="300"/>
      <c r="L383" s="300"/>
      <c r="M383" s="300"/>
      <c r="N383" s="300"/>
      <c r="O383" s="300"/>
      <c r="P383" s="300"/>
      <c r="Q383" s="300"/>
      <c r="R383" s="300"/>
      <c r="S383" s="300"/>
      <c r="T383" s="300"/>
      <c r="U383" s="300"/>
      <c r="V383" s="300"/>
      <c r="W383" s="300"/>
      <c r="X383" s="300"/>
      <c r="Y383" s="300"/>
      <c r="Z383" s="300"/>
      <c r="AA383" s="300"/>
    </row>
    <row r="384" spans="1:27" ht="15.5" x14ac:dyDescent="0.35">
      <c r="A384" s="300"/>
      <c r="B384" s="300"/>
      <c r="C384" s="300"/>
      <c r="D384" s="300"/>
      <c r="E384" s="300"/>
      <c r="F384" s="300"/>
      <c r="G384" s="300"/>
      <c r="H384" s="300"/>
      <c r="I384" s="300"/>
      <c r="J384" s="300"/>
      <c r="K384" s="300"/>
      <c r="L384" s="300"/>
      <c r="M384" s="300"/>
      <c r="N384" s="300"/>
      <c r="O384" s="300"/>
      <c r="P384" s="300"/>
      <c r="Q384" s="300"/>
      <c r="R384" s="300"/>
      <c r="S384" s="300"/>
      <c r="T384" s="300"/>
      <c r="U384" s="300"/>
      <c r="V384" s="300"/>
      <c r="W384" s="300"/>
      <c r="X384" s="300"/>
      <c r="Y384" s="300"/>
      <c r="Z384" s="300"/>
      <c r="AA384" s="300"/>
    </row>
    <row r="385" spans="1:27" ht="15.5" x14ac:dyDescent="0.35">
      <c r="A385" s="300"/>
      <c r="B385" s="300"/>
      <c r="C385" s="300"/>
      <c r="D385" s="300"/>
      <c r="E385" s="300"/>
      <c r="F385" s="300"/>
      <c r="G385" s="300"/>
      <c r="H385" s="300"/>
      <c r="I385" s="300"/>
      <c r="J385" s="300"/>
      <c r="K385" s="300"/>
      <c r="L385" s="300"/>
      <c r="M385" s="300"/>
      <c r="N385" s="300"/>
      <c r="O385" s="300"/>
      <c r="P385" s="300"/>
      <c r="Q385" s="300"/>
      <c r="R385" s="300"/>
      <c r="S385" s="300"/>
      <c r="T385" s="300"/>
      <c r="U385" s="300"/>
      <c r="V385" s="300"/>
      <c r="W385" s="300"/>
      <c r="X385" s="300"/>
      <c r="Y385" s="300"/>
      <c r="Z385" s="300"/>
      <c r="AA385" s="300"/>
    </row>
    <row r="386" spans="1:27" ht="15.5" x14ac:dyDescent="0.35">
      <c r="A386" s="300"/>
      <c r="B386" s="300"/>
      <c r="C386" s="300"/>
      <c r="D386" s="300"/>
      <c r="E386" s="300"/>
      <c r="F386" s="300"/>
      <c r="G386" s="300"/>
      <c r="H386" s="300"/>
      <c r="I386" s="300"/>
      <c r="J386" s="300"/>
      <c r="K386" s="300"/>
      <c r="L386" s="300"/>
      <c r="M386" s="300"/>
      <c r="N386" s="300"/>
      <c r="O386" s="300"/>
      <c r="P386" s="300"/>
      <c r="Q386" s="300"/>
      <c r="R386" s="300"/>
      <c r="S386" s="300"/>
      <c r="T386" s="300"/>
      <c r="U386" s="300"/>
      <c r="V386" s="300"/>
      <c r="W386" s="300"/>
      <c r="X386" s="300"/>
      <c r="Y386" s="300"/>
      <c r="Z386" s="300"/>
      <c r="AA386" s="300"/>
    </row>
    <row r="387" spans="1:27" ht="15.5" x14ac:dyDescent="0.35">
      <c r="A387" s="300"/>
      <c r="B387" s="300"/>
      <c r="C387" s="300"/>
      <c r="D387" s="300"/>
      <c r="E387" s="300"/>
      <c r="F387" s="300"/>
      <c r="G387" s="300"/>
      <c r="H387" s="300"/>
      <c r="I387" s="300"/>
      <c r="J387" s="300"/>
      <c r="K387" s="300"/>
      <c r="L387" s="300"/>
      <c r="M387" s="300"/>
      <c r="N387" s="300"/>
      <c r="O387" s="300"/>
      <c r="P387" s="300"/>
      <c r="Q387" s="300"/>
      <c r="R387" s="300"/>
      <c r="S387" s="300"/>
      <c r="T387" s="300"/>
      <c r="U387" s="300"/>
      <c r="V387" s="300"/>
      <c r="W387" s="300"/>
      <c r="X387" s="300"/>
      <c r="Y387" s="300"/>
      <c r="Z387" s="300"/>
      <c r="AA387" s="300"/>
    </row>
    <row r="388" spans="1:27" ht="15.5" x14ac:dyDescent="0.35">
      <c r="A388" s="300"/>
      <c r="B388" s="300"/>
      <c r="C388" s="300"/>
      <c r="D388" s="300"/>
      <c r="E388" s="300"/>
      <c r="F388" s="300"/>
      <c r="G388" s="300"/>
      <c r="H388" s="300"/>
      <c r="I388" s="300"/>
      <c r="J388" s="300"/>
      <c r="K388" s="300"/>
      <c r="L388" s="300"/>
      <c r="M388" s="300"/>
      <c r="N388" s="300"/>
      <c r="O388" s="300"/>
      <c r="P388" s="300"/>
      <c r="Q388" s="300"/>
      <c r="R388" s="300"/>
      <c r="S388" s="300"/>
      <c r="T388" s="300"/>
      <c r="U388" s="300"/>
      <c r="V388" s="300"/>
      <c r="W388" s="300"/>
      <c r="X388" s="300"/>
      <c r="Y388" s="300"/>
      <c r="Z388" s="300"/>
      <c r="AA388" s="300"/>
    </row>
    <row r="389" spans="1:27" ht="15.5" x14ac:dyDescent="0.35">
      <c r="A389" s="300"/>
      <c r="B389" s="300"/>
      <c r="C389" s="300"/>
      <c r="D389" s="300"/>
      <c r="E389" s="300"/>
      <c r="F389" s="300"/>
      <c r="G389" s="300"/>
      <c r="H389" s="300"/>
      <c r="I389" s="300"/>
      <c r="J389" s="300"/>
      <c r="K389" s="300"/>
      <c r="L389" s="300"/>
      <c r="M389" s="300"/>
      <c r="N389" s="300"/>
      <c r="O389" s="300"/>
      <c r="P389" s="300"/>
      <c r="Q389" s="300"/>
      <c r="R389" s="300"/>
      <c r="S389" s="300"/>
      <c r="T389" s="300"/>
      <c r="U389" s="300"/>
      <c r="V389" s="300"/>
      <c r="W389" s="300"/>
      <c r="X389" s="300"/>
      <c r="Y389" s="300"/>
      <c r="Z389" s="300"/>
      <c r="AA389" s="300"/>
    </row>
    <row r="390" spans="1:27" ht="15.5" x14ac:dyDescent="0.35">
      <c r="A390" s="300"/>
      <c r="B390" s="300"/>
      <c r="C390" s="300"/>
      <c r="D390" s="300"/>
      <c r="E390" s="300"/>
      <c r="F390" s="300"/>
      <c r="G390" s="300"/>
      <c r="H390" s="300"/>
      <c r="I390" s="300"/>
      <c r="J390" s="300"/>
      <c r="K390" s="300"/>
      <c r="L390" s="300"/>
      <c r="M390" s="300"/>
      <c r="N390" s="300"/>
      <c r="O390" s="300"/>
      <c r="P390" s="300"/>
      <c r="Q390" s="300"/>
      <c r="R390" s="300"/>
      <c r="S390" s="300"/>
      <c r="T390" s="300"/>
      <c r="U390" s="300"/>
      <c r="V390" s="300"/>
      <c r="W390" s="300"/>
      <c r="X390" s="300"/>
      <c r="Y390" s="300"/>
      <c r="Z390" s="300"/>
      <c r="AA390" s="300"/>
    </row>
    <row r="391" spans="1:27" ht="15.5" x14ac:dyDescent="0.35">
      <c r="A391" s="300"/>
      <c r="B391" s="300"/>
      <c r="C391" s="300"/>
      <c r="D391" s="300"/>
      <c r="E391" s="300"/>
      <c r="F391" s="300"/>
      <c r="G391" s="300"/>
      <c r="H391" s="300"/>
      <c r="I391" s="300"/>
      <c r="J391" s="300"/>
      <c r="K391" s="300"/>
      <c r="L391" s="300"/>
      <c r="M391" s="300"/>
      <c r="N391" s="300"/>
      <c r="O391" s="300"/>
      <c r="P391" s="300"/>
      <c r="Q391" s="300"/>
      <c r="R391" s="300"/>
      <c r="S391" s="300"/>
      <c r="T391" s="300"/>
      <c r="U391" s="300"/>
      <c r="V391" s="300"/>
      <c r="W391" s="300"/>
      <c r="X391" s="300"/>
      <c r="Y391" s="300"/>
      <c r="Z391" s="300"/>
      <c r="AA391" s="300"/>
    </row>
    <row r="392" spans="1:27" ht="15.5" x14ac:dyDescent="0.35">
      <c r="A392" s="300"/>
      <c r="B392" s="300"/>
      <c r="C392" s="300"/>
      <c r="D392" s="300"/>
      <c r="E392" s="300"/>
      <c r="F392" s="300"/>
      <c r="G392" s="300"/>
      <c r="H392" s="300"/>
      <c r="I392" s="300"/>
      <c r="J392" s="300"/>
      <c r="K392" s="300"/>
      <c r="L392" s="300"/>
      <c r="M392" s="300"/>
      <c r="N392" s="300"/>
      <c r="O392" s="300"/>
      <c r="P392" s="300"/>
      <c r="Q392" s="300"/>
      <c r="R392" s="300"/>
      <c r="S392" s="300"/>
      <c r="T392" s="300"/>
      <c r="U392" s="300"/>
      <c r="V392" s="300"/>
      <c r="W392" s="300"/>
      <c r="X392" s="300"/>
      <c r="Y392" s="300"/>
      <c r="Z392" s="300"/>
      <c r="AA392" s="300"/>
    </row>
    <row r="393" spans="1:27" ht="15.5" x14ac:dyDescent="0.35">
      <c r="A393" s="300"/>
      <c r="B393" s="300"/>
      <c r="C393" s="300"/>
      <c r="D393" s="300"/>
      <c r="E393" s="300"/>
      <c r="F393" s="300"/>
      <c r="G393" s="300"/>
      <c r="H393" s="300"/>
      <c r="I393" s="300"/>
      <c r="J393" s="300"/>
      <c r="K393" s="300"/>
      <c r="L393" s="300"/>
      <c r="M393" s="300"/>
      <c r="N393" s="300"/>
      <c r="O393" s="300"/>
      <c r="P393" s="300"/>
      <c r="Q393" s="300"/>
      <c r="R393" s="300"/>
      <c r="S393" s="300"/>
      <c r="T393" s="300"/>
      <c r="U393" s="300"/>
      <c r="V393" s="300"/>
      <c r="W393" s="300"/>
      <c r="X393" s="300"/>
      <c r="Y393" s="300"/>
      <c r="Z393" s="300"/>
      <c r="AA393" s="300"/>
    </row>
    <row r="394" spans="1:27" ht="15.5" x14ac:dyDescent="0.35">
      <c r="A394" s="300"/>
      <c r="B394" s="300"/>
      <c r="C394" s="300"/>
      <c r="D394" s="300"/>
      <c r="E394" s="300"/>
      <c r="F394" s="300"/>
      <c r="G394" s="300"/>
      <c r="H394" s="300"/>
      <c r="I394" s="300"/>
      <c r="J394" s="300"/>
      <c r="K394" s="300"/>
      <c r="L394" s="300"/>
      <c r="M394" s="300"/>
      <c r="N394" s="300"/>
      <c r="O394" s="300"/>
      <c r="P394" s="300"/>
      <c r="Q394" s="300"/>
      <c r="R394" s="300"/>
      <c r="S394" s="300"/>
      <c r="T394" s="300"/>
      <c r="U394" s="300"/>
      <c r="V394" s="300"/>
      <c r="W394" s="300"/>
      <c r="X394" s="300"/>
      <c r="Y394" s="300"/>
      <c r="Z394" s="300"/>
      <c r="AA394" s="300"/>
    </row>
    <row r="395" spans="1:27" ht="15.5" x14ac:dyDescent="0.35">
      <c r="A395" s="300"/>
      <c r="B395" s="300"/>
      <c r="C395" s="300"/>
      <c r="D395" s="300"/>
      <c r="E395" s="300"/>
      <c r="F395" s="300"/>
      <c r="G395" s="300"/>
      <c r="H395" s="300"/>
      <c r="I395" s="300"/>
      <c r="J395" s="300"/>
      <c r="K395" s="300"/>
      <c r="L395" s="300"/>
      <c r="M395" s="300"/>
      <c r="N395" s="300"/>
      <c r="O395" s="300"/>
      <c r="P395" s="300"/>
      <c r="Q395" s="300"/>
      <c r="R395" s="300"/>
      <c r="S395" s="300"/>
      <c r="T395" s="300"/>
      <c r="U395" s="300"/>
      <c r="V395" s="300"/>
      <c r="W395" s="300"/>
      <c r="X395" s="300"/>
      <c r="Y395" s="300"/>
      <c r="Z395" s="300"/>
      <c r="AA395" s="300"/>
    </row>
    <row r="396" spans="1:27" ht="15.5" x14ac:dyDescent="0.35">
      <c r="A396" s="300"/>
      <c r="B396" s="300"/>
      <c r="C396" s="300"/>
      <c r="D396" s="300"/>
      <c r="E396" s="300"/>
      <c r="F396" s="300"/>
      <c r="G396" s="300"/>
      <c r="H396" s="300"/>
      <c r="I396" s="300"/>
      <c r="J396" s="300"/>
      <c r="K396" s="300"/>
      <c r="L396" s="300"/>
      <c r="M396" s="300"/>
      <c r="N396" s="300"/>
      <c r="O396" s="300"/>
      <c r="P396" s="300"/>
      <c r="Q396" s="300"/>
      <c r="R396" s="300"/>
      <c r="S396" s="300"/>
      <c r="T396" s="300"/>
      <c r="U396" s="300"/>
      <c r="V396" s="300"/>
      <c r="W396" s="300"/>
      <c r="X396" s="300"/>
      <c r="Y396" s="300"/>
      <c r="Z396" s="300"/>
      <c r="AA396" s="300"/>
    </row>
    <row r="397" spans="1:27" ht="15.5" x14ac:dyDescent="0.35">
      <c r="A397" s="300"/>
      <c r="B397" s="300"/>
      <c r="C397" s="300"/>
      <c r="D397" s="300"/>
      <c r="E397" s="300"/>
      <c r="F397" s="300"/>
      <c r="G397" s="300"/>
      <c r="H397" s="300"/>
      <c r="I397" s="300"/>
      <c r="J397" s="300"/>
      <c r="K397" s="300"/>
      <c r="L397" s="300"/>
      <c r="M397" s="300"/>
      <c r="N397" s="300"/>
      <c r="O397" s="300"/>
      <c r="P397" s="300"/>
      <c r="Q397" s="300"/>
      <c r="R397" s="300"/>
      <c r="S397" s="300"/>
      <c r="T397" s="300"/>
      <c r="U397" s="300"/>
      <c r="V397" s="300"/>
      <c r="W397" s="300"/>
      <c r="X397" s="300"/>
      <c r="Y397" s="300"/>
      <c r="Z397" s="300"/>
      <c r="AA397" s="300"/>
    </row>
    <row r="398" spans="1:27" ht="15.5" x14ac:dyDescent="0.35">
      <c r="A398" s="300"/>
      <c r="B398" s="300"/>
      <c r="C398" s="300"/>
      <c r="D398" s="300"/>
      <c r="E398" s="300"/>
      <c r="F398" s="300"/>
      <c r="G398" s="300"/>
      <c r="H398" s="300"/>
      <c r="I398" s="300"/>
      <c r="J398" s="300"/>
      <c r="K398" s="300"/>
      <c r="L398" s="300"/>
      <c r="M398" s="300"/>
      <c r="N398" s="300"/>
      <c r="O398" s="300"/>
      <c r="P398" s="300"/>
      <c r="Q398" s="300"/>
      <c r="R398" s="300"/>
      <c r="S398" s="300"/>
      <c r="T398" s="300"/>
      <c r="U398" s="300"/>
      <c r="V398" s="300"/>
      <c r="W398" s="300"/>
      <c r="X398" s="300"/>
      <c r="Y398" s="300"/>
      <c r="Z398" s="300"/>
      <c r="AA398" s="300"/>
    </row>
    <row r="399" spans="1:27" ht="15.5" x14ac:dyDescent="0.35">
      <c r="A399" s="300"/>
      <c r="B399" s="300"/>
      <c r="C399" s="300"/>
      <c r="D399" s="300"/>
      <c r="E399" s="300"/>
      <c r="F399" s="300"/>
      <c r="G399" s="300"/>
      <c r="H399" s="300"/>
      <c r="I399" s="300"/>
      <c r="J399" s="300"/>
      <c r="K399" s="300"/>
      <c r="L399" s="300"/>
      <c r="M399" s="300"/>
      <c r="N399" s="300"/>
      <c r="O399" s="300"/>
      <c r="P399" s="300"/>
      <c r="Q399" s="300"/>
      <c r="R399" s="300"/>
      <c r="S399" s="300"/>
      <c r="T399" s="300"/>
      <c r="U399" s="300"/>
      <c r="V399" s="300"/>
      <c r="W399" s="300"/>
      <c r="X399" s="300"/>
      <c r="Y399" s="300"/>
      <c r="Z399" s="300"/>
      <c r="AA399" s="300"/>
    </row>
    <row r="400" spans="1:27" ht="15.5" x14ac:dyDescent="0.35">
      <c r="A400" s="300"/>
      <c r="B400" s="300"/>
      <c r="C400" s="300"/>
      <c r="D400" s="300"/>
      <c r="E400" s="300"/>
      <c r="F400" s="300"/>
      <c r="G400" s="300"/>
      <c r="H400" s="300"/>
      <c r="I400" s="300"/>
      <c r="J400" s="300"/>
      <c r="K400" s="300"/>
      <c r="L400" s="300"/>
      <c r="M400" s="300"/>
      <c r="N400" s="300"/>
      <c r="O400" s="300"/>
      <c r="P400" s="300"/>
      <c r="Q400" s="300"/>
      <c r="R400" s="300"/>
      <c r="S400" s="300"/>
      <c r="T400" s="300"/>
      <c r="U400" s="300"/>
      <c r="V400" s="300"/>
      <c r="W400" s="300"/>
      <c r="X400" s="300"/>
      <c r="Y400" s="300"/>
      <c r="Z400" s="300"/>
      <c r="AA400" s="300"/>
    </row>
    <row r="401" spans="1:27" ht="15.5" x14ac:dyDescent="0.35">
      <c r="A401" s="300"/>
      <c r="B401" s="300"/>
      <c r="C401" s="300"/>
      <c r="D401" s="300"/>
      <c r="E401" s="300"/>
      <c r="F401" s="300"/>
      <c r="G401" s="300"/>
      <c r="H401" s="300"/>
      <c r="I401" s="300"/>
      <c r="J401" s="300"/>
      <c r="K401" s="300"/>
      <c r="L401" s="300"/>
      <c r="M401" s="300"/>
      <c r="N401" s="300"/>
      <c r="O401" s="300"/>
      <c r="P401" s="300"/>
      <c r="Q401" s="300"/>
      <c r="R401" s="300"/>
      <c r="S401" s="300"/>
      <c r="T401" s="300"/>
      <c r="U401" s="300"/>
      <c r="V401" s="300"/>
      <c r="W401" s="300"/>
      <c r="X401" s="300"/>
      <c r="Y401" s="300"/>
      <c r="Z401" s="300"/>
      <c r="AA401" s="300"/>
    </row>
    <row r="402" spans="1:27" ht="15.5" x14ac:dyDescent="0.35">
      <c r="A402" s="300"/>
      <c r="B402" s="300"/>
      <c r="C402" s="300"/>
      <c r="D402" s="300"/>
      <c r="E402" s="300"/>
      <c r="F402" s="300"/>
      <c r="G402" s="300"/>
      <c r="H402" s="300"/>
      <c r="I402" s="300"/>
      <c r="J402" s="300"/>
      <c r="K402" s="300"/>
      <c r="L402" s="300"/>
      <c r="M402" s="300"/>
      <c r="N402" s="300"/>
      <c r="O402" s="300"/>
      <c r="P402" s="300"/>
      <c r="Q402" s="300"/>
      <c r="R402" s="300"/>
      <c r="S402" s="300"/>
      <c r="T402" s="300"/>
      <c r="U402" s="300"/>
      <c r="V402" s="300"/>
      <c r="W402" s="300"/>
      <c r="X402" s="300"/>
      <c r="Y402" s="300"/>
      <c r="Z402" s="300"/>
      <c r="AA402" s="300"/>
    </row>
    <row r="403" spans="1:27" ht="15.5" x14ac:dyDescent="0.35">
      <c r="A403" s="300"/>
      <c r="B403" s="300"/>
      <c r="C403" s="300"/>
      <c r="D403" s="300"/>
      <c r="E403" s="300"/>
      <c r="F403" s="300"/>
      <c r="G403" s="300"/>
      <c r="H403" s="300"/>
      <c r="I403" s="300"/>
      <c r="J403" s="300"/>
      <c r="K403" s="300"/>
      <c r="L403" s="300"/>
      <c r="M403" s="300"/>
      <c r="N403" s="300"/>
      <c r="O403" s="300"/>
      <c r="P403" s="300"/>
      <c r="Q403" s="300"/>
      <c r="R403" s="300"/>
      <c r="S403" s="300"/>
      <c r="T403" s="300"/>
      <c r="U403" s="300"/>
      <c r="V403" s="300"/>
      <c r="W403" s="300"/>
      <c r="X403" s="300"/>
      <c r="Y403" s="300"/>
      <c r="Z403" s="300"/>
      <c r="AA403" s="300"/>
    </row>
    <row r="404" spans="1:27" ht="15.5" x14ac:dyDescent="0.35">
      <c r="A404" s="300"/>
      <c r="B404" s="300"/>
      <c r="C404" s="300"/>
      <c r="D404" s="300"/>
      <c r="E404" s="300"/>
      <c r="F404" s="300"/>
      <c r="G404" s="300"/>
      <c r="H404" s="300"/>
      <c r="I404" s="300"/>
      <c r="J404" s="300"/>
      <c r="K404" s="300"/>
      <c r="L404" s="300"/>
      <c r="M404" s="300"/>
      <c r="N404" s="300"/>
      <c r="O404" s="300"/>
      <c r="P404" s="300"/>
      <c r="Q404" s="300"/>
      <c r="R404" s="300"/>
      <c r="S404" s="300"/>
      <c r="T404" s="300"/>
      <c r="U404" s="300"/>
      <c r="V404" s="300"/>
      <c r="W404" s="300"/>
      <c r="X404" s="300"/>
      <c r="Y404" s="300"/>
      <c r="Z404" s="300"/>
      <c r="AA404" s="300"/>
    </row>
    <row r="405" spans="1:27" ht="15.5" x14ac:dyDescent="0.35">
      <c r="A405" s="300"/>
      <c r="B405" s="300"/>
      <c r="C405" s="300"/>
      <c r="D405" s="300"/>
      <c r="E405" s="300"/>
      <c r="F405" s="300"/>
      <c r="G405" s="300"/>
      <c r="H405" s="300"/>
      <c r="I405" s="300"/>
      <c r="J405" s="300"/>
      <c r="K405" s="300"/>
      <c r="L405" s="300"/>
      <c r="M405" s="300"/>
      <c r="N405" s="300"/>
      <c r="O405" s="300"/>
      <c r="P405" s="300"/>
      <c r="Q405" s="300"/>
      <c r="R405" s="300"/>
      <c r="S405" s="300"/>
      <c r="T405" s="300"/>
      <c r="U405" s="300"/>
      <c r="V405" s="300"/>
      <c r="W405" s="300"/>
      <c r="X405" s="300"/>
      <c r="Y405" s="300"/>
      <c r="Z405" s="300"/>
      <c r="AA405" s="300"/>
    </row>
    <row r="406" spans="1:27" ht="15.5" x14ac:dyDescent="0.35">
      <c r="A406" s="300"/>
      <c r="B406" s="300"/>
      <c r="C406" s="300"/>
      <c r="D406" s="300"/>
      <c r="E406" s="300"/>
      <c r="F406" s="300"/>
      <c r="G406" s="300"/>
      <c r="H406" s="300"/>
      <c r="I406" s="300"/>
      <c r="J406" s="300"/>
      <c r="K406" s="300"/>
      <c r="L406" s="300"/>
      <c r="M406" s="300"/>
      <c r="N406" s="300"/>
      <c r="O406" s="300"/>
      <c r="P406" s="300"/>
      <c r="Q406" s="300"/>
      <c r="R406" s="300"/>
      <c r="S406" s="300"/>
      <c r="T406" s="300"/>
      <c r="U406" s="300"/>
      <c r="V406" s="300"/>
      <c r="W406" s="300"/>
      <c r="X406" s="300"/>
      <c r="Y406" s="300"/>
      <c r="Z406" s="300"/>
      <c r="AA406" s="300"/>
    </row>
    <row r="407" spans="1:27" ht="15.5" x14ac:dyDescent="0.35">
      <c r="A407" s="300"/>
      <c r="B407" s="300"/>
      <c r="C407" s="300"/>
      <c r="D407" s="300"/>
      <c r="E407" s="300"/>
      <c r="F407" s="300"/>
      <c r="G407" s="300"/>
      <c r="H407" s="300"/>
      <c r="I407" s="300"/>
      <c r="J407" s="300"/>
      <c r="K407" s="300"/>
      <c r="L407" s="300"/>
      <c r="M407" s="300"/>
      <c r="N407" s="300"/>
      <c r="O407" s="300"/>
      <c r="P407" s="300"/>
      <c r="Q407" s="300"/>
      <c r="R407" s="300"/>
      <c r="S407" s="300"/>
      <c r="T407" s="300"/>
      <c r="U407" s="300"/>
      <c r="V407" s="300"/>
      <c r="W407" s="300"/>
      <c r="X407" s="300"/>
      <c r="Y407" s="300"/>
      <c r="Z407" s="300"/>
      <c r="AA407" s="300"/>
    </row>
    <row r="408" spans="1:27" ht="15.5" x14ac:dyDescent="0.35">
      <c r="A408" s="300"/>
      <c r="B408" s="300"/>
      <c r="C408" s="300"/>
      <c r="D408" s="300"/>
      <c r="E408" s="300"/>
      <c r="F408" s="300"/>
      <c r="G408" s="300"/>
      <c r="H408" s="300"/>
      <c r="I408" s="300"/>
      <c r="J408" s="300"/>
      <c r="K408" s="300"/>
      <c r="L408" s="300"/>
      <c r="M408" s="300"/>
      <c r="N408" s="300"/>
      <c r="O408" s="300"/>
      <c r="P408" s="300"/>
      <c r="Q408" s="300"/>
      <c r="R408" s="300"/>
      <c r="S408" s="300"/>
      <c r="T408" s="300"/>
      <c r="U408" s="300"/>
      <c r="V408" s="300"/>
      <c r="W408" s="300"/>
      <c r="X408" s="300"/>
      <c r="Y408" s="300"/>
      <c r="Z408" s="300"/>
      <c r="AA408" s="300"/>
    </row>
    <row r="409" spans="1:27" ht="15.5" x14ac:dyDescent="0.35">
      <c r="A409" s="300"/>
      <c r="B409" s="300"/>
      <c r="C409" s="300"/>
      <c r="D409" s="300"/>
      <c r="E409" s="300"/>
      <c r="F409" s="300"/>
      <c r="G409" s="300"/>
      <c r="H409" s="300"/>
      <c r="I409" s="300"/>
      <c r="J409" s="300"/>
      <c r="K409" s="300"/>
      <c r="L409" s="300"/>
      <c r="M409" s="300"/>
      <c r="N409" s="300"/>
      <c r="O409" s="300"/>
      <c r="P409" s="300"/>
      <c r="Q409" s="300"/>
      <c r="R409" s="300"/>
      <c r="S409" s="300"/>
      <c r="T409" s="300"/>
      <c r="U409" s="300"/>
      <c r="V409" s="300"/>
      <c r="W409" s="300"/>
      <c r="X409" s="300"/>
      <c r="Y409" s="300"/>
      <c r="Z409" s="300"/>
      <c r="AA409" s="300"/>
    </row>
    <row r="410" spans="1:27" ht="15.5" x14ac:dyDescent="0.35">
      <c r="A410" s="300"/>
      <c r="B410" s="300"/>
      <c r="C410" s="300"/>
      <c r="D410" s="300"/>
      <c r="E410" s="300"/>
      <c r="F410" s="300"/>
      <c r="G410" s="300"/>
      <c r="H410" s="300"/>
      <c r="I410" s="300"/>
      <c r="J410" s="300"/>
      <c r="K410" s="300"/>
      <c r="L410" s="300"/>
      <c r="M410" s="300"/>
      <c r="N410" s="300"/>
      <c r="O410" s="300"/>
      <c r="P410" s="300"/>
      <c r="Q410" s="300"/>
      <c r="R410" s="300"/>
      <c r="S410" s="300"/>
      <c r="T410" s="300"/>
      <c r="U410" s="300"/>
      <c r="V410" s="300"/>
      <c r="W410" s="300"/>
      <c r="X410" s="300"/>
      <c r="Y410" s="300"/>
      <c r="Z410" s="300"/>
      <c r="AA410" s="300"/>
    </row>
    <row r="411" spans="1:27" ht="15.5" x14ac:dyDescent="0.35">
      <c r="A411" s="300"/>
      <c r="B411" s="300"/>
      <c r="C411" s="300"/>
      <c r="D411" s="300"/>
      <c r="E411" s="300"/>
      <c r="F411" s="300"/>
      <c r="G411" s="300"/>
      <c r="H411" s="300"/>
      <c r="I411" s="300"/>
      <c r="J411" s="300"/>
      <c r="K411" s="300"/>
      <c r="L411" s="300"/>
      <c r="M411" s="300"/>
      <c r="N411" s="300"/>
      <c r="O411" s="300"/>
      <c r="P411" s="300"/>
      <c r="Q411" s="300"/>
      <c r="R411" s="300"/>
      <c r="S411" s="300"/>
      <c r="T411" s="300"/>
      <c r="U411" s="300"/>
      <c r="V411" s="300"/>
      <c r="W411" s="300"/>
      <c r="X411" s="300"/>
      <c r="Y411" s="300"/>
      <c r="Z411" s="300"/>
      <c r="AA411" s="300"/>
    </row>
    <row r="412" spans="1:27" ht="15.5" x14ac:dyDescent="0.35">
      <c r="A412" s="300"/>
      <c r="B412" s="300"/>
      <c r="C412" s="300"/>
      <c r="D412" s="300"/>
      <c r="E412" s="300"/>
      <c r="F412" s="300"/>
      <c r="G412" s="300"/>
      <c r="H412" s="300"/>
      <c r="I412" s="300"/>
      <c r="J412" s="300"/>
      <c r="K412" s="300"/>
      <c r="L412" s="300"/>
      <c r="M412" s="300"/>
      <c r="N412" s="300"/>
      <c r="O412" s="300"/>
      <c r="P412" s="300"/>
      <c r="Q412" s="300"/>
      <c r="R412" s="300"/>
      <c r="S412" s="300"/>
      <c r="T412" s="300"/>
      <c r="U412" s="300"/>
      <c r="V412" s="300"/>
      <c r="W412" s="300"/>
      <c r="X412" s="300"/>
      <c r="Y412" s="300"/>
      <c r="Z412" s="300"/>
      <c r="AA412" s="300"/>
    </row>
    <row r="413" spans="1:27" ht="15.5" x14ac:dyDescent="0.35">
      <c r="A413" s="300"/>
      <c r="B413" s="300"/>
      <c r="C413" s="300"/>
      <c r="D413" s="300"/>
      <c r="E413" s="300"/>
      <c r="F413" s="300"/>
      <c r="G413" s="300"/>
      <c r="H413" s="300"/>
      <c r="I413" s="300"/>
      <c r="J413" s="300"/>
      <c r="K413" s="300"/>
      <c r="L413" s="300"/>
      <c r="M413" s="300"/>
      <c r="N413" s="300"/>
      <c r="O413" s="300"/>
      <c r="P413" s="300"/>
      <c r="Q413" s="300"/>
      <c r="R413" s="300"/>
      <c r="S413" s="300"/>
      <c r="T413" s="300"/>
      <c r="U413" s="300"/>
      <c r="V413" s="300"/>
      <c r="W413" s="300"/>
      <c r="X413" s="300"/>
      <c r="Y413" s="300"/>
      <c r="Z413" s="300"/>
      <c r="AA413" s="300"/>
    </row>
    <row r="414" spans="1:27" ht="15.5" x14ac:dyDescent="0.35">
      <c r="A414" s="300"/>
      <c r="B414" s="300"/>
      <c r="C414" s="300"/>
      <c r="D414" s="300"/>
      <c r="E414" s="300"/>
      <c r="F414" s="300"/>
      <c r="G414" s="300"/>
      <c r="H414" s="300"/>
      <c r="I414" s="300"/>
      <c r="J414" s="300"/>
      <c r="K414" s="300"/>
      <c r="L414" s="300"/>
      <c r="M414" s="300"/>
      <c r="N414" s="300"/>
      <c r="O414" s="300"/>
      <c r="P414" s="300"/>
      <c r="Q414" s="300"/>
      <c r="R414" s="300"/>
      <c r="S414" s="300"/>
      <c r="T414" s="300"/>
      <c r="U414" s="300"/>
      <c r="V414" s="300"/>
      <c r="W414" s="300"/>
      <c r="X414" s="300"/>
      <c r="Y414" s="300"/>
      <c r="Z414" s="300"/>
      <c r="AA414" s="300"/>
    </row>
    <row r="415" spans="1:27" ht="15.5" x14ac:dyDescent="0.35">
      <c r="A415" s="300"/>
      <c r="B415" s="300"/>
      <c r="C415" s="300"/>
      <c r="D415" s="300"/>
      <c r="E415" s="300"/>
      <c r="F415" s="300"/>
      <c r="G415" s="300"/>
      <c r="H415" s="300"/>
      <c r="I415" s="300"/>
      <c r="J415" s="300"/>
      <c r="K415" s="300"/>
      <c r="L415" s="300"/>
      <c r="M415" s="300"/>
      <c r="N415" s="300"/>
      <c r="O415" s="300"/>
      <c r="P415" s="300"/>
      <c r="Q415" s="300"/>
      <c r="R415" s="300"/>
      <c r="S415" s="300"/>
      <c r="T415" s="300"/>
      <c r="U415" s="300"/>
      <c r="V415" s="300"/>
      <c r="W415" s="300"/>
      <c r="X415" s="300"/>
      <c r="Y415" s="300"/>
      <c r="Z415" s="300"/>
      <c r="AA415" s="300"/>
    </row>
    <row r="416" spans="1:27" ht="15.5" x14ac:dyDescent="0.35">
      <c r="A416" s="300"/>
      <c r="B416" s="300"/>
      <c r="C416" s="300"/>
      <c r="D416" s="300"/>
      <c r="E416" s="300"/>
      <c r="F416" s="300"/>
      <c r="G416" s="300"/>
      <c r="H416" s="300"/>
      <c r="I416" s="300"/>
      <c r="J416" s="300"/>
      <c r="K416" s="300"/>
      <c r="L416" s="300"/>
      <c r="M416" s="300"/>
      <c r="N416" s="300"/>
      <c r="O416" s="300"/>
      <c r="P416" s="300"/>
      <c r="Q416" s="300"/>
      <c r="R416" s="300"/>
      <c r="S416" s="300"/>
      <c r="T416" s="300"/>
      <c r="U416" s="300"/>
      <c r="V416" s="300"/>
      <c r="W416" s="300"/>
      <c r="X416" s="300"/>
      <c r="Y416" s="300"/>
      <c r="Z416" s="300"/>
      <c r="AA416" s="300"/>
    </row>
    <row r="417" spans="1:27" ht="15.5" x14ac:dyDescent="0.35">
      <c r="A417" s="300"/>
      <c r="B417" s="300"/>
      <c r="C417" s="300"/>
      <c r="D417" s="300"/>
      <c r="E417" s="300"/>
      <c r="F417" s="300"/>
      <c r="G417" s="300"/>
      <c r="H417" s="300"/>
      <c r="I417" s="300"/>
      <c r="J417" s="300"/>
      <c r="K417" s="300"/>
      <c r="L417" s="300"/>
      <c r="M417" s="300"/>
      <c r="N417" s="300"/>
      <c r="O417" s="300"/>
      <c r="P417" s="300"/>
      <c r="Q417" s="300"/>
      <c r="R417" s="300"/>
      <c r="S417" s="300"/>
      <c r="T417" s="300"/>
      <c r="U417" s="300"/>
      <c r="V417" s="300"/>
      <c r="W417" s="300"/>
      <c r="X417" s="300"/>
      <c r="Y417" s="300"/>
      <c r="Z417" s="300"/>
      <c r="AA417" s="300"/>
    </row>
    <row r="418" spans="1:27" ht="15.5" x14ac:dyDescent="0.35">
      <c r="A418" s="300"/>
      <c r="B418" s="300"/>
      <c r="C418" s="300"/>
      <c r="D418" s="300"/>
      <c r="E418" s="300"/>
      <c r="F418" s="300"/>
      <c r="G418" s="300"/>
      <c r="H418" s="300"/>
      <c r="I418" s="300"/>
      <c r="J418" s="300"/>
      <c r="K418" s="300"/>
      <c r="L418" s="300"/>
      <c r="M418" s="300"/>
      <c r="N418" s="300"/>
      <c r="O418" s="300"/>
      <c r="P418" s="300"/>
      <c r="Q418" s="300"/>
      <c r="R418" s="300"/>
      <c r="S418" s="300"/>
      <c r="T418" s="300"/>
      <c r="U418" s="300"/>
      <c r="V418" s="300"/>
      <c r="W418" s="300"/>
      <c r="X418" s="300"/>
      <c r="Y418" s="300"/>
      <c r="Z418" s="300"/>
      <c r="AA418" s="300"/>
    </row>
    <row r="419" spans="1:27" ht="15.5" x14ac:dyDescent="0.35">
      <c r="A419" s="300"/>
      <c r="B419" s="300"/>
      <c r="C419" s="300"/>
      <c r="D419" s="300"/>
      <c r="E419" s="300"/>
      <c r="F419" s="300"/>
      <c r="G419" s="300"/>
      <c r="H419" s="300"/>
      <c r="I419" s="300"/>
      <c r="J419" s="300"/>
      <c r="K419" s="300"/>
      <c r="L419" s="300"/>
      <c r="M419" s="300"/>
      <c r="N419" s="300"/>
      <c r="O419" s="300"/>
      <c r="P419" s="300"/>
      <c r="Q419" s="300"/>
      <c r="R419" s="300"/>
      <c r="S419" s="300"/>
      <c r="T419" s="300"/>
      <c r="U419" s="300"/>
      <c r="V419" s="300"/>
      <c r="W419" s="300"/>
      <c r="X419" s="300"/>
      <c r="Y419" s="300"/>
      <c r="Z419" s="300"/>
      <c r="AA419" s="300"/>
    </row>
    <row r="420" spans="1:27" ht="15.5" x14ac:dyDescent="0.35">
      <c r="A420" s="300"/>
      <c r="B420" s="300"/>
      <c r="C420" s="300"/>
      <c r="D420" s="300"/>
      <c r="E420" s="300"/>
      <c r="F420" s="300"/>
      <c r="G420" s="300"/>
      <c r="H420" s="300"/>
      <c r="I420" s="300"/>
      <c r="J420" s="300"/>
      <c r="K420" s="300"/>
      <c r="L420" s="300"/>
      <c r="M420" s="300"/>
      <c r="N420" s="300"/>
      <c r="O420" s="300"/>
      <c r="P420" s="300"/>
      <c r="Q420" s="300"/>
      <c r="R420" s="300"/>
      <c r="S420" s="300"/>
      <c r="T420" s="300"/>
      <c r="U420" s="300"/>
      <c r="V420" s="300"/>
      <c r="W420" s="300"/>
      <c r="X420" s="300"/>
      <c r="Y420" s="300"/>
      <c r="Z420" s="300"/>
      <c r="AA420" s="300"/>
    </row>
    <row r="421" spans="1:27" ht="15.5" x14ac:dyDescent="0.35">
      <c r="A421" s="300"/>
      <c r="B421" s="300"/>
      <c r="C421" s="300"/>
      <c r="D421" s="300"/>
      <c r="E421" s="300"/>
      <c r="F421" s="300"/>
      <c r="G421" s="300"/>
      <c r="H421" s="300"/>
      <c r="I421" s="300"/>
      <c r="J421" s="300"/>
      <c r="K421" s="300"/>
      <c r="L421" s="300"/>
      <c r="M421" s="300"/>
      <c r="N421" s="300"/>
      <c r="O421" s="300"/>
      <c r="P421" s="300"/>
      <c r="Q421" s="300"/>
      <c r="R421" s="300"/>
      <c r="S421" s="300"/>
      <c r="T421" s="300"/>
      <c r="U421" s="300"/>
      <c r="V421" s="300"/>
      <c r="W421" s="300"/>
      <c r="X421" s="300"/>
      <c r="Y421" s="300"/>
      <c r="Z421" s="300"/>
      <c r="AA421" s="300"/>
    </row>
    <row r="422" spans="1:27" ht="15.5" x14ac:dyDescent="0.35">
      <c r="A422" s="300"/>
      <c r="B422" s="300"/>
      <c r="C422" s="300"/>
      <c r="D422" s="300"/>
      <c r="E422" s="300"/>
      <c r="F422" s="300"/>
      <c r="G422" s="300"/>
      <c r="H422" s="300"/>
      <c r="I422" s="300"/>
      <c r="J422" s="300"/>
      <c r="K422" s="300"/>
      <c r="L422" s="300"/>
      <c r="M422" s="300"/>
      <c r="N422" s="300"/>
      <c r="O422" s="300"/>
      <c r="P422" s="300"/>
      <c r="Q422" s="300"/>
      <c r="R422" s="300"/>
      <c r="S422" s="300"/>
      <c r="T422" s="300"/>
      <c r="U422" s="300"/>
      <c r="V422" s="300"/>
      <c r="W422" s="300"/>
      <c r="X422" s="300"/>
      <c r="Y422" s="300"/>
      <c r="Z422" s="300"/>
      <c r="AA422" s="300"/>
    </row>
    <row r="423" spans="1:27" ht="15.5" x14ac:dyDescent="0.35">
      <c r="A423" s="300"/>
      <c r="B423" s="300"/>
      <c r="C423" s="300"/>
      <c r="D423" s="300"/>
      <c r="E423" s="300"/>
      <c r="F423" s="300"/>
      <c r="G423" s="300"/>
      <c r="H423" s="300"/>
      <c r="I423" s="300"/>
      <c r="J423" s="300"/>
      <c r="K423" s="300"/>
      <c r="L423" s="300"/>
      <c r="M423" s="300"/>
      <c r="N423" s="300"/>
      <c r="O423" s="300"/>
      <c r="P423" s="300"/>
      <c r="Q423" s="300"/>
      <c r="R423" s="300"/>
      <c r="S423" s="300"/>
      <c r="T423" s="300"/>
      <c r="U423" s="300"/>
      <c r="V423" s="300"/>
      <c r="W423" s="300"/>
      <c r="X423" s="300"/>
      <c r="Y423" s="300"/>
      <c r="Z423" s="300"/>
      <c r="AA423" s="300"/>
    </row>
    <row r="424" spans="1:27" ht="15.5" x14ac:dyDescent="0.35">
      <c r="A424" s="300"/>
      <c r="B424" s="300"/>
      <c r="C424" s="300"/>
      <c r="D424" s="300"/>
      <c r="E424" s="300"/>
      <c r="F424" s="300"/>
      <c r="G424" s="300"/>
      <c r="H424" s="300"/>
      <c r="I424" s="300"/>
      <c r="J424" s="300"/>
      <c r="K424" s="300"/>
      <c r="L424" s="300"/>
      <c r="M424" s="300"/>
      <c r="N424" s="300"/>
      <c r="O424" s="300"/>
      <c r="P424" s="300"/>
      <c r="Q424" s="300"/>
      <c r="R424" s="300"/>
      <c r="S424" s="300"/>
      <c r="T424" s="300"/>
      <c r="U424" s="300"/>
      <c r="V424" s="300"/>
      <c r="W424" s="300"/>
      <c r="X424" s="300"/>
      <c r="Y424" s="300"/>
      <c r="Z424" s="300"/>
      <c r="AA424" s="300"/>
    </row>
    <row r="425" spans="1:27" ht="15.5" x14ac:dyDescent="0.35">
      <c r="A425" s="300"/>
      <c r="B425" s="300"/>
      <c r="C425" s="300"/>
      <c r="D425" s="300"/>
      <c r="E425" s="300"/>
      <c r="F425" s="300"/>
      <c r="G425" s="300"/>
      <c r="H425" s="300"/>
      <c r="I425" s="300"/>
      <c r="J425" s="300"/>
      <c r="K425" s="300"/>
      <c r="L425" s="300"/>
      <c r="M425" s="300"/>
      <c r="N425" s="300"/>
      <c r="O425" s="300"/>
      <c r="P425" s="300"/>
      <c r="Q425" s="300"/>
      <c r="R425" s="300"/>
      <c r="S425" s="300"/>
      <c r="T425" s="300"/>
      <c r="U425" s="300"/>
      <c r="V425" s="300"/>
      <c r="W425" s="300"/>
      <c r="X425" s="300"/>
      <c r="Y425" s="300"/>
      <c r="Z425" s="300"/>
      <c r="AA425" s="300"/>
    </row>
    <row r="426" spans="1:27" ht="15.5" x14ac:dyDescent="0.35">
      <c r="A426" s="300"/>
      <c r="B426" s="300"/>
      <c r="C426" s="300"/>
      <c r="D426" s="300"/>
      <c r="E426" s="300"/>
      <c r="F426" s="300"/>
      <c r="G426" s="300"/>
      <c r="H426" s="300"/>
      <c r="I426" s="300"/>
      <c r="J426" s="300"/>
      <c r="K426" s="300"/>
      <c r="L426" s="300"/>
      <c r="M426" s="300"/>
      <c r="N426" s="300"/>
      <c r="O426" s="300"/>
      <c r="P426" s="300"/>
      <c r="Q426" s="300"/>
      <c r="R426" s="300"/>
      <c r="S426" s="300"/>
      <c r="T426" s="300"/>
      <c r="U426" s="300"/>
      <c r="V426" s="300"/>
      <c r="W426" s="300"/>
      <c r="X426" s="300"/>
      <c r="Y426" s="300"/>
      <c r="Z426" s="300"/>
      <c r="AA426" s="300"/>
    </row>
    <row r="427" spans="1:27" ht="15.5" x14ac:dyDescent="0.35">
      <c r="A427" s="300"/>
      <c r="B427" s="300"/>
      <c r="C427" s="300"/>
      <c r="D427" s="300"/>
      <c r="E427" s="300"/>
      <c r="F427" s="300"/>
      <c r="G427" s="300"/>
      <c r="H427" s="300"/>
      <c r="I427" s="300"/>
      <c r="J427" s="300"/>
      <c r="K427" s="300"/>
      <c r="L427" s="300"/>
      <c r="M427" s="300"/>
      <c r="N427" s="300"/>
      <c r="O427" s="300"/>
      <c r="P427" s="300"/>
      <c r="Q427" s="300"/>
      <c r="R427" s="300"/>
      <c r="S427" s="300"/>
      <c r="T427" s="300"/>
      <c r="U427" s="300"/>
      <c r="V427" s="300"/>
      <c r="W427" s="300"/>
      <c r="X427" s="300"/>
      <c r="Y427" s="300"/>
      <c r="Z427" s="300"/>
      <c r="AA427" s="300"/>
    </row>
    <row r="428" spans="1:27" ht="15.5" x14ac:dyDescent="0.35">
      <c r="A428" s="300"/>
      <c r="B428" s="300"/>
      <c r="C428" s="300"/>
      <c r="D428" s="300"/>
      <c r="E428" s="300"/>
      <c r="F428" s="300"/>
      <c r="G428" s="300"/>
      <c r="H428" s="300"/>
      <c r="I428" s="300"/>
      <c r="J428" s="300"/>
      <c r="K428" s="300"/>
      <c r="L428" s="300"/>
      <c r="M428" s="300"/>
      <c r="N428" s="300"/>
      <c r="O428" s="300"/>
      <c r="P428" s="300"/>
      <c r="Q428" s="300"/>
      <c r="R428" s="300"/>
      <c r="S428" s="300"/>
      <c r="T428" s="300"/>
      <c r="U428" s="300"/>
      <c r="V428" s="300"/>
      <c r="W428" s="300"/>
      <c r="X428" s="300"/>
      <c r="Y428" s="300"/>
      <c r="Z428" s="300"/>
      <c r="AA428" s="300"/>
    </row>
    <row r="429" spans="1:27" ht="15.5" x14ac:dyDescent="0.35">
      <c r="A429" s="300"/>
      <c r="B429" s="300"/>
      <c r="C429" s="300"/>
      <c r="D429" s="300"/>
      <c r="E429" s="300"/>
      <c r="F429" s="300"/>
      <c r="G429" s="300"/>
      <c r="H429" s="300"/>
      <c r="I429" s="300"/>
      <c r="J429" s="300"/>
      <c r="K429" s="300"/>
      <c r="L429" s="300"/>
      <c r="M429" s="300"/>
      <c r="N429" s="300"/>
      <c r="O429" s="300"/>
      <c r="P429" s="300"/>
      <c r="Q429" s="300"/>
      <c r="R429" s="300"/>
      <c r="S429" s="300"/>
      <c r="T429" s="300"/>
      <c r="U429" s="300"/>
      <c r="V429" s="300"/>
      <c r="W429" s="300"/>
      <c r="X429" s="300"/>
      <c r="Y429" s="300"/>
      <c r="Z429" s="300"/>
      <c r="AA429" s="300"/>
    </row>
    <row r="430" spans="1:27" ht="15.5" x14ac:dyDescent="0.35">
      <c r="A430" s="300"/>
      <c r="B430" s="300"/>
      <c r="C430" s="300"/>
      <c r="D430" s="300"/>
      <c r="E430" s="300"/>
      <c r="F430" s="300"/>
      <c r="G430" s="300"/>
      <c r="H430" s="300"/>
      <c r="I430" s="300"/>
      <c r="J430" s="300"/>
      <c r="K430" s="300"/>
      <c r="L430" s="300"/>
      <c r="M430" s="300"/>
      <c r="N430" s="300"/>
      <c r="O430" s="300"/>
      <c r="P430" s="300"/>
      <c r="Q430" s="300"/>
      <c r="R430" s="300"/>
      <c r="S430" s="300"/>
      <c r="T430" s="300"/>
      <c r="U430" s="300"/>
      <c r="V430" s="300"/>
      <c r="W430" s="300"/>
      <c r="X430" s="300"/>
      <c r="Y430" s="300"/>
      <c r="Z430" s="300"/>
      <c r="AA430" s="300"/>
    </row>
    <row r="431" spans="1:27" ht="15.5" x14ac:dyDescent="0.35">
      <c r="A431" s="300"/>
      <c r="B431" s="300"/>
      <c r="C431" s="300"/>
      <c r="D431" s="300"/>
      <c r="E431" s="300"/>
      <c r="F431" s="300"/>
      <c r="G431" s="300"/>
      <c r="H431" s="300"/>
      <c r="I431" s="300"/>
      <c r="J431" s="300"/>
      <c r="K431" s="300"/>
      <c r="L431" s="300"/>
      <c r="M431" s="300"/>
      <c r="N431" s="300"/>
      <c r="O431" s="300"/>
      <c r="P431" s="300"/>
      <c r="Q431" s="300"/>
      <c r="R431" s="300"/>
      <c r="S431" s="300"/>
      <c r="T431" s="300"/>
      <c r="U431" s="300"/>
      <c r="V431" s="300"/>
      <c r="W431" s="300"/>
      <c r="X431" s="300"/>
      <c r="Y431" s="300"/>
      <c r="Z431" s="300"/>
      <c r="AA431" s="300"/>
    </row>
    <row r="432" spans="1:27" ht="15.5" x14ac:dyDescent="0.35">
      <c r="A432" s="300"/>
      <c r="B432" s="300"/>
      <c r="C432" s="300"/>
      <c r="D432" s="300"/>
      <c r="E432" s="300"/>
      <c r="F432" s="300"/>
      <c r="G432" s="300"/>
      <c r="H432" s="300"/>
      <c r="I432" s="300"/>
      <c r="J432" s="300"/>
      <c r="K432" s="300"/>
      <c r="L432" s="300"/>
      <c r="M432" s="300"/>
      <c r="N432" s="300"/>
      <c r="O432" s="300"/>
      <c r="P432" s="300"/>
      <c r="Q432" s="300"/>
      <c r="R432" s="300"/>
      <c r="S432" s="300"/>
      <c r="T432" s="300"/>
      <c r="U432" s="300"/>
      <c r="V432" s="300"/>
      <c r="W432" s="300"/>
      <c r="X432" s="300"/>
      <c r="Y432" s="300"/>
      <c r="Z432" s="300"/>
      <c r="AA432" s="300"/>
    </row>
    <row r="433" spans="1:27" ht="15.5" x14ac:dyDescent="0.35">
      <c r="A433" s="300"/>
      <c r="B433" s="300"/>
      <c r="C433" s="300"/>
      <c r="D433" s="300"/>
      <c r="E433" s="300"/>
      <c r="F433" s="300"/>
      <c r="G433" s="300"/>
      <c r="H433" s="300"/>
      <c r="I433" s="300"/>
      <c r="J433" s="300"/>
      <c r="K433" s="300"/>
      <c r="L433" s="300"/>
      <c r="M433" s="300"/>
      <c r="N433" s="300"/>
      <c r="O433" s="300"/>
      <c r="P433" s="300"/>
      <c r="Q433" s="300"/>
      <c r="R433" s="300"/>
      <c r="S433" s="300"/>
      <c r="T433" s="300"/>
      <c r="U433" s="300"/>
      <c r="V433" s="300"/>
      <c r="W433" s="300"/>
      <c r="X433" s="300"/>
      <c r="Y433" s="300"/>
      <c r="Z433" s="300"/>
      <c r="AA433" s="300"/>
    </row>
    <row r="434" spans="1:27" ht="15.5" x14ac:dyDescent="0.35">
      <c r="A434" s="300"/>
      <c r="B434" s="300"/>
      <c r="C434" s="300"/>
      <c r="D434" s="300"/>
      <c r="E434" s="300"/>
      <c r="F434" s="300"/>
      <c r="G434" s="300"/>
      <c r="H434" s="300"/>
      <c r="I434" s="300"/>
      <c r="J434" s="300"/>
      <c r="K434" s="300"/>
      <c r="L434" s="300"/>
      <c r="M434" s="300"/>
      <c r="N434" s="300"/>
      <c r="O434" s="300"/>
      <c r="P434" s="300"/>
      <c r="Q434" s="300"/>
      <c r="R434" s="300"/>
      <c r="S434" s="300"/>
      <c r="T434" s="300"/>
      <c r="U434" s="300"/>
      <c r="V434" s="300"/>
      <c r="W434" s="300"/>
      <c r="X434" s="300"/>
      <c r="Y434" s="300"/>
      <c r="Z434" s="300"/>
      <c r="AA434" s="300"/>
    </row>
    <row r="435" spans="1:27" ht="15.5" x14ac:dyDescent="0.35">
      <c r="A435" s="300"/>
      <c r="B435" s="300"/>
      <c r="C435" s="300"/>
      <c r="D435" s="300"/>
      <c r="E435" s="300"/>
      <c r="F435" s="300"/>
      <c r="G435" s="300"/>
      <c r="H435" s="300"/>
      <c r="I435" s="300"/>
      <c r="J435" s="300"/>
      <c r="K435" s="300"/>
      <c r="L435" s="300"/>
      <c r="M435" s="300"/>
      <c r="N435" s="300"/>
      <c r="O435" s="300"/>
      <c r="P435" s="300"/>
      <c r="Q435" s="300"/>
      <c r="R435" s="300"/>
      <c r="S435" s="300"/>
      <c r="T435" s="300"/>
      <c r="U435" s="300"/>
      <c r="V435" s="300"/>
      <c r="W435" s="300"/>
      <c r="X435" s="300"/>
      <c r="Y435" s="300"/>
      <c r="Z435" s="300"/>
      <c r="AA435" s="300"/>
    </row>
    <row r="436" spans="1:27" ht="15.5" x14ac:dyDescent="0.35">
      <c r="A436" s="300"/>
      <c r="B436" s="300"/>
      <c r="C436" s="300"/>
      <c r="D436" s="300"/>
      <c r="E436" s="300"/>
      <c r="F436" s="300"/>
      <c r="G436" s="300"/>
      <c r="H436" s="300"/>
      <c r="I436" s="300"/>
      <c r="J436" s="300"/>
      <c r="K436" s="300"/>
      <c r="L436" s="300"/>
      <c r="M436" s="300"/>
      <c r="N436" s="300"/>
      <c r="O436" s="300"/>
      <c r="P436" s="300"/>
      <c r="Q436" s="300"/>
      <c r="R436" s="300"/>
      <c r="S436" s="300"/>
      <c r="T436" s="300"/>
      <c r="U436" s="300"/>
      <c r="V436" s="300"/>
      <c r="W436" s="300"/>
      <c r="X436" s="300"/>
      <c r="Y436" s="300"/>
      <c r="Z436" s="300"/>
      <c r="AA436" s="300"/>
    </row>
    <row r="437" spans="1:27" ht="15.5" x14ac:dyDescent="0.35">
      <c r="A437" s="300"/>
      <c r="B437" s="300"/>
      <c r="C437" s="300"/>
      <c r="D437" s="300"/>
      <c r="E437" s="300"/>
      <c r="F437" s="300"/>
      <c r="G437" s="300"/>
      <c r="H437" s="300"/>
      <c r="I437" s="300"/>
      <c r="J437" s="300"/>
      <c r="K437" s="300"/>
      <c r="L437" s="300"/>
      <c r="M437" s="300"/>
      <c r="N437" s="300"/>
      <c r="O437" s="300"/>
      <c r="P437" s="300"/>
      <c r="Q437" s="300"/>
      <c r="R437" s="300"/>
      <c r="S437" s="300"/>
      <c r="T437" s="300"/>
      <c r="U437" s="300"/>
      <c r="V437" s="300"/>
      <c r="W437" s="300"/>
      <c r="X437" s="300"/>
      <c r="Y437" s="300"/>
      <c r="Z437" s="300"/>
      <c r="AA437" s="300"/>
    </row>
    <row r="438" spans="1:27" ht="15.5" x14ac:dyDescent="0.35">
      <c r="A438" s="300"/>
      <c r="B438" s="300"/>
      <c r="C438" s="300"/>
      <c r="D438" s="300"/>
      <c r="E438" s="300"/>
      <c r="F438" s="300"/>
      <c r="G438" s="300"/>
      <c r="H438" s="300"/>
      <c r="I438" s="300"/>
      <c r="J438" s="300"/>
      <c r="K438" s="300"/>
      <c r="L438" s="300"/>
      <c r="M438" s="300"/>
      <c r="N438" s="300"/>
      <c r="O438" s="300"/>
      <c r="P438" s="300"/>
      <c r="Q438" s="300"/>
      <c r="R438" s="300"/>
      <c r="S438" s="300"/>
      <c r="T438" s="300"/>
      <c r="U438" s="300"/>
      <c r="V438" s="300"/>
      <c r="W438" s="300"/>
      <c r="X438" s="300"/>
      <c r="Y438" s="300"/>
      <c r="Z438" s="300"/>
      <c r="AA438" s="300"/>
    </row>
    <row r="439" spans="1:27" ht="15.5" x14ac:dyDescent="0.35">
      <c r="A439" s="300"/>
      <c r="B439" s="300"/>
      <c r="C439" s="300"/>
      <c r="D439" s="300"/>
      <c r="E439" s="300"/>
      <c r="F439" s="300"/>
      <c r="G439" s="300"/>
      <c r="H439" s="300"/>
      <c r="I439" s="300"/>
      <c r="J439" s="300"/>
      <c r="K439" s="300"/>
      <c r="L439" s="300"/>
      <c r="M439" s="300"/>
      <c r="N439" s="300"/>
      <c r="O439" s="300"/>
      <c r="P439" s="300"/>
      <c r="Q439" s="300"/>
      <c r="R439" s="300"/>
      <c r="S439" s="300"/>
      <c r="T439" s="300"/>
      <c r="U439" s="300"/>
      <c r="V439" s="300"/>
      <c r="W439" s="300"/>
      <c r="X439" s="300"/>
      <c r="Y439" s="300"/>
      <c r="Z439" s="300"/>
      <c r="AA439" s="300"/>
    </row>
    <row r="440" spans="1:27" ht="15.5" x14ac:dyDescent="0.35">
      <c r="A440" s="300"/>
      <c r="B440" s="300"/>
      <c r="C440" s="300"/>
      <c r="D440" s="300"/>
      <c r="E440" s="300"/>
      <c r="F440" s="300"/>
      <c r="G440" s="300"/>
      <c r="H440" s="300"/>
      <c r="I440" s="300"/>
      <c r="J440" s="300"/>
      <c r="K440" s="300"/>
      <c r="L440" s="300"/>
      <c r="M440" s="300"/>
      <c r="N440" s="300"/>
      <c r="O440" s="300"/>
      <c r="P440" s="300"/>
      <c r="Q440" s="300"/>
      <c r="R440" s="300"/>
      <c r="S440" s="300"/>
      <c r="T440" s="300"/>
      <c r="U440" s="300"/>
      <c r="V440" s="300"/>
      <c r="W440" s="300"/>
      <c r="X440" s="300"/>
      <c r="Y440" s="300"/>
      <c r="Z440" s="300"/>
      <c r="AA440" s="300"/>
    </row>
    <row r="441" spans="1:27" ht="15.5" x14ac:dyDescent="0.35">
      <c r="A441" s="300"/>
      <c r="B441" s="300"/>
      <c r="C441" s="300"/>
      <c r="D441" s="300"/>
      <c r="E441" s="300"/>
      <c r="F441" s="300"/>
      <c r="G441" s="300"/>
      <c r="H441" s="300"/>
      <c r="I441" s="300"/>
      <c r="J441" s="300"/>
      <c r="K441" s="300"/>
      <c r="L441" s="300"/>
      <c r="M441" s="300"/>
      <c r="N441" s="300"/>
      <c r="O441" s="300"/>
      <c r="P441" s="300"/>
      <c r="Q441" s="300"/>
      <c r="R441" s="300"/>
      <c r="S441" s="300"/>
      <c r="T441" s="300"/>
      <c r="U441" s="300"/>
      <c r="V441" s="300"/>
      <c r="W441" s="300"/>
      <c r="X441" s="300"/>
      <c r="Y441" s="300"/>
      <c r="Z441" s="300"/>
      <c r="AA441" s="300"/>
    </row>
    <row r="442" spans="1:27" ht="15.5" x14ac:dyDescent="0.35">
      <c r="A442" s="300"/>
      <c r="B442" s="300"/>
      <c r="C442" s="300"/>
      <c r="D442" s="300"/>
      <c r="E442" s="300"/>
      <c r="F442" s="300"/>
      <c r="G442" s="300"/>
      <c r="H442" s="300"/>
      <c r="I442" s="300"/>
      <c r="J442" s="300"/>
      <c r="K442" s="300"/>
      <c r="L442" s="300"/>
      <c r="M442" s="300"/>
      <c r="N442" s="300"/>
      <c r="O442" s="300"/>
      <c r="P442" s="300"/>
      <c r="Q442" s="300"/>
      <c r="R442" s="300"/>
      <c r="S442" s="300"/>
      <c r="T442" s="300"/>
      <c r="U442" s="300"/>
      <c r="V442" s="300"/>
      <c r="W442" s="300"/>
      <c r="X442" s="300"/>
      <c r="Y442" s="300"/>
      <c r="Z442" s="300"/>
      <c r="AA442" s="300"/>
    </row>
    <row r="443" spans="1:27" ht="15.5" x14ac:dyDescent="0.35">
      <c r="A443" s="300"/>
      <c r="B443" s="300"/>
      <c r="C443" s="300"/>
      <c r="D443" s="300"/>
      <c r="E443" s="300"/>
      <c r="F443" s="300"/>
      <c r="G443" s="300"/>
      <c r="H443" s="300"/>
      <c r="I443" s="300"/>
      <c r="J443" s="300"/>
      <c r="K443" s="300"/>
      <c r="L443" s="300"/>
      <c r="M443" s="300"/>
      <c r="N443" s="300"/>
      <c r="O443" s="300"/>
      <c r="P443" s="300"/>
      <c r="Q443" s="300"/>
      <c r="R443" s="300"/>
      <c r="S443" s="300"/>
      <c r="T443" s="300"/>
      <c r="U443" s="300"/>
      <c r="V443" s="300"/>
      <c r="W443" s="300"/>
      <c r="X443" s="300"/>
      <c r="Y443" s="300"/>
      <c r="Z443" s="300"/>
      <c r="AA443" s="300"/>
    </row>
    <row r="444" spans="1:27" ht="15.5" x14ac:dyDescent="0.35">
      <c r="A444" s="300"/>
      <c r="B444" s="300"/>
      <c r="C444" s="300"/>
      <c r="D444" s="300"/>
      <c r="E444" s="300"/>
      <c r="F444" s="300"/>
      <c r="G444" s="300"/>
      <c r="H444" s="300"/>
      <c r="I444" s="300"/>
      <c r="J444" s="300"/>
      <c r="K444" s="300"/>
      <c r="L444" s="300"/>
      <c r="M444" s="300"/>
      <c r="N444" s="300"/>
      <c r="O444" s="300"/>
      <c r="P444" s="300"/>
      <c r="Q444" s="300"/>
      <c r="R444" s="300"/>
      <c r="S444" s="300"/>
      <c r="T444" s="300"/>
      <c r="U444" s="300"/>
      <c r="V444" s="300"/>
      <c r="W444" s="300"/>
      <c r="X444" s="300"/>
      <c r="Y444" s="300"/>
      <c r="Z444" s="300"/>
      <c r="AA444" s="300"/>
    </row>
    <row r="445" spans="1:27" ht="15.5" x14ac:dyDescent="0.35">
      <c r="A445" s="300"/>
      <c r="B445" s="300"/>
      <c r="C445" s="300"/>
      <c r="D445" s="300"/>
      <c r="E445" s="300"/>
      <c r="F445" s="300"/>
      <c r="G445" s="300"/>
      <c r="H445" s="300"/>
      <c r="I445" s="300"/>
      <c r="J445" s="300"/>
      <c r="K445" s="300"/>
      <c r="L445" s="300"/>
      <c r="M445" s="300"/>
      <c r="N445" s="300"/>
      <c r="O445" s="300"/>
      <c r="P445" s="300"/>
      <c r="Q445" s="300"/>
      <c r="R445" s="300"/>
      <c r="S445" s="300"/>
      <c r="T445" s="300"/>
      <c r="U445" s="300"/>
      <c r="V445" s="300"/>
      <c r="W445" s="300"/>
      <c r="X445" s="300"/>
      <c r="Y445" s="300"/>
      <c r="Z445" s="300"/>
      <c r="AA445" s="300"/>
    </row>
    <row r="446" spans="1:27" ht="15.5" x14ac:dyDescent="0.35">
      <c r="A446" s="300"/>
      <c r="B446" s="300"/>
      <c r="C446" s="300"/>
      <c r="D446" s="300"/>
      <c r="E446" s="300"/>
      <c r="F446" s="300"/>
      <c r="G446" s="300"/>
      <c r="H446" s="300"/>
      <c r="I446" s="300"/>
      <c r="J446" s="300"/>
      <c r="K446" s="300"/>
      <c r="L446" s="300"/>
      <c r="M446" s="300"/>
      <c r="N446" s="300"/>
      <c r="O446" s="300"/>
      <c r="P446" s="300"/>
      <c r="Q446" s="300"/>
      <c r="R446" s="300"/>
      <c r="S446" s="300"/>
      <c r="T446" s="300"/>
      <c r="U446" s="300"/>
      <c r="V446" s="300"/>
      <c r="W446" s="300"/>
      <c r="X446" s="300"/>
      <c r="Y446" s="300"/>
      <c r="Z446" s="300"/>
      <c r="AA446" s="300"/>
    </row>
    <row r="447" spans="1:27" ht="15.5" x14ac:dyDescent="0.35">
      <c r="A447" s="300"/>
      <c r="B447" s="300"/>
      <c r="C447" s="300"/>
      <c r="D447" s="300"/>
      <c r="E447" s="300"/>
      <c r="F447" s="300"/>
      <c r="G447" s="300"/>
      <c r="H447" s="300"/>
      <c r="I447" s="300"/>
      <c r="J447" s="300"/>
      <c r="K447" s="300"/>
      <c r="L447" s="300"/>
      <c r="M447" s="300"/>
      <c r="N447" s="300"/>
      <c r="O447" s="300"/>
      <c r="P447" s="300"/>
      <c r="Q447" s="300"/>
      <c r="R447" s="300"/>
      <c r="S447" s="300"/>
      <c r="T447" s="300"/>
      <c r="U447" s="300"/>
      <c r="V447" s="300"/>
      <c r="W447" s="300"/>
      <c r="X447" s="300"/>
      <c r="Y447" s="300"/>
      <c r="Z447" s="300"/>
      <c r="AA447" s="300"/>
    </row>
    <row r="448" spans="1:27" ht="15.5" x14ac:dyDescent="0.35">
      <c r="A448" s="300"/>
      <c r="B448" s="300"/>
      <c r="C448" s="300"/>
      <c r="D448" s="300"/>
      <c r="E448" s="300"/>
      <c r="F448" s="300"/>
      <c r="G448" s="300"/>
      <c r="H448" s="300"/>
      <c r="I448" s="300"/>
      <c r="J448" s="300"/>
      <c r="K448" s="300"/>
      <c r="L448" s="300"/>
      <c r="M448" s="300"/>
      <c r="N448" s="300"/>
      <c r="O448" s="300"/>
      <c r="P448" s="300"/>
      <c r="Q448" s="300"/>
      <c r="R448" s="300"/>
      <c r="S448" s="300"/>
      <c r="T448" s="300"/>
      <c r="U448" s="300"/>
      <c r="V448" s="300"/>
      <c r="W448" s="300"/>
      <c r="X448" s="300"/>
      <c r="Y448" s="300"/>
      <c r="Z448" s="300"/>
      <c r="AA448" s="300"/>
    </row>
    <row r="449" spans="1:27" ht="15.5" x14ac:dyDescent="0.35">
      <c r="A449" s="300"/>
      <c r="B449" s="300"/>
      <c r="C449" s="300"/>
      <c r="D449" s="300"/>
      <c r="E449" s="300"/>
      <c r="F449" s="300"/>
      <c r="G449" s="300"/>
      <c r="H449" s="300"/>
      <c r="I449" s="300"/>
      <c r="J449" s="300"/>
      <c r="K449" s="300"/>
      <c r="L449" s="300"/>
      <c r="M449" s="300"/>
      <c r="N449" s="300"/>
      <c r="O449" s="300"/>
      <c r="P449" s="300"/>
      <c r="Q449" s="300"/>
      <c r="R449" s="300"/>
      <c r="S449" s="300"/>
      <c r="T449" s="300"/>
      <c r="U449" s="300"/>
      <c r="V449" s="300"/>
      <c r="W449" s="300"/>
      <c r="X449" s="300"/>
      <c r="Y449" s="300"/>
      <c r="Z449" s="300"/>
      <c r="AA449" s="300"/>
    </row>
    <row r="450" spans="1:27" ht="15.5" x14ac:dyDescent="0.35">
      <c r="A450" s="300"/>
      <c r="B450" s="300"/>
      <c r="C450" s="300"/>
      <c r="D450" s="300"/>
      <c r="E450" s="300"/>
      <c r="F450" s="300"/>
      <c r="G450" s="300"/>
      <c r="H450" s="300"/>
      <c r="I450" s="300"/>
      <c r="J450" s="300"/>
      <c r="K450" s="300"/>
      <c r="L450" s="300"/>
      <c r="M450" s="300"/>
      <c r="N450" s="300"/>
      <c r="O450" s="300"/>
      <c r="P450" s="300"/>
      <c r="Q450" s="300"/>
      <c r="R450" s="300"/>
      <c r="S450" s="300"/>
      <c r="T450" s="300"/>
      <c r="U450" s="300"/>
      <c r="V450" s="300"/>
      <c r="W450" s="300"/>
      <c r="X450" s="300"/>
      <c r="Y450" s="300"/>
      <c r="Z450" s="300"/>
      <c r="AA450" s="300"/>
    </row>
    <row r="451" spans="1:27" ht="15.5" x14ac:dyDescent="0.35">
      <c r="A451" s="300"/>
      <c r="B451" s="300"/>
      <c r="C451" s="300"/>
      <c r="D451" s="300"/>
      <c r="E451" s="300"/>
      <c r="F451" s="300"/>
      <c r="G451" s="300"/>
      <c r="H451" s="300"/>
      <c r="I451" s="300"/>
      <c r="J451" s="300"/>
      <c r="K451" s="300"/>
      <c r="L451" s="300"/>
      <c r="M451" s="300"/>
      <c r="N451" s="300"/>
      <c r="O451" s="300"/>
      <c r="P451" s="300"/>
      <c r="Q451" s="300"/>
      <c r="R451" s="300"/>
      <c r="S451" s="300"/>
      <c r="T451" s="300"/>
      <c r="U451" s="300"/>
      <c r="V451" s="300"/>
      <c r="W451" s="300"/>
      <c r="X451" s="300"/>
      <c r="Y451" s="300"/>
      <c r="Z451" s="300"/>
      <c r="AA451" s="300"/>
    </row>
    <row r="452" spans="1:27" ht="15.5" x14ac:dyDescent="0.35">
      <c r="A452" s="300"/>
      <c r="B452" s="300"/>
      <c r="C452" s="300"/>
      <c r="D452" s="300"/>
      <c r="E452" s="300"/>
      <c r="F452" s="300"/>
      <c r="G452" s="300"/>
      <c r="H452" s="300"/>
      <c r="I452" s="300"/>
      <c r="J452" s="300"/>
      <c r="K452" s="300"/>
      <c r="L452" s="300"/>
      <c r="M452" s="300"/>
      <c r="N452" s="300"/>
      <c r="O452" s="300"/>
      <c r="P452" s="300"/>
      <c r="Q452" s="300"/>
      <c r="R452" s="300"/>
      <c r="S452" s="300"/>
      <c r="T452" s="300"/>
      <c r="U452" s="300"/>
      <c r="V452" s="300"/>
      <c r="W452" s="300"/>
      <c r="X452" s="300"/>
      <c r="Y452" s="300"/>
      <c r="Z452" s="300"/>
      <c r="AA452" s="300"/>
    </row>
    <row r="453" spans="1:27" ht="15.5" x14ac:dyDescent="0.35">
      <c r="A453" s="300"/>
      <c r="B453" s="300"/>
      <c r="C453" s="300"/>
      <c r="D453" s="300"/>
      <c r="E453" s="300"/>
      <c r="F453" s="300"/>
      <c r="G453" s="300"/>
      <c r="H453" s="300"/>
      <c r="I453" s="300"/>
      <c r="J453" s="300"/>
      <c r="K453" s="300"/>
      <c r="L453" s="300"/>
      <c r="M453" s="300"/>
      <c r="N453" s="300"/>
      <c r="O453" s="300"/>
      <c r="P453" s="300"/>
      <c r="Q453" s="300"/>
      <c r="R453" s="300"/>
      <c r="S453" s="300"/>
      <c r="T453" s="300"/>
      <c r="U453" s="300"/>
      <c r="V453" s="300"/>
      <c r="W453" s="300"/>
      <c r="X453" s="300"/>
      <c r="Y453" s="300"/>
      <c r="Z453" s="300"/>
      <c r="AA453" s="300"/>
    </row>
    <row r="454" spans="1:27" ht="15.5" x14ac:dyDescent="0.35">
      <c r="A454" s="300"/>
      <c r="B454" s="300"/>
      <c r="C454" s="300"/>
      <c r="D454" s="300"/>
      <c r="E454" s="300"/>
      <c r="F454" s="300"/>
      <c r="G454" s="300"/>
      <c r="H454" s="300"/>
      <c r="I454" s="300"/>
      <c r="J454" s="300"/>
      <c r="K454" s="300"/>
      <c r="L454" s="300"/>
      <c r="M454" s="300"/>
      <c r="N454" s="300"/>
      <c r="O454" s="300"/>
      <c r="P454" s="300"/>
      <c r="Q454" s="300"/>
      <c r="R454" s="300"/>
      <c r="S454" s="300"/>
      <c r="T454" s="300"/>
      <c r="U454" s="300"/>
      <c r="V454" s="300"/>
      <c r="W454" s="300"/>
      <c r="X454" s="300"/>
      <c r="Y454" s="300"/>
      <c r="Z454" s="300"/>
      <c r="AA454" s="300"/>
    </row>
    <row r="455" spans="1:27" ht="15.5" x14ac:dyDescent="0.35">
      <c r="A455" s="300"/>
      <c r="B455" s="300"/>
      <c r="C455" s="300"/>
      <c r="D455" s="300"/>
      <c r="E455" s="300"/>
      <c r="F455" s="300"/>
      <c r="G455" s="300"/>
      <c r="H455" s="300"/>
      <c r="I455" s="300"/>
      <c r="J455" s="300"/>
      <c r="K455" s="300"/>
      <c r="L455" s="300"/>
      <c r="M455" s="300"/>
      <c r="N455" s="300"/>
      <c r="O455" s="300"/>
      <c r="P455" s="300"/>
      <c r="Q455" s="300"/>
      <c r="R455" s="300"/>
      <c r="S455" s="300"/>
      <c r="T455" s="300"/>
      <c r="U455" s="300"/>
      <c r="V455" s="300"/>
      <c r="W455" s="300"/>
      <c r="X455" s="300"/>
      <c r="Y455" s="300"/>
      <c r="Z455" s="300"/>
      <c r="AA455" s="300"/>
    </row>
    <row r="456" spans="1:27" ht="15.5" x14ac:dyDescent="0.35">
      <c r="A456" s="300"/>
      <c r="B456" s="300"/>
      <c r="C456" s="300"/>
      <c r="D456" s="300"/>
      <c r="E456" s="300"/>
      <c r="F456" s="300"/>
      <c r="G456" s="300"/>
      <c r="H456" s="300"/>
      <c r="I456" s="300"/>
      <c r="J456" s="300"/>
      <c r="K456" s="300"/>
      <c r="L456" s="300"/>
      <c r="M456" s="300"/>
      <c r="N456" s="300"/>
      <c r="O456" s="300"/>
      <c r="P456" s="300"/>
      <c r="Q456" s="300"/>
      <c r="R456" s="300"/>
      <c r="S456" s="300"/>
      <c r="T456" s="300"/>
      <c r="U456" s="300"/>
      <c r="V456" s="300"/>
      <c r="W456" s="300"/>
      <c r="X456" s="300"/>
      <c r="Y456" s="300"/>
      <c r="Z456" s="300"/>
      <c r="AA456" s="300"/>
    </row>
    <row r="457" spans="1:27" ht="15.5" x14ac:dyDescent="0.35">
      <c r="A457" s="300"/>
      <c r="B457" s="300"/>
      <c r="C457" s="300"/>
      <c r="D457" s="300"/>
      <c r="E457" s="300"/>
      <c r="F457" s="300"/>
      <c r="G457" s="300"/>
      <c r="H457" s="300"/>
      <c r="I457" s="300"/>
      <c r="J457" s="300"/>
      <c r="K457" s="300"/>
      <c r="L457" s="300"/>
      <c r="M457" s="300"/>
      <c r="N457" s="300"/>
      <c r="O457" s="300"/>
      <c r="P457" s="300"/>
      <c r="Q457" s="300"/>
      <c r="R457" s="300"/>
      <c r="S457" s="300"/>
      <c r="T457" s="300"/>
      <c r="U457" s="300"/>
      <c r="V457" s="300"/>
      <c r="W457" s="300"/>
      <c r="X457" s="300"/>
      <c r="Y457" s="300"/>
      <c r="Z457" s="300"/>
      <c r="AA457" s="300"/>
    </row>
    <row r="458" spans="1:27" ht="15.5" x14ac:dyDescent="0.35">
      <c r="A458" s="300"/>
      <c r="B458" s="300"/>
      <c r="C458" s="300"/>
      <c r="D458" s="300"/>
      <c r="E458" s="300"/>
      <c r="F458" s="300"/>
      <c r="G458" s="300"/>
      <c r="H458" s="300"/>
      <c r="I458" s="300"/>
      <c r="J458" s="300"/>
      <c r="K458" s="300"/>
      <c r="L458" s="300"/>
      <c r="M458" s="300"/>
      <c r="N458" s="300"/>
      <c r="O458" s="300"/>
      <c r="P458" s="300"/>
      <c r="Q458" s="300"/>
      <c r="R458" s="300"/>
      <c r="S458" s="300"/>
      <c r="T458" s="300"/>
      <c r="U458" s="300"/>
      <c r="V458" s="300"/>
      <c r="W458" s="300"/>
      <c r="X458" s="300"/>
      <c r="Y458" s="300"/>
      <c r="Z458" s="300"/>
      <c r="AA458" s="300"/>
    </row>
    <row r="459" spans="1:27" ht="15.5" x14ac:dyDescent="0.35">
      <c r="A459" s="300"/>
      <c r="B459" s="300"/>
      <c r="C459" s="300"/>
      <c r="D459" s="300"/>
      <c r="E459" s="300"/>
      <c r="F459" s="300"/>
      <c r="G459" s="300"/>
      <c r="H459" s="300"/>
      <c r="I459" s="300"/>
      <c r="J459" s="300"/>
      <c r="K459" s="300"/>
      <c r="L459" s="300"/>
      <c r="M459" s="300"/>
      <c r="N459" s="300"/>
      <c r="O459" s="300"/>
      <c r="P459" s="300"/>
      <c r="Q459" s="300"/>
      <c r="R459" s="300"/>
      <c r="S459" s="300"/>
      <c r="T459" s="300"/>
      <c r="U459" s="300"/>
      <c r="V459" s="300"/>
      <c r="W459" s="300"/>
      <c r="X459" s="300"/>
      <c r="Y459" s="300"/>
      <c r="Z459" s="300"/>
      <c r="AA459" s="300"/>
    </row>
    <row r="460" spans="1:27" ht="15.5" x14ac:dyDescent="0.35">
      <c r="A460" s="300"/>
      <c r="B460" s="300"/>
      <c r="C460" s="300"/>
      <c r="D460" s="300"/>
      <c r="E460" s="300"/>
      <c r="F460" s="300"/>
      <c r="G460" s="300"/>
      <c r="H460" s="300"/>
      <c r="I460" s="300"/>
      <c r="J460" s="300"/>
      <c r="K460" s="300"/>
      <c r="L460" s="300"/>
      <c r="M460" s="300"/>
      <c r="N460" s="300"/>
      <c r="O460" s="300"/>
      <c r="P460" s="300"/>
      <c r="Q460" s="300"/>
      <c r="R460" s="300"/>
      <c r="S460" s="300"/>
      <c r="T460" s="300"/>
      <c r="U460" s="300"/>
      <c r="V460" s="300"/>
      <c r="W460" s="300"/>
      <c r="X460" s="300"/>
      <c r="Y460" s="300"/>
      <c r="Z460" s="300"/>
      <c r="AA460" s="300"/>
    </row>
    <row r="461" spans="1:27" ht="15.5" x14ac:dyDescent="0.35">
      <c r="A461" s="300"/>
      <c r="B461" s="300"/>
      <c r="C461" s="300"/>
      <c r="D461" s="300"/>
      <c r="E461" s="300"/>
      <c r="F461" s="300"/>
      <c r="G461" s="300"/>
      <c r="H461" s="300"/>
      <c r="I461" s="300"/>
      <c r="J461" s="300"/>
      <c r="K461" s="300"/>
      <c r="L461" s="300"/>
      <c r="M461" s="300"/>
      <c r="N461" s="300"/>
      <c r="O461" s="300"/>
      <c r="P461" s="300"/>
      <c r="Q461" s="300"/>
      <c r="R461" s="300"/>
      <c r="S461" s="300"/>
      <c r="T461" s="300"/>
      <c r="U461" s="300"/>
      <c r="V461" s="300"/>
      <c r="W461" s="300"/>
      <c r="X461" s="300"/>
      <c r="Y461" s="300"/>
      <c r="Z461" s="300"/>
      <c r="AA461" s="300"/>
    </row>
    <row r="462" spans="1:27" ht="15.5" x14ac:dyDescent="0.35">
      <c r="A462" s="300"/>
      <c r="B462" s="300"/>
      <c r="C462" s="300"/>
      <c r="D462" s="300"/>
      <c r="E462" s="300"/>
      <c r="F462" s="300"/>
      <c r="G462" s="300"/>
      <c r="H462" s="300"/>
      <c r="I462" s="300"/>
      <c r="J462" s="300"/>
      <c r="K462" s="300"/>
      <c r="L462" s="300"/>
      <c r="M462" s="300"/>
      <c r="N462" s="300"/>
      <c r="O462" s="300"/>
      <c r="P462" s="300"/>
      <c r="Q462" s="300"/>
      <c r="R462" s="300"/>
      <c r="S462" s="300"/>
      <c r="T462" s="300"/>
      <c r="U462" s="300"/>
      <c r="V462" s="300"/>
      <c r="W462" s="300"/>
      <c r="X462" s="300"/>
      <c r="Y462" s="300"/>
      <c r="Z462" s="300"/>
      <c r="AA462" s="300"/>
    </row>
    <row r="463" spans="1:27" ht="15.5" x14ac:dyDescent="0.35">
      <c r="A463" s="300"/>
      <c r="B463" s="300"/>
      <c r="C463" s="300"/>
      <c r="D463" s="300"/>
      <c r="E463" s="300"/>
      <c r="F463" s="300"/>
      <c r="G463" s="300"/>
      <c r="H463" s="300"/>
      <c r="I463" s="300"/>
      <c r="J463" s="300"/>
      <c r="K463" s="300"/>
      <c r="L463" s="300"/>
      <c r="M463" s="300"/>
      <c r="N463" s="300"/>
      <c r="O463" s="300"/>
      <c r="P463" s="300"/>
      <c r="Q463" s="300"/>
      <c r="R463" s="300"/>
      <c r="S463" s="300"/>
      <c r="T463" s="300"/>
      <c r="U463" s="300"/>
      <c r="V463" s="300"/>
      <c r="W463" s="300"/>
      <c r="X463" s="300"/>
      <c r="Y463" s="300"/>
      <c r="Z463" s="300"/>
      <c r="AA463" s="300"/>
    </row>
    <row r="464" spans="1:27" ht="15.5" x14ac:dyDescent="0.35">
      <c r="A464" s="300"/>
      <c r="B464" s="300"/>
      <c r="C464" s="300"/>
      <c r="D464" s="300"/>
      <c r="E464" s="300"/>
      <c r="F464" s="300"/>
      <c r="G464" s="300"/>
      <c r="H464" s="300"/>
      <c r="I464" s="300"/>
      <c r="J464" s="300"/>
      <c r="K464" s="300"/>
      <c r="L464" s="300"/>
      <c r="M464" s="300"/>
      <c r="N464" s="300"/>
      <c r="O464" s="300"/>
      <c r="P464" s="300"/>
      <c r="Q464" s="300"/>
      <c r="R464" s="300"/>
      <c r="S464" s="300"/>
      <c r="T464" s="300"/>
      <c r="U464" s="300"/>
      <c r="V464" s="300"/>
      <c r="W464" s="300"/>
      <c r="X464" s="300"/>
      <c r="Y464" s="300"/>
      <c r="Z464" s="300"/>
      <c r="AA464" s="300"/>
    </row>
    <row r="465" spans="1:27" ht="15.5" x14ac:dyDescent="0.35">
      <c r="A465" s="300"/>
      <c r="B465" s="300"/>
      <c r="C465" s="300"/>
      <c r="D465" s="300"/>
      <c r="E465" s="300"/>
      <c r="F465" s="300"/>
      <c r="G465" s="300"/>
      <c r="H465" s="300"/>
      <c r="I465" s="300"/>
      <c r="J465" s="300"/>
      <c r="K465" s="300"/>
      <c r="L465" s="300"/>
      <c r="M465" s="300"/>
      <c r="N465" s="300"/>
      <c r="O465" s="300"/>
      <c r="P465" s="300"/>
      <c r="Q465" s="300"/>
      <c r="R465" s="300"/>
      <c r="S465" s="300"/>
      <c r="T465" s="300"/>
      <c r="U465" s="300"/>
      <c r="V465" s="300"/>
      <c r="W465" s="300"/>
      <c r="X465" s="300"/>
      <c r="Y465" s="300"/>
      <c r="Z465" s="300"/>
      <c r="AA465" s="300"/>
    </row>
    <row r="466" spans="1:27" ht="15.5" x14ac:dyDescent="0.35">
      <c r="A466" s="300"/>
      <c r="B466" s="300"/>
      <c r="C466" s="300"/>
      <c r="D466" s="300"/>
      <c r="E466" s="300"/>
      <c r="F466" s="300"/>
      <c r="G466" s="300"/>
      <c r="H466" s="300"/>
      <c r="I466" s="300"/>
      <c r="J466" s="300"/>
      <c r="K466" s="300"/>
      <c r="L466" s="300"/>
      <c r="M466" s="300"/>
      <c r="N466" s="300"/>
      <c r="O466" s="300"/>
      <c r="P466" s="300"/>
      <c r="Q466" s="300"/>
      <c r="R466" s="300"/>
      <c r="S466" s="300"/>
      <c r="T466" s="300"/>
      <c r="U466" s="300"/>
      <c r="V466" s="300"/>
      <c r="W466" s="300"/>
      <c r="X466" s="300"/>
      <c r="Y466" s="300"/>
      <c r="Z466" s="300"/>
      <c r="AA466" s="300"/>
    </row>
    <row r="467" spans="1:27" ht="15.5" x14ac:dyDescent="0.35">
      <c r="A467" s="300"/>
      <c r="B467" s="300"/>
      <c r="C467" s="300"/>
      <c r="D467" s="300"/>
      <c r="E467" s="300"/>
      <c r="F467" s="300"/>
      <c r="G467" s="300"/>
      <c r="H467" s="300"/>
      <c r="I467" s="300"/>
      <c r="J467" s="300"/>
      <c r="K467" s="300"/>
      <c r="L467" s="300"/>
      <c r="M467" s="300"/>
      <c r="N467" s="300"/>
      <c r="O467" s="300"/>
      <c r="P467" s="300"/>
      <c r="Q467" s="300"/>
      <c r="R467" s="300"/>
      <c r="S467" s="300"/>
      <c r="T467" s="300"/>
      <c r="U467" s="300"/>
      <c r="V467" s="300"/>
      <c r="W467" s="300"/>
      <c r="X467" s="300"/>
      <c r="Y467" s="300"/>
      <c r="Z467" s="300"/>
      <c r="AA467" s="300"/>
    </row>
    <row r="468" spans="1:27" ht="15.5" x14ac:dyDescent="0.35">
      <c r="A468" s="300"/>
      <c r="B468" s="300"/>
      <c r="C468" s="300"/>
      <c r="D468" s="300"/>
      <c r="E468" s="300"/>
      <c r="F468" s="300"/>
      <c r="G468" s="300"/>
      <c r="H468" s="300"/>
      <c r="I468" s="300"/>
      <c r="J468" s="300"/>
      <c r="K468" s="300"/>
      <c r="L468" s="300"/>
      <c r="M468" s="300"/>
      <c r="N468" s="300"/>
      <c r="O468" s="300"/>
      <c r="P468" s="300"/>
      <c r="Q468" s="300"/>
      <c r="R468" s="300"/>
      <c r="S468" s="300"/>
      <c r="T468" s="300"/>
      <c r="U468" s="300"/>
      <c r="V468" s="300"/>
      <c r="W468" s="300"/>
      <c r="X468" s="300"/>
      <c r="Y468" s="300"/>
      <c r="Z468" s="300"/>
      <c r="AA468" s="300"/>
    </row>
    <row r="469" spans="1:27" ht="15.5" x14ac:dyDescent="0.35">
      <c r="A469" s="300"/>
      <c r="B469" s="300"/>
      <c r="C469" s="300"/>
      <c r="D469" s="300"/>
      <c r="E469" s="300"/>
      <c r="F469" s="300"/>
      <c r="G469" s="300"/>
      <c r="H469" s="300"/>
      <c r="I469" s="300"/>
      <c r="J469" s="300"/>
      <c r="K469" s="300"/>
      <c r="L469" s="300"/>
      <c r="M469" s="300"/>
      <c r="N469" s="300"/>
      <c r="O469" s="300"/>
      <c r="P469" s="300"/>
      <c r="Q469" s="300"/>
      <c r="R469" s="300"/>
      <c r="S469" s="300"/>
      <c r="T469" s="300"/>
      <c r="U469" s="300"/>
      <c r="V469" s="300"/>
      <c r="W469" s="300"/>
      <c r="X469" s="300"/>
      <c r="Y469" s="300"/>
      <c r="Z469" s="300"/>
      <c r="AA469" s="300"/>
    </row>
    <row r="470" spans="1:27" ht="15.5" x14ac:dyDescent="0.35">
      <c r="A470" s="300"/>
      <c r="B470" s="300"/>
      <c r="C470" s="300"/>
      <c r="D470" s="300"/>
      <c r="E470" s="300"/>
      <c r="F470" s="300"/>
      <c r="G470" s="300"/>
      <c r="H470" s="300"/>
      <c r="I470" s="300"/>
      <c r="J470" s="300"/>
      <c r="K470" s="300"/>
      <c r="L470" s="300"/>
      <c r="M470" s="300"/>
      <c r="N470" s="300"/>
      <c r="O470" s="300"/>
      <c r="P470" s="300"/>
      <c r="Q470" s="300"/>
      <c r="R470" s="300"/>
      <c r="S470" s="300"/>
      <c r="T470" s="300"/>
      <c r="U470" s="300"/>
      <c r="V470" s="300"/>
      <c r="W470" s="300"/>
      <c r="X470" s="300"/>
      <c r="Y470" s="300"/>
      <c r="Z470" s="300"/>
      <c r="AA470" s="300"/>
    </row>
    <row r="471" spans="1:27" ht="15.5" x14ac:dyDescent="0.35">
      <c r="A471" s="300"/>
      <c r="B471" s="300"/>
      <c r="C471" s="300"/>
      <c r="D471" s="300"/>
      <c r="E471" s="300"/>
      <c r="F471" s="300"/>
      <c r="G471" s="300"/>
      <c r="H471" s="300"/>
      <c r="I471" s="300"/>
      <c r="J471" s="300"/>
      <c r="K471" s="300"/>
      <c r="L471" s="300"/>
      <c r="M471" s="300"/>
      <c r="N471" s="300"/>
      <c r="O471" s="300"/>
      <c r="P471" s="300"/>
      <c r="Q471" s="300"/>
      <c r="R471" s="300"/>
      <c r="S471" s="300"/>
      <c r="T471" s="300"/>
      <c r="U471" s="300"/>
      <c r="V471" s="300"/>
      <c r="W471" s="300"/>
      <c r="X471" s="300"/>
      <c r="Y471" s="300"/>
      <c r="Z471" s="300"/>
      <c r="AA471" s="300"/>
    </row>
    <row r="472" spans="1:27" ht="15.5" x14ac:dyDescent="0.35">
      <c r="A472" s="300"/>
      <c r="B472" s="300"/>
      <c r="C472" s="300"/>
      <c r="D472" s="300"/>
      <c r="E472" s="300"/>
      <c r="F472" s="300"/>
      <c r="G472" s="300"/>
      <c r="H472" s="300"/>
      <c r="I472" s="300"/>
      <c r="J472" s="300"/>
      <c r="K472" s="300"/>
      <c r="L472" s="300"/>
      <c r="M472" s="300"/>
      <c r="N472" s="300"/>
      <c r="O472" s="300"/>
      <c r="P472" s="300"/>
      <c r="Q472" s="300"/>
      <c r="R472" s="300"/>
      <c r="S472" s="300"/>
      <c r="T472" s="300"/>
      <c r="U472" s="300"/>
      <c r="V472" s="300"/>
      <c r="W472" s="300"/>
      <c r="X472" s="300"/>
      <c r="Y472" s="300"/>
      <c r="Z472" s="300"/>
      <c r="AA472" s="300"/>
    </row>
    <row r="473" spans="1:27" ht="15.5" x14ac:dyDescent="0.35">
      <c r="A473" s="300"/>
      <c r="B473" s="300"/>
      <c r="C473" s="300"/>
      <c r="D473" s="300"/>
      <c r="E473" s="300"/>
      <c r="F473" s="300"/>
      <c r="G473" s="300"/>
      <c r="H473" s="300"/>
      <c r="I473" s="300"/>
      <c r="J473" s="300"/>
      <c r="K473" s="300"/>
      <c r="L473" s="300"/>
      <c r="M473" s="300"/>
      <c r="N473" s="300"/>
      <c r="O473" s="300"/>
      <c r="P473" s="300"/>
      <c r="Q473" s="300"/>
      <c r="R473" s="300"/>
      <c r="S473" s="300"/>
      <c r="T473" s="300"/>
      <c r="U473" s="300"/>
      <c r="V473" s="300"/>
      <c r="W473" s="300"/>
      <c r="X473" s="300"/>
      <c r="Y473" s="300"/>
      <c r="Z473" s="300"/>
      <c r="AA473" s="300"/>
    </row>
    <row r="474" spans="1:27" ht="15.5" x14ac:dyDescent="0.35">
      <c r="A474" s="300"/>
      <c r="B474" s="300"/>
      <c r="C474" s="300"/>
      <c r="D474" s="300"/>
      <c r="E474" s="300"/>
      <c r="F474" s="300"/>
      <c r="G474" s="300"/>
      <c r="H474" s="300"/>
      <c r="I474" s="300"/>
      <c r="J474" s="300"/>
      <c r="K474" s="300"/>
      <c r="L474" s="300"/>
      <c r="M474" s="300"/>
      <c r="N474" s="300"/>
      <c r="O474" s="300"/>
      <c r="P474" s="300"/>
      <c r="Q474" s="300"/>
      <c r="R474" s="300"/>
      <c r="S474" s="300"/>
      <c r="T474" s="300"/>
      <c r="U474" s="300"/>
      <c r="V474" s="300"/>
      <c r="W474" s="300"/>
      <c r="X474" s="300"/>
      <c r="Y474" s="300"/>
      <c r="Z474" s="300"/>
      <c r="AA474" s="300"/>
    </row>
    <row r="475" spans="1:27" ht="15.5" x14ac:dyDescent="0.35">
      <c r="A475" s="300"/>
      <c r="B475" s="300"/>
      <c r="C475" s="300"/>
      <c r="D475" s="300"/>
      <c r="E475" s="300"/>
      <c r="F475" s="300"/>
      <c r="G475" s="300"/>
      <c r="H475" s="300"/>
      <c r="I475" s="300"/>
      <c r="J475" s="300"/>
      <c r="K475" s="300"/>
      <c r="L475" s="300"/>
      <c r="M475" s="300"/>
      <c r="N475" s="300"/>
      <c r="O475" s="300"/>
      <c r="P475" s="300"/>
      <c r="Q475" s="300"/>
      <c r="R475" s="300"/>
      <c r="S475" s="300"/>
      <c r="T475" s="300"/>
      <c r="U475" s="300"/>
      <c r="V475" s="300"/>
      <c r="W475" s="300"/>
      <c r="X475" s="300"/>
      <c r="Y475" s="300"/>
      <c r="Z475" s="300"/>
      <c r="AA475" s="300"/>
    </row>
    <row r="476" spans="1:27" ht="15.5" x14ac:dyDescent="0.35">
      <c r="A476" s="300"/>
      <c r="B476" s="300"/>
      <c r="C476" s="300"/>
      <c r="D476" s="300"/>
      <c r="E476" s="300"/>
      <c r="F476" s="300"/>
      <c r="G476" s="300"/>
      <c r="H476" s="300"/>
      <c r="I476" s="300"/>
      <c r="J476" s="300"/>
      <c r="K476" s="300"/>
      <c r="L476" s="300"/>
      <c r="M476" s="300"/>
      <c r="N476" s="300"/>
      <c r="O476" s="300"/>
      <c r="P476" s="300"/>
      <c r="Q476" s="300"/>
      <c r="R476" s="300"/>
      <c r="S476" s="300"/>
      <c r="T476" s="300"/>
      <c r="U476" s="300"/>
      <c r="V476" s="300"/>
      <c r="W476" s="300"/>
      <c r="X476" s="300"/>
      <c r="Y476" s="300"/>
      <c r="Z476" s="300"/>
      <c r="AA476" s="300"/>
    </row>
    <row r="477" spans="1:27" ht="15.5" x14ac:dyDescent="0.35">
      <c r="A477" s="300"/>
      <c r="B477" s="300"/>
      <c r="C477" s="300"/>
      <c r="D477" s="300"/>
      <c r="E477" s="300"/>
      <c r="F477" s="300"/>
      <c r="G477" s="300"/>
      <c r="H477" s="300"/>
      <c r="I477" s="300"/>
      <c r="J477" s="300"/>
      <c r="K477" s="300"/>
      <c r="L477" s="300"/>
      <c r="M477" s="300"/>
      <c r="N477" s="300"/>
      <c r="O477" s="300"/>
      <c r="P477" s="300"/>
      <c r="Q477" s="300"/>
      <c r="R477" s="300"/>
      <c r="S477" s="300"/>
      <c r="T477" s="300"/>
      <c r="U477" s="300"/>
      <c r="V477" s="300"/>
      <c r="W477" s="300"/>
      <c r="X477" s="300"/>
      <c r="Y477" s="300"/>
      <c r="Z477" s="300"/>
      <c r="AA477" s="300"/>
    </row>
    <row r="478" spans="1:27" ht="15.5" x14ac:dyDescent="0.35">
      <c r="A478" s="300"/>
      <c r="B478" s="300"/>
      <c r="C478" s="300"/>
      <c r="D478" s="300"/>
      <c r="E478" s="300"/>
      <c r="F478" s="300"/>
      <c r="G478" s="300"/>
      <c r="H478" s="300"/>
      <c r="I478" s="300"/>
      <c r="J478" s="300"/>
      <c r="K478" s="300"/>
      <c r="L478" s="300"/>
      <c r="M478" s="300"/>
      <c r="N478" s="300"/>
      <c r="O478" s="300"/>
      <c r="P478" s="300"/>
      <c r="Q478" s="300"/>
      <c r="R478" s="300"/>
      <c r="S478" s="300"/>
      <c r="T478" s="300"/>
      <c r="U478" s="300"/>
      <c r="V478" s="300"/>
      <c r="W478" s="300"/>
      <c r="X478" s="300"/>
      <c r="Y478" s="300"/>
      <c r="Z478" s="300"/>
      <c r="AA478" s="300"/>
    </row>
    <row r="479" spans="1:27" ht="15.5" x14ac:dyDescent="0.35">
      <c r="A479" s="300"/>
      <c r="B479" s="300"/>
      <c r="C479" s="300"/>
      <c r="D479" s="300"/>
      <c r="E479" s="300"/>
      <c r="F479" s="300"/>
      <c r="G479" s="300"/>
      <c r="H479" s="300"/>
      <c r="I479" s="300"/>
      <c r="J479" s="300"/>
      <c r="K479" s="300"/>
      <c r="L479" s="300"/>
      <c r="M479" s="300"/>
      <c r="N479" s="300"/>
      <c r="O479" s="300"/>
      <c r="P479" s="300"/>
      <c r="Q479" s="300"/>
      <c r="R479" s="300"/>
      <c r="S479" s="300"/>
      <c r="T479" s="300"/>
      <c r="U479" s="300"/>
      <c r="V479" s="300"/>
      <c r="W479" s="300"/>
      <c r="X479" s="300"/>
      <c r="Y479" s="300"/>
      <c r="Z479" s="300"/>
      <c r="AA479" s="300"/>
    </row>
    <row r="480" spans="1:27" ht="15.5" x14ac:dyDescent="0.35">
      <c r="A480" s="300"/>
      <c r="B480" s="300"/>
      <c r="C480" s="300"/>
      <c r="D480" s="300"/>
      <c r="E480" s="300"/>
      <c r="F480" s="300"/>
      <c r="G480" s="300"/>
      <c r="H480" s="300"/>
      <c r="I480" s="300"/>
      <c r="J480" s="300"/>
      <c r="K480" s="300"/>
      <c r="L480" s="300"/>
      <c r="M480" s="300"/>
      <c r="N480" s="300"/>
      <c r="O480" s="300"/>
      <c r="P480" s="300"/>
      <c r="Q480" s="300"/>
      <c r="R480" s="300"/>
      <c r="S480" s="300"/>
      <c r="T480" s="300"/>
      <c r="U480" s="300"/>
      <c r="V480" s="300"/>
      <c r="W480" s="300"/>
      <c r="X480" s="300"/>
      <c r="Y480" s="300"/>
      <c r="Z480" s="300"/>
      <c r="AA480" s="300"/>
    </row>
    <row r="481" spans="1:27" ht="15.5" x14ac:dyDescent="0.35">
      <c r="A481" s="300"/>
      <c r="B481" s="300"/>
      <c r="C481" s="300"/>
      <c r="D481" s="300"/>
      <c r="E481" s="300"/>
      <c r="F481" s="300"/>
      <c r="G481" s="300"/>
      <c r="H481" s="300"/>
      <c r="I481" s="300"/>
      <c r="J481" s="300"/>
      <c r="K481" s="300"/>
      <c r="L481" s="300"/>
      <c r="M481" s="300"/>
      <c r="N481" s="300"/>
      <c r="O481" s="300"/>
      <c r="P481" s="300"/>
      <c r="Q481" s="300"/>
      <c r="R481" s="300"/>
      <c r="S481" s="300"/>
      <c r="T481" s="300"/>
      <c r="U481" s="300"/>
      <c r="V481" s="300"/>
      <c r="W481" s="300"/>
      <c r="X481" s="300"/>
      <c r="Y481" s="300"/>
      <c r="Z481" s="300"/>
      <c r="AA481" s="300"/>
    </row>
    <row r="482" spans="1:27" ht="15.5" x14ac:dyDescent="0.35">
      <c r="A482" s="300"/>
      <c r="B482" s="300"/>
      <c r="C482" s="300"/>
      <c r="D482" s="300"/>
      <c r="E482" s="300"/>
      <c r="F482" s="300"/>
      <c r="G482" s="300"/>
      <c r="H482" s="300"/>
      <c r="I482" s="300"/>
      <c r="J482" s="300"/>
      <c r="K482" s="300"/>
      <c r="L482" s="300"/>
      <c r="M482" s="300"/>
      <c r="N482" s="300"/>
      <c r="O482" s="300"/>
      <c r="P482" s="300"/>
      <c r="Q482" s="300"/>
      <c r="R482" s="300"/>
      <c r="S482" s="300"/>
      <c r="T482" s="300"/>
      <c r="U482" s="300"/>
      <c r="V482" s="300"/>
      <c r="W482" s="300"/>
      <c r="X482" s="300"/>
      <c r="Y482" s="300"/>
      <c r="Z482" s="300"/>
      <c r="AA482" s="300"/>
    </row>
    <row r="483" spans="1:27" ht="15.5" x14ac:dyDescent="0.35">
      <c r="A483" s="300"/>
      <c r="B483" s="300"/>
      <c r="C483" s="300"/>
      <c r="D483" s="300"/>
      <c r="E483" s="300"/>
      <c r="F483" s="300"/>
      <c r="G483" s="300"/>
      <c r="H483" s="300"/>
      <c r="I483" s="300"/>
      <c r="J483" s="300"/>
      <c r="K483" s="300"/>
      <c r="L483" s="300"/>
      <c r="M483" s="300"/>
      <c r="N483" s="300"/>
      <c r="O483" s="300"/>
      <c r="P483" s="300"/>
      <c r="Q483" s="300"/>
      <c r="R483" s="300"/>
      <c r="S483" s="300"/>
      <c r="T483" s="300"/>
      <c r="U483" s="300"/>
      <c r="V483" s="300"/>
      <c r="W483" s="300"/>
      <c r="X483" s="300"/>
      <c r="Y483" s="300"/>
      <c r="Z483" s="300"/>
      <c r="AA483" s="300"/>
    </row>
    <row r="484" spans="1:27" ht="15.5" x14ac:dyDescent="0.35">
      <c r="A484" s="300"/>
      <c r="B484" s="300"/>
      <c r="C484" s="300"/>
      <c r="D484" s="300"/>
      <c r="E484" s="300"/>
      <c r="F484" s="300"/>
      <c r="G484" s="300"/>
      <c r="H484" s="300"/>
      <c r="I484" s="300"/>
      <c r="J484" s="300"/>
      <c r="K484" s="300"/>
      <c r="L484" s="300"/>
      <c r="M484" s="300"/>
      <c r="N484" s="300"/>
      <c r="O484" s="300"/>
      <c r="P484" s="300"/>
      <c r="Q484" s="300"/>
      <c r="R484" s="300"/>
      <c r="S484" s="300"/>
      <c r="T484" s="300"/>
      <c r="U484" s="300"/>
      <c r="V484" s="300"/>
      <c r="W484" s="300"/>
      <c r="X484" s="300"/>
      <c r="Y484" s="300"/>
      <c r="Z484" s="300"/>
      <c r="AA484" s="300"/>
    </row>
    <row r="485" spans="1:27" ht="15.5" x14ac:dyDescent="0.35">
      <c r="A485" s="300"/>
      <c r="B485" s="300"/>
      <c r="C485" s="300"/>
      <c r="D485" s="300"/>
      <c r="E485" s="300"/>
      <c r="F485" s="300"/>
      <c r="G485" s="300"/>
      <c r="H485" s="300"/>
      <c r="I485" s="300"/>
      <c r="J485" s="300"/>
      <c r="K485" s="300"/>
      <c r="L485" s="300"/>
      <c r="M485" s="300"/>
      <c r="N485" s="300"/>
      <c r="O485" s="300"/>
      <c r="P485" s="300"/>
      <c r="Q485" s="300"/>
      <c r="R485" s="300"/>
      <c r="S485" s="300"/>
      <c r="T485" s="300"/>
      <c r="U485" s="300"/>
      <c r="V485" s="300"/>
      <c r="W485" s="300"/>
      <c r="X485" s="300"/>
      <c r="Y485" s="300"/>
      <c r="Z485" s="300"/>
      <c r="AA485" s="300"/>
    </row>
    <row r="486" spans="1:27" ht="15.5" x14ac:dyDescent="0.35">
      <c r="A486" s="300"/>
      <c r="B486" s="300"/>
      <c r="C486" s="300"/>
      <c r="D486" s="300"/>
      <c r="E486" s="300"/>
      <c r="F486" s="300"/>
      <c r="G486" s="300"/>
      <c r="H486" s="300"/>
      <c r="I486" s="300"/>
      <c r="J486" s="300"/>
      <c r="K486" s="300"/>
      <c r="L486" s="300"/>
      <c r="M486" s="300"/>
      <c r="N486" s="300"/>
      <c r="O486" s="300"/>
      <c r="P486" s="300"/>
      <c r="Q486" s="300"/>
      <c r="R486" s="300"/>
      <c r="S486" s="300"/>
      <c r="T486" s="300"/>
      <c r="U486" s="300"/>
      <c r="V486" s="300"/>
      <c r="W486" s="300"/>
      <c r="X486" s="300"/>
      <c r="Y486" s="300"/>
      <c r="Z486" s="300"/>
      <c r="AA486" s="300"/>
    </row>
    <row r="487" spans="1:27" ht="15.5" x14ac:dyDescent="0.35">
      <c r="A487" s="300"/>
      <c r="B487" s="300"/>
      <c r="C487" s="300"/>
      <c r="D487" s="300"/>
      <c r="E487" s="300"/>
      <c r="F487" s="300"/>
      <c r="G487" s="300"/>
      <c r="H487" s="300"/>
      <c r="I487" s="300"/>
      <c r="J487" s="300"/>
      <c r="K487" s="300"/>
      <c r="L487" s="300"/>
      <c r="M487" s="300"/>
      <c r="N487" s="300"/>
      <c r="O487" s="300"/>
      <c r="P487" s="300"/>
      <c r="Q487" s="300"/>
      <c r="R487" s="300"/>
      <c r="S487" s="300"/>
      <c r="T487" s="300"/>
      <c r="U487" s="300"/>
      <c r="V487" s="300"/>
      <c r="W487" s="300"/>
      <c r="X487" s="300"/>
      <c r="Y487" s="300"/>
      <c r="Z487" s="300"/>
      <c r="AA487" s="300"/>
    </row>
    <row r="488" spans="1:27" ht="15.5" x14ac:dyDescent="0.35">
      <c r="A488" s="300"/>
      <c r="B488" s="300"/>
      <c r="C488" s="300"/>
      <c r="D488" s="300"/>
      <c r="E488" s="300"/>
      <c r="F488" s="300"/>
      <c r="G488" s="300"/>
      <c r="H488" s="300"/>
      <c r="I488" s="300"/>
      <c r="J488" s="300"/>
      <c r="K488" s="300"/>
      <c r="L488" s="300"/>
      <c r="M488" s="300"/>
      <c r="N488" s="300"/>
      <c r="O488" s="300"/>
      <c r="P488" s="300"/>
      <c r="Q488" s="300"/>
      <c r="R488" s="300"/>
      <c r="S488" s="300"/>
      <c r="T488" s="300"/>
      <c r="U488" s="300"/>
      <c r="V488" s="300"/>
      <c r="W488" s="300"/>
      <c r="X488" s="300"/>
      <c r="Y488" s="300"/>
      <c r="Z488" s="300"/>
      <c r="AA488" s="300"/>
    </row>
    <row r="489" spans="1:27" ht="15.5" x14ac:dyDescent="0.35">
      <c r="A489" s="300"/>
      <c r="B489" s="300"/>
      <c r="C489" s="300"/>
      <c r="D489" s="300"/>
      <c r="E489" s="300"/>
      <c r="F489" s="300"/>
      <c r="G489" s="300"/>
      <c r="H489" s="300"/>
      <c r="I489" s="300"/>
      <c r="J489" s="300"/>
      <c r="K489" s="300"/>
      <c r="L489" s="300"/>
      <c r="M489" s="300"/>
      <c r="N489" s="300"/>
      <c r="O489" s="300"/>
      <c r="P489" s="300"/>
      <c r="Q489" s="300"/>
      <c r="R489" s="300"/>
      <c r="S489" s="300"/>
      <c r="T489" s="300"/>
      <c r="U489" s="300"/>
      <c r="V489" s="300"/>
      <c r="W489" s="300"/>
      <c r="X489" s="300"/>
      <c r="Y489" s="300"/>
      <c r="Z489" s="300"/>
      <c r="AA489" s="300"/>
    </row>
    <row r="490" spans="1:27" ht="15.5" x14ac:dyDescent="0.35">
      <c r="A490" s="300"/>
      <c r="B490" s="300"/>
      <c r="C490" s="300"/>
      <c r="D490" s="300"/>
      <c r="E490" s="300"/>
      <c r="F490" s="300"/>
      <c r="G490" s="300"/>
      <c r="H490" s="300"/>
      <c r="I490" s="300"/>
      <c r="J490" s="300"/>
      <c r="K490" s="300"/>
      <c r="L490" s="300"/>
      <c r="M490" s="300"/>
      <c r="N490" s="300"/>
      <c r="O490" s="300"/>
      <c r="P490" s="300"/>
      <c r="Q490" s="300"/>
      <c r="R490" s="300"/>
      <c r="S490" s="300"/>
      <c r="T490" s="300"/>
      <c r="U490" s="300"/>
      <c r="V490" s="300"/>
      <c r="W490" s="300"/>
      <c r="X490" s="300"/>
      <c r="Y490" s="300"/>
      <c r="Z490" s="300"/>
      <c r="AA490" s="300"/>
    </row>
    <row r="491" spans="1:27" ht="15.5" x14ac:dyDescent="0.35">
      <c r="A491" s="300"/>
      <c r="B491" s="300"/>
      <c r="C491" s="300"/>
      <c r="D491" s="300"/>
      <c r="E491" s="300"/>
      <c r="F491" s="300"/>
      <c r="G491" s="300"/>
      <c r="H491" s="300"/>
      <c r="I491" s="300"/>
      <c r="J491" s="300"/>
      <c r="K491" s="300"/>
      <c r="L491" s="300"/>
      <c r="M491" s="300"/>
      <c r="N491" s="300"/>
      <c r="O491" s="300"/>
      <c r="P491" s="300"/>
      <c r="Q491" s="300"/>
      <c r="R491" s="300"/>
      <c r="S491" s="300"/>
      <c r="T491" s="300"/>
      <c r="U491" s="300"/>
      <c r="V491" s="300"/>
      <c r="W491" s="300"/>
      <c r="X491" s="300"/>
      <c r="Y491" s="300"/>
      <c r="Z491" s="300"/>
      <c r="AA491" s="300"/>
    </row>
    <row r="492" spans="1:27" ht="15.5" x14ac:dyDescent="0.35">
      <c r="A492" s="300"/>
      <c r="B492" s="300"/>
      <c r="C492" s="300"/>
      <c r="D492" s="300"/>
      <c r="E492" s="300"/>
      <c r="F492" s="300"/>
      <c r="G492" s="300"/>
      <c r="H492" s="300"/>
      <c r="I492" s="300"/>
      <c r="J492" s="300"/>
      <c r="K492" s="300"/>
      <c r="L492" s="300"/>
      <c r="M492" s="300"/>
      <c r="N492" s="300"/>
      <c r="O492" s="300"/>
      <c r="P492" s="300"/>
      <c r="Q492" s="300"/>
      <c r="R492" s="300"/>
      <c r="S492" s="300"/>
      <c r="T492" s="300"/>
      <c r="U492" s="300"/>
      <c r="V492" s="300"/>
      <c r="W492" s="300"/>
      <c r="X492" s="300"/>
      <c r="Y492" s="300"/>
      <c r="Z492" s="300"/>
      <c r="AA492" s="300"/>
    </row>
    <row r="493" spans="1:27" ht="15.5" x14ac:dyDescent="0.35">
      <c r="A493" s="300"/>
      <c r="B493" s="300"/>
      <c r="C493" s="300"/>
      <c r="D493" s="300"/>
      <c r="E493" s="300"/>
      <c r="F493" s="300"/>
      <c r="G493" s="300"/>
      <c r="H493" s="300"/>
      <c r="I493" s="300"/>
      <c r="J493" s="300"/>
      <c r="K493" s="300"/>
      <c r="L493" s="300"/>
      <c r="M493" s="300"/>
      <c r="N493" s="300"/>
      <c r="O493" s="300"/>
      <c r="P493" s="300"/>
      <c r="Q493" s="300"/>
      <c r="R493" s="300"/>
      <c r="S493" s="300"/>
      <c r="T493" s="300"/>
      <c r="U493" s="300"/>
      <c r="V493" s="300"/>
      <c r="W493" s="300"/>
      <c r="X493" s="300"/>
      <c r="Y493" s="300"/>
      <c r="Z493" s="300"/>
      <c r="AA493" s="300"/>
    </row>
    <row r="494" spans="1:27" ht="15.5" x14ac:dyDescent="0.35">
      <c r="A494" s="300"/>
      <c r="B494" s="300"/>
      <c r="C494" s="300"/>
      <c r="D494" s="300"/>
      <c r="E494" s="300"/>
      <c r="F494" s="300"/>
      <c r="G494" s="300"/>
      <c r="H494" s="300"/>
      <c r="I494" s="300"/>
      <c r="J494" s="300"/>
      <c r="K494" s="300"/>
      <c r="L494" s="300"/>
      <c r="M494" s="300"/>
      <c r="N494" s="300"/>
      <c r="O494" s="300"/>
      <c r="P494" s="300"/>
      <c r="Q494" s="300"/>
      <c r="R494" s="300"/>
      <c r="S494" s="300"/>
      <c r="T494" s="300"/>
      <c r="U494" s="300"/>
      <c r="V494" s="300"/>
      <c r="W494" s="300"/>
      <c r="X494" s="300"/>
      <c r="Y494" s="300"/>
      <c r="Z494" s="300"/>
      <c r="AA494" s="300"/>
    </row>
    <row r="495" spans="1:27" ht="15.5" x14ac:dyDescent="0.35">
      <c r="A495" s="300"/>
      <c r="B495" s="300"/>
      <c r="C495" s="300"/>
      <c r="D495" s="300"/>
      <c r="E495" s="300"/>
      <c r="F495" s="300"/>
      <c r="G495" s="300"/>
      <c r="H495" s="300"/>
      <c r="I495" s="300"/>
      <c r="J495" s="300"/>
      <c r="K495" s="300"/>
      <c r="L495" s="300"/>
      <c r="M495" s="300"/>
      <c r="N495" s="300"/>
      <c r="O495" s="300"/>
      <c r="P495" s="300"/>
      <c r="Q495" s="300"/>
      <c r="R495" s="300"/>
      <c r="S495" s="300"/>
      <c r="T495" s="300"/>
      <c r="U495" s="300"/>
      <c r="V495" s="300"/>
      <c r="W495" s="300"/>
      <c r="X495" s="300"/>
      <c r="Y495" s="300"/>
      <c r="Z495" s="300"/>
      <c r="AA495" s="300"/>
    </row>
    <row r="496" spans="1:27" ht="15.5" x14ac:dyDescent="0.35">
      <c r="A496" s="300"/>
      <c r="B496" s="300"/>
      <c r="C496" s="300"/>
      <c r="D496" s="300"/>
      <c r="E496" s="300"/>
      <c r="F496" s="300"/>
      <c r="G496" s="300"/>
      <c r="H496" s="300"/>
      <c r="I496" s="300"/>
      <c r="J496" s="300"/>
      <c r="K496" s="300"/>
      <c r="L496" s="300"/>
      <c r="M496" s="300"/>
      <c r="N496" s="300"/>
      <c r="O496" s="300"/>
      <c r="P496" s="300"/>
      <c r="Q496" s="300"/>
      <c r="R496" s="300"/>
      <c r="S496" s="300"/>
      <c r="T496" s="300"/>
      <c r="U496" s="300"/>
      <c r="V496" s="300"/>
      <c r="W496" s="300"/>
      <c r="X496" s="300"/>
      <c r="Y496" s="300"/>
      <c r="Z496" s="300"/>
      <c r="AA496" s="300"/>
    </row>
    <row r="497" spans="1:27" ht="15.5" x14ac:dyDescent="0.35">
      <c r="A497" s="300"/>
      <c r="B497" s="300"/>
      <c r="C497" s="300"/>
      <c r="D497" s="300"/>
      <c r="E497" s="300"/>
      <c r="F497" s="300"/>
      <c r="G497" s="300"/>
      <c r="H497" s="300"/>
      <c r="I497" s="300"/>
      <c r="J497" s="300"/>
      <c r="K497" s="300"/>
      <c r="L497" s="300"/>
      <c r="M497" s="300"/>
      <c r="N497" s="300"/>
      <c r="O497" s="300"/>
      <c r="P497" s="300"/>
      <c r="Q497" s="300"/>
      <c r="R497" s="300"/>
      <c r="S497" s="300"/>
      <c r="T497" s="300"/>
      <c r="U497" s="300"/>
      <c r="V497" s="300"/>
      <c r="W497" s="300"/>
      <c r="X497" s="300"/>
      <c r="Y497" s="300"/>
      <c r="Z497" s="300"/>
      <c r="AA497" s="300"/>
    </row>
    <row r="498" spans="1:27" ht="15.5" x14ac:dyDescent="0.35">
      <c r="A498" s="300"/>
      <c r="B498" s="300"/>
      <c r="C498" s="300"/>
      <c r="D498" s="300"/>
      <c r="E498" s="300"/>
      <c r="F498" s="300"/>
      <c r="G498" s="300"/>
      <c r="H498" s="300"/>
      <c r="I498" s="300"/>
      <c r="J498" s="300"/>
      <c r="K498" s="300"/>
      <c r="L498" s="300"/>
      <c r="M498" s="300"/>
      <c r="N498" s="300"/>
      <c r="O498" s="300"/>
      <c r="P498" s="300"/>
      <c r="Q498" s="300"/>
      <c r="R498" s="300"/>
      <c r="S498" s="300"/>
      <c r="T498" s="300"/>
      <c r="U498" s="300"/>
      <c r="V498" s="300"/>
      <c r="W498" s="300"/>
      <c r="X498" s="300"/>
      <c r="Y498" s="300"/>
      <c r="Z498" s="300"/>
      <c r="AA498" s="300"/>
    </row>
    <row r="499" spans="1:27" ht="15.5" x14ac:dyDescent="0.35">
      <c r="A499" s="300"/>
      <c r="B499" s="300"/>
      <c r="C499" s="300"/>
      <c r="D499" s="300"/>
      <c r="E499" s="300"/>
      <c r="F499" s="300"/>
      <c r="G499" s="300"/>
      <c r="H499" s="300"/>
      <c r="I499" s="300"/>
      <c r="J499" s="300"/>
      <c r="K499" s="300"/>
      <c r="L499" s="300"/>
      <c r="M499" s="300"/>
      <c r="N499" s="300"/>
      <c r="O499" s="300"/>
      <c r="P499" s="300"/>
      <c r="Q499" s="300"/>
      <c r="R499" s="300"/>
      <c r="S499" s="300"/>
      <c r="T499" s="300"/>
      <c r="U499" s="300"/>
      <c r="V499" s="300"/>
      <c r="W499" s="300"/>
      <c r="X499" s="300"/>
      <c r="Y499" s="300"/>
      <c r="Z499" s="300"/>
      <c r="AA499" s="300"/>
    </row>
    <row r="500" spans="1:27" ht="15.5" x14ac:dyDescent="0.35">
      <c r="A500" s="300"/>
      <c r="B500" s="300"/>
      <c r="C500" s="300"/>
      <c r="D500" s="300"/>
      <c r="E500" s="300"/>
      <c r="F500" s="300"/>
      <c r="G500" s="300"/>
      <c r="H500" s="300"/>
      <c r="I500" s="300"/>
      <c r="J500" s="300"/>
      <c r="K500" s="300"/>
      <c r="L500" s="300"/>
      <c r="M500" s="300"/>
      <c r="N500" s="300"/>
      <c r="O500" s="300"/>
      <c r="P500" s="300"/>
      <c r="Q500" s="300"/>
      <c r="R500" s="300"/>
      <c r="S500" s="300"/>
      <c r="T500" s="300"/>
      <c r="U500" s="300"/>
      <c r="V500" s="300"/>
      <c r="W500" s="300"/>
      <c r="X500" s="300"/>
      <c r="Y500" s="300"/>
      <c r="Z500" s="300"/>
      <c r="AA500" s="300"/>
    </row>
    <row r="501" spans="1:27" ht="15.5" x14ac:dyDescent="0.35">
      <c r="A501" s="300"/>
      <c r="B501" s="300"/>
      <c r="C501" s="300"/>
      <c r="D501" s="300"/>
      <c r="E501" s="300"/>
      <c r="F501" s="300"/>
      <c r="G501" s="300"/>
      <c r="H501" s="300"/>
      <c r="I501" s="300"/>
      <c r="J501" s="300"/>
      <c r="K501" s="300"/>
      <c r="L501" s="300"/>
      <c r="M501" s="300"/>
      <c r="N501" s="300"/>
      <c r="O501" s="300"/>
      <c r="P501" s="300"/>
      <c r="Q501" s="300"/>
      <c r="R501" s="300"/>
      <c r="S501" s="300"/>
      <c r="T501" s="300"/>
      <c r="U501" s="300"/>
      <c r="V501" s="300"/>
      <c r="W501" s="300"/>
      <c r="X501" s="300"/>
      <c r="Y501" s="300"/>
      <c r="Z501" s="300"/>
      <c r="AA501" s="300"/>
    </row>
    <row r="502" spans="1:27" ht="15.5" x14ac:dyDescent="0.35">
      <c r="A502" s="300"/>
      <c r="B502" s="300"/>
      <c r="C502" s="300"/>
      <c r="D502" s="300"/>
      <c r="E502" s="300"/>
      <c r="F502" s="300"/>
      <c r="G502" s="300"/>
      <c r="H502" s="300"/>
      <c r="I502" s="300"/>
      <c r="J502" s="300"/>
      <c r="K502" s="300"/>
      <c r="L502" s="300"/>
      <c r="M502" s="300"/>
      <c r="N502" s="300"/>
      <c r="O502" s="300"/>
      <c r="P502" s="300"/>
      <c r="Q502" s="300"/>
      <c r="R502" s="300"/>
      <c r="S502" s="300"/>
      <c r="T502" s="300"/>
      <c r="U502" s="300"/>
      <c r="V502" s="300"/>
      <c r="W502" s="300"/>
      <c r="X502" s="300"/>
      <c r="Y502" s="300"/>
      <c r="Z502" s="300"/>
      <c r="AA502" s="300"/>
    </row>
    <row r="503" spans="1:27" ht="15.5" x14ac:dyDescent="0.35">
      <c r="A503" s="300"/>
      <c r="B503" s="300"/>
      <c r="C503" s="300"/>
      <c r="D503" s="300"/>
      <c r="E503" s="300"/>
      <c r="F503" s="300"/>
      <c r="G503" s="300"/>
      <c r="H503" s="300"/>
      <c r="I503" s="300"/>
      <c r="J503" s="300"/>
      <c r="K503" s="300"/>
      <c r="L503" s="300"/>
      <c r="M503" s="300"/>
      <c r="N503" s="300"/>
      <c r="O503" s="300"/>
      <c r="P503" s="300"/>
      <c r="Q503" s="300"/>
      <c r="R503" s="300"/>
      <c r="S503" s="300"/>
      <c r="T503" s="300"/>
      <c r="U503" s="300"/>
      <c r="V503" s="300"/>
      <c r="W503" s="300"/>
      <c r="X503" s="300"/>
      <c r="Y503" s="300"/>
      <c r="Z503" s="300"/>
      <c r="AA503" s="300"/>
    </row>
    <row r="504" spans="1:27" ht="15.5" x14ac:dyDescent="0.35">
      <c r="A504" s="300"/>
      <c r="B504" s="300"/>
      <c r="C504" s="300"/>
      <c r="D504" s="300"/>
      <c r="E504" s="300"/>
      <c r="F504" s="300"/>
      <c r="G504" s="300"/>
      <c r="H504" s="300"/>
      <c r="I504" s="300"/>
      <c r="J504" s="300"/>
      <c r="K504" s="300"/>
      <c r="L504" s="300"/>
      <c r="M504" s="300"/>
      <c r="N504" s="300"/>
      <c r="O504" s="300"/>
      <c r="P504" s="300"/>
      <c r="Q504" s="300"/>
      <c r="R504" s="300"/>
      <c r="S504" s="300"/>
      <c r="T504" s="300"/>
      <c r="U504" s="300"/>
      <c r="V504" s="300"/>
      <c r="W504" s="300"/>
      <c r="X504" s="300"/>
      <c r="Y504" s="300"/>
      <c r="Z504" s="300"/>
      <c r="AA504" s="300"/>
    </row>
    <row r="505" spans="1:27" ht="15.5" x14ac:dyDescent="0.35">
      <c r="A505" s="300"/>
      <c r="B505" s="300"/>
      <c r="C505" s="300"/>
      <c r="D505" s="300"/>
      <c r="E505" s="300"/>
      <c r="F505" s="300"/>
      <c r="G505" s="300"/>
      <c r="H505" s="300"/>
      <c r="I505" s="300"/>
      <c r="J505" s="300"/>
      <c r="K505" s="300"/>
      <c r="L505" s="300"/>
      <c r="M505" s="300"/>
      <c r="N505" s="300"/>
      <c r="O505" s="300"/>
      <c r="P505" s="300"/>
      <c r="Q505" s="300"/>
      <c r="R505" s="300"/>
      <c r="S505" s="300"/>
      <c r="T505" s="300"/>
      <c r="U505" s="300"/>
      <c r="V505" s="300"/>
      <c r="W505" s="300"/>
      <c r="X505" s="300"/>
      <c r="Y505" s="300"/>
      <c r="Z505" s="300"/>
      <c r="AA505" s="300"/>
    </row>
    <row r="506" spans="1:27" ht="15.5" x14ac:dyDescent="0.35">
      <c r="A506" s="300"/>
      <c r="B506" s="300"/>
      <c r="C506" s="300"/>
      <c r="D506" s="300"/>
      <c r="E506" s="300"/>
      <c r="F506" s="300"/>
      <c r="G506" s="300"/>
      <c r="H506" s="300"/>
      <c r="I506" s="300"/>
      <c r="J506" s="300"/>
      <c r="K506" s="300"/>
      <c r="L506" s="300"/>
      <c r="M506" s="300"/>
      <c r="N506" s="300"/>
      <c r="O506" s="300"/>
      <c r="P506" s="300"/>
      <c r="Q506" s="300"/>
      <c r="R506" s="300"/>
      <c r="S506" s="300"/>
      <c r="T506" s="300"/>
      <c r="U506" s="300"/>
      <c r="V506" s="300"/>
      <c r="W506" s="300"/>
      <c r="X506" s="300"/>
      <c r="Y506" s="300"/>
      <c r="Z506" s="300"/>
      <c r="AA506" s="300"/>
    </row>
    <row r="507" spans="1:27" ht="15.5" x14ac:dyDescent="0.35">
      <c r="A507" s="300"/>
      <c r="B507" s="300"/>
      <c r="C507" s="300"/>
      <c r="D507" s="300"/>
      <c r="E507" s="300"/>
      <c r="F507" s="300"/>
      <c r="G507" s="300"/>
      <c r="H507" s="300"/>
      <c r="I507" s="300"/>
      <c r="J507" s="300"/>
      <c r="K507" s="300"/>
      <c r="L507" s="300"/>
      <c r="M507" s="300"/>
      <c r="N507" s="300"/>
      <c r="O507" s="300"/>
      <c r="P507" s="300"/>
      <c r="Q507" s="300"/>
      <c r="R507" s="300"/>
      <c r="S507" s="300"/>
      <c r="T507" s="300"/>
      <c r="U507" s="300"/>
      <c r="V507" s="300"/>
      <c r="W507" s="300"/>
      <c r="X507" s="300"/>
      <c r="Y507" s="300"/>
      <c r="Z507" s="300"/>
      <c r="AA507" s="300"/>
    </row>
    <row r="508" spans="1:27" ht="15.5" x14ac:dyDescent="0.35">
      <c r="A508" s="300"/>
      <c r="B508" s="300"/>
      <c r="C508" s="300"/>
      <c r="D508" s="300"/>
      <c r="E508" s="300"/>
      <c r="F508" s="300"/>
      <c r="G508" s="300"/>
      <c r="H508" s="300"/>
      <c r="I508" s="300"/>
      <c r="J508" s="300"/>
      <c r="K508" s="300"/>
      <c r="L508" s="300"/>
      <c r="M508" s="300"/>
      <c r="N508" s="300"/>
      <c r="O508" s="300"/>
      <c r="P508" s="300"/>
      <c r="Q508" s="300"/>
      <c r="R508" s="300"/>
      <c r="S508" s="300"/>
      <c r="T508" s="300"/>
      <c r="U508" s="300"/>
      <c r="V508" s="300"/>
      <c r="W508" s="300"/>
      <c r="X508" s="300"/>
      <c r="Y508" s="300"/>
      <c r="Z508" s="300"/>
      <c r="AA508" s="300"/>
    </row>
    <row r="509" spans="1:27" ht="15.5" x14ac:dyDescent="0.35">
      <c r="A509" s="300"/>
      <c r="B509" s="300"/>
      <c r="C509" s="300"/>
      <c r="D509" s="300"/>
      <c r="E509" s="300"/>
      <c r="F509" s="300"/>
      <c r="G509" s="300"/>
      <c r="H509" s="300"/>
      <c r="I509" s="300"/>
      <c r="J509" s="300"/>
      <c r="K509" s="300"/>
      <c r="L509" s="300"/>
      <c r="M509" s="300"/>
      <c r="N509" s="300"/>
      <c r="O509" s="300"/>
      <c r="P509" s="300"/>
      <c r="Q509" s="300"/>
      <c r="R509" s="300"/>
      <c r="S509" s="300"/>
      <c r="T509" s="300"/>
      <c r="U509" s="300"/>
      <c r="V509" s="300"/>
      <c r="W509" s="300"/>
      <c r="X509" s="300"/>
      <c r="Y509" s="300"/>
      <c r="Z509" s="300"/>
      <c r="AA509" s="300"/>
    </row>
    <row r="510" spans="1:27" ht="15.5" x14ac:dyDescent="0.35">
      <c r="A510" s="300"/>
      <c r="B510" s="300"/>
      <c r="C510" s="300"/>
      <c r="D510" s="300"/>
      <c r="E510" s="300"/>
      <c r="F510" s="300"/>
      <c r="G510" s="300"/>
      <c r="H510" s="300"/>
      <c r="I510" s="300"/>
      <c r="J510" s="300"/>
      <c r="K510" s="300"/>
      <c r="L510" s="300"/>
      <c r="M510" s="300"/>
      <c r="N510" s="300"/>
      <c r="O510" s="300"/>
      <c r="P510" s="300"/>
      <c r="Q510" s="300"/>
      <c r="R510" s="300"/>
      <c r="S510" s="300"/>
      <c r="T510" s="300"/>
      <c r="U510" s="300"/>
      <c r="V510" s="300"/>
      <c r="W510" s="300"/>
      <c r="X510" s="300"/>
      <c r="Y510" s="300"/>
      <c r="Z510" s="300"/>
      <c r="AA510" s="300"/>
    </row>
    <row r="511" spans="1:27" ht="15.5" x14ac:dyDescent="0.35">
      <c r="A511" s="300"/>
      <c r="B511" s="300"/>
      <c r="C511" s="300"/>
      <c r="D511" s="300"/>
      <c r="E511" s="300"/>
      <c r="F511" s="300"/>
      <c r="G511" s="300"/>
      <c r="H511" s="300"/>
      <c r="I511" s="300"/>
      <c r="J511" s="300"/>
      <c r="K511" s="300"/>
      <c r="L511" s="300"/>
      <c r="M511" s="300"/>
      <c r="N511" s="300"/>
      <c r="O511" s="300"/>
      <c r="P511" s="300"/>
      <c r="Q511" s="300"/>
      <c r="R511" s="300"/>
      <c r="S511" s="300"/>
      <c r="T511" s="300"/>
      <c r="U511" s="300"/>
      <c r="V511" s="300"/>
      <c r="W511" s="300"/>
      <c r="X511" s="300"/>
      <c r="Y511" s="300"/>
      <c r="Z511" s="300"/>
      <c r="AA511" s="300"/>
    </row>
    <row r="512" spans="1:27" ht="15.5" x14ac:dyDescent="0.35">
      <c r="A512" s="300"/>
      <c r="B512" s="300"/>
      <c r="C512" s="300"/>
      <c r="D512" s="300"/>
      <c r="E512" s="300"/>
      <c r="F512" s="300"/>
      <c r="G512" s="300"/>
      <c r="H512" s="300"/>
      <c r="I512" s="300"/>
      <c r="J512" s="300"/>
      <c r="K512" s="300"/>
      <c r="L512" s="300"/>
      <c r="M512" s="300"/>
      <c r="N512" s="300"/>
      <c r="O512" s="300"/>
      <c r="P512" s="300"/>
      <c r="Q512" s="300"/>
      <c r="R512" s="300"/>
      <c r="S512" s="300"/>
      <c r="T512" s="300"/>
      <c r="U512" s="300"/>
      <c r="V512" s="300"/>
      <c r="W512" s="300"/>
      <c r="X512" s="300"/>
      <c r="Y512" s="300"/>
      <c r="Z512" s="300"/>
      <c r="AA512" s="300"/>
    </row>
    <row r="513" spans="1:27" ht="15.5" x14ac:dyDescent="0.35">
      <c r="A513" s="300"/>
      <c r="B513" s="300"/>
      <c r="C513" s="300"/>
      <c r="D513" s="300"/>
      <c r="E513" s="300"/>
      <c r="F513" s="300"/>
      <c r="G513" s="300"/>
      <c r="H513" s="300"/>
      <c r="I513" s="300"/>
      <c r="J513" s="300"/>
      <c r="K513" s="300"/>
      <c r="L513" s="300"/>
      <c r="M513" s="300"/>
      <c r="N513" s="300"/>
      <c r="O513" s="300"/>
      <c r="P513" s="300"/>
      <c r="Q513" s="300"/>
      <c r="R513" s="300"/>
      <c r="S513" s="300"/>
      <c r="T513" s="300"/>
      <c r="U513" s="300"/>
      <c r="V513" s="300"/>
      <c r="W513" s="300"/>
      <c r="X513" s="300"/>
      <c r="Y513" s="300"/>
      <c r="Z513" s="300"/>
      <c r="AA513" s="300"/>
    </row>
    <row r="514" spans="1:27" ht="15.5" x14ac:dyDescent="0.35">
      <c r="A514" s="300"/>
      <c r="B514" s="300"/>
      <c r="C514" s="300"/>
      <c r="D514" s="300"/>
      <c r="E514" s="300"/>
      <c r="F514" s="300"/>
      <c r="G514" s="300"/>
      <c r="H514" s="300"/>
      <c r="I514" s="300"/>
      <c r="J514" s="300"/>
      <c r="K514" s="300"/>
      <c r="L514" s="300"/>
      <c r="M514" s="300"/>
      <c r="N514" s="300"/>
      <c r="O514" s="300"/>
      <c r="P514" s="300"/>
      <c r="Q514" s="300"/>
      <c r="R514" s="300"/>
      <c r="S514" s="300"/>
      <c r="T514" s="300"/>
      <c r="U514" s="300"/>
      <c r="V514" s="300"/>
      <c r="W514" s="300"/>
      <c r="X514" s="300"/>
      <c r="Y514" s="300"/>
      <c r="Z514" s="300"/>
      <c r="AA514" s="300"/>
    </row>
    <row r="515" spans="1:27" ht="15.5" x14ac:dyDescent="0.35">
      <c r="A515" s="300"/>
      <c r="B515" s="300"/>
      <c r="C515" s="300"/>
      <c r="D515" s="300"/>
      <c r="E515" s="300"/>
      <c r="F515" s="300"/>
      <c r="G515" s="300"/>
      <c r="H515" s="300"/>
      <c r="I515" s="300"/>
      <c r="J515" s="300"/>
      <c r="K515" s="300"/>
      <c r="L515" s="300"/>
      <c r="M515" s="300"/>
      <c r="N515" s="300"/>
      <c r="O515" s="300"/>
      <c r="P515" s="300"/>
      <c r="Q515" s="300"/>
      <c r="R515" s="300"/>
      <c r="S515" s="300"/>
      <c r="T515" s="300"/>
      <c r="U515" s="300"/>
      <c r="V515" s="300"/>
      <c r="W515" s="300"/>
      <c r="X515" s="300"/>
      <c r="Y515" s="300"/>
      <c r="Z515" s="300"/>
      <c r="AA515" s="300"/>
    </row>
    <row r="516" spans="1:27" ht="15.5" x14ac:dyDescent="0.35">
      <c r="A516" s="300"/>
      <c r="B516" s="300"/>
      <c r="C516" s="300"/>
      <c r="D516" s="300"/>
      <c r="E516" s="300"/>
      <c r="F516" s="300"/>
      <c r="G516" s="300"/>
      <c r="H516" s="300"/>
      <c r="I516" s="300"/>
      <c r="J516" s="300"/>
      <c r="K516" s="300"/>
      <c r="L516" s="300"/>
      <c r="M516" s="300"/>
      <c r="N516" s="300"/>
      <c r="O516" s="300"/>
      <c r="P516" s="300"/>
      <c r="Q516" s="300"/>
      <c r="R516" s="300"/>
      <c r="S516" s="300"/>
      <c r="T516" s="300"/>
      <c r="U516" s="300"/>
      <c r="V516" s="300"/>
      <c r="W516" s="300"/>
      <c r="X516" s="300"/>
      <c r="Y516" s="300"/>
      <c r="Z516" s="300"/>
      <c r="AA516" s="300"/>
    </row>
    <row r="517" spans="1:27" ht="15.5" x14ac:dyDescent="0.35">
      <c r="A517" s="300"/>
      <c r="B517" s="300"/>
      <c r="C517" s="300"/>
      <c r="D517" s="300"/>
      <c r="E517" s="300"/>
      <c r="F517" s="300"/>
      <c r="G517" s="300"/>
      <c r="H517" s="300"/>
      <c r="I517" s="300"/>
      <c r="J517" s="300"/>
      <c r="K517" s="300"/>
      <c r="L517" s="300"/>
      <c r="M517" s="300"/>
      <c r="N517" s="300"/>
      <c r="O517" s="300"/>
      <c r="P517" s="300"/>
      <c r="Q517" s="300"/>
      <c r="R517" s="300"/>
      <c r="S517" s="300"/>
      <c r="T517" s="300"/>
      <c r="U517" s="300"/>
      <c r="V517" s="300"/>
      <c r="W517" s="300"/>
      <c r="X517" s="300"/>
      <c r="Y517" s="300"/>
      <c r="Z517" s="300"/>
      <c r="AA517" s="300"/>
    </row>
    <row r="518" spans="1:27" ht="15.5" x14ac:dyDescent="0.35">
      <c r="A518" s="300"/>
      <c r="B518" s="300"/>
      <c r="C518" s="300"/>
      <c r="D518" s="300"/>
      <c r="E518" s="300"/>
      <c r="F518" s="300"/>
      <c r="G518" s="300"/>
      <c r="H518" s="300"/>
      <c r="I518" s="300"/>
      <c r="J518" s="300"/>
      <c r="K518" s="300"/>
      <c r="L518" s="300"/>
      <c r="M518" s="300"/>
      <c r="N518" s="300"/>
      <c r="O518" s="300"/>
      <c r="P518" s="300"/>
      <c r="Q518" s="300"/>
      <c r="R518" s="300"/>
      <c r="S518" s="300"/>
      <c r="T518" s="300"/>
      <c r="U518" s="300"/>
      <c r="V518" s="300"/>
      <c r="W518" s="300"/>
      <c r="X518" s="300"/>
      <c r="Y518" s="300"/>
      <c r="Z518" s="300"/>
      <c r="AA518" s="300"/>
    </row>
    <row r="519" spans="1:27" ht="15.5" x14ac:dyDescent="0.35">
      <c r="A519" s="300"/>
      <c r="B519" s="300"/>
      <c r="C519" s="300"/>
      <c r="D519" s="300"/>
      <c r="E519" s="300"/>
      <c r="F519" s="300"/>
      <c r="G519" s="300"/>
      <c r="H519" s="300"/>
      <c r="I519" s="300"/>
      <c r="J519" s="300"/>
      <c r="K519" s="300"/>
      <c r="L519" s="300"/>
      <c r="M519" s="300"/>
      <c r="N519" s="300"/>
      <c r="O519" s="300"/>
      <c r="P519" s="300"/>
      <c r="Q519" s="300"/>
      <c r="R519" s="300"/>
      <c r="S519" s="300"/>
      <c r="T519" s="300"/>
      <c r="U519" s="300"/>
      <c r="V519" s="300"/>
      <c r="W519" s="300"/>
      <c r="X519" s="300"/>
      <c r="Y519" s="300"/>
      <c r="Z519" s="300"/>
      <c r="AA519" s="300"/>
    </row>
    <row r="520" spans="1:27" ht="15.5" x14ac:dyDescent="0.35">
      <c r="A520" s="300"/>
      <c r="B520" s="300"/>
      <c r="C520" s="300"/>
      <c r="D520" s="300"/>
      <c r="E520" s="300"/>
      <c r="F520" s="300"/>
      <c r="G520" s="300"/>
      <c r="H520" s="300"/>
      <c r="I520" s="300"/>
      <c r="J520" s="300"/>
      <c r="K520" s="300"/>
      <c r="L520" s="300"/>
      <c r="M520" s="300"/>
      <c r="N520" s="300"/>
      <c r="O520" s="300"/>
      <c r="P520" s="300"/>
      <c r="Q520" s="300"/>
      <c r="R520" s="300"/>
      <c r="S520" s="300"/>
      <c r="T520" s="300"/>
      <c r="U520" s="300"/>
      <c r="V520" s="300"/>
      <c r="W520" s="300"/>
      <c r="X520" s="300"/>
      <c r="Y520" s="300"/>
      <c r="Z520" s="300"/>
      <c r="AA520" s="300"/>
    </row>
    <row r="521" spans="1:27" ht="15.5" x14ac:dyDescent="0.35">
      <c r="A521" s="300"/>
      <c r="B521" s="300"/>
      <c r="C521" s="300"/>
      <c r="D521" s="300"/>
      <c r="E521" s="300"/>
      <c r="F521" s="300"/>
      <c r="G521" s="300"/>
      <c r="H521" s="300"/>
      <c r="I521" s="300"/>
      <c r="J521" s="300"/>
      <c r="K521" s="300"/>
      <c r="L521" s="300"/>
      <c r="M521" s="300"/>
      <c r="N521" s="300"/>
      <c r="O521" s="300"/>
      <c r="P521" s="300"/>
      <c r="Q521" s="300"/>
      <c r="R521" s="300"/>
      <c r="S521" s="300"/>
      <c r="T521" s="300"/>
      <c r="U521" s="300"/>
      <c r="V521" s="300"/>
      <c r="W521" s="300"/>
      <c r="X521" s="300"/>
      <c r="Y521" s="300"/>
      <c r="Z521" s="300"/>
      <c r="AA521" s="300"/>
    </row>
    <row r="522" spans="1:27" ht="15.5" x14ac:dyDescent="0.35">
      <c r="A522" s="300"/>
      <c r="B522" s="300"/>
      <c r="C522" s="300"/>
      <c r="D522" s="300"/>
      <c r="E522" s="300"/>
      <c r="F522" s="300"/>
      <c r="G522" s="300"/>
      <c r="H522" s="300"/>
      <c r="I522" s="300"/>
      <c r="J522" s="300"/>
      <c r="K522" s="300"/>
      <c r="L522" s="300"/>
      <c r="M522" s="300"/>
      <c r="N522" s="300"/>
      <c r="O522" s="300"/>
      <c r="P522" s="300"/>
      <c r="Q522" s="300"/>
      <c r="R522" s="300"/>
      <c r="S522" s="300"/>
      <c r="T522" s="300"/>
      <c r="U522" s="300"/>
      <c r="V522" s="300"/>
      <c r="W522" s="300"/>
      <c r="X522" s="300"/>
      <c r="Y522" s="300"/>
      <c r="Z522" s="300"/>
      <c r="AA522" s="300"/>
    </row>
    <row r="523" spans="1:27" ht="15.5" x14ac:dyDescent="0.35">
      <c r="A523" s="300"/>
      <c r="B523" s="300"/>
      <c r="C523" s="300"/>
      <c r="D523" s="300"/>
      <c r="E523" s="300"/>
      <c r="F523" s="300"/>
      <c r="G523" s="300"/>
      <c r="H523" s="300"/>
      <c r="I523" s="300"/>
      <c r="J523" s="300"/>
      <c r="K523" s="300"/>
      <c r="L523" s="300"/>
      <c r="M523" s="300"/>
      <c r="N523" s="300"/>
      <c r="O523" s="300"/>
      <c r="P523" s="300"/>
      <c r="Q523" s="300"/>
      <c r="R523" s="300"/>
      <c r="S523" s="300"/>
      <c r="T523" s="300"/>
      <c r="U523" s="300"/>
      <c r="V523" s="300"/>
      <c r="W523" s="300"/>
      <c r="X523" s="300"/>
      <c r="Y523" s="300"/>
      <c r="Z523" s="300"/>
      <c r="AA523" s="300"/>
    </row>
    <row r="524" spans="1:27" ht="15.5" x14ac:dyDescent="0.35">
      <c r="A524" s="300"/>
      <c r="B524" s="300"/>
      <c r="C524" s="300"/>
      <c r="D524" s="300"/>
      <c r="E524" s="300"/>
      <c r="F524" s="300"/>
      <c r="G524" s="300"/>
      <c r="H524" s="300"/>
      <c r="I524" s="300"/>
      <c r="J524" s="300"/>
      <c r="K524" s="300"/>
      <c r="L524" s="300"/>
      <c r="M524" s="300"/>
      <c r="N524" s="300"/>
      <c r="O524" s="300"/>
      <c r="P524" s="300"/>
      <c r="Q524" s="300"/>
      <c r="R524" s="300"/>
      <c r="S524" s="300"/>
      <c r="T524" s="300"/>
      <c r="U524" s="300"/>
      <c r="V524" s="300"/>
      <c r="W524" s="300"/>
      <c r="X524" s="300"/>
      <c r="Y524" s="300"/>
      <c r="Z524" s="300"/>
      <c r="AA524" s="300"/>
    </row>
    <row r="525" spans="1:27" ht="15.5" x14ac:dyDescent="0.35">
      <c r="A525" s="300"/>
      <c r="B525" s="300"/>
      <c r="C525" s="300"/>
      <c r="D525" s="300"/>
      <c r="E525" s="300"/>
      <c r="F525" s="300"/>
      <c r="G525" s="300"/>
      <c r="H525" s="300"/>
      <c r="I525" s="300"/>
      <c r="J525" s="300"/>
      <c r="K525" s="300"/>
      <c r="L525" s="300"/>
      <c r="M525" s="300"/>
      <c r="N525" s="300"/>
      <c r="O525" s="300"/>
      <c r="P525" s="300"/>
      <c r="Q525" s="300"/>
      <c r="R525" s="300"/>
      <c r="S525" s="300"/>
      <c r="T525" s="300"/>
      <c r="U525" s="300"/>
      <c r="V525" s="300"/>
      <c r="W525" s="300"/>
      <c r="X525" s="300"/>
      <c r="Y525" s="300"/>
      <c r="Z525" s="300"/>
      <c r="AA525" s="300"/>
    </row>
    <row r="526" spans="1:27" ht="15.5" x14ac:dyDescent="0.35">
      <c r="A526" s="300"/>
      <c r="B526" s="300"/>
      <c r="C526" s="300"/>
      <c r="D526" s="300"/>
      <c r="E526" s="300"/>
      <c r="F526" s="300"/>
      <c r="G526" s="300"/>
      <c r="H526" s="300"/>
      <c r="I526" s="300"/>
      <c r="J526" s="300"/>
      <c r="K526" s="300"/>
      <c r="L526" s="300"/>
      <c r="M526" s="300"/>
      <c r="N526" s="300"/>
      <c r="O526" s="300"/>
      <c r="P526" s="300"/>
      <c r="Q526" s="300"/>
      <c r="R526" s="300"/>
      <c r="S526" s="300"/>
      <c r="T526" s="300"/>
      <c r="U526" s="300"/>
      <c r="V526" s="300"/>
      <c r="W526" s="300"/>
      <c r="X526" s="300"/>
      <c r="Y526" s="300"/>
      <c r="Z526" s="300"/>
      <c r="AA526" s="300"/>
    </row>
    <row r="527" spans="1:27" ht="15.5" x14ac:dyDescent="0.35">
      <c r="A527" s="300"/>
      <c r="B527" s="300"/>
      <c r="C527" s="300"/>
      <c r="D527" s="300"/>
      <c r="E527" s="300"/>
      <c r="F527" s="300"/>
      <c r="G527" s="300"/>
      <c r="H527" s="300"/>
      <c r="I527" s="300"/>
      <c r="J527" s="300"/>
      <c r="K527" s="300"/>
      <c r="L527" s="300"/>
      <c r="M527" s="300"/>
      <c r="N527" s="300"/>
      <c r="O527" s="300"/>
      <c r="P527" s="300"/>
      <c r="Q527" s="300"/>
      <c r="R527" s="300"/>
      <c r="S527" s="300"/>
      <c r="T527" s="300"/>
      <c r="U527" s="300"/>
      <c r="V527" s="300"/>
      <c r="W527" s="300"/>
      <c r="X527" s="300"/>
      <c r="Y527" s="300"/>
      <c r="Z527" s="300"/>
      <c r="AA527" s="300"/>
    </row>
    <row r="528" spans="1:27" ht="15.5" x14ac:dyDescent="0.35">
      <c r="A528" s="300"/>
      <c r="B528" s="300"/>
      <c r="C528" s="300"/>
      <c r="D528" s="300"/>
      <c r="E528" s="300"/>
      <c r="F528" s="300"/>
      <c r="G528" s="300"/>
      <c r="H528" s="300"/>
      <c r="I528" s="300"/>
      <c r="J528" s="300"/>
      <c r="K528" s="300"/>
      <c r="L528" s="300"/>
      <c r="M528" s="300"/>
      <c r="N528" s="300"/>
      <c r="O528" s="300"/>
      <c r="P528" s="300"/>
      <c r="Q528" s="300"/>
      <c r="R528" s="300"/>
      <c r="S528" s="300"/>
      <c r="T528" s="300"/>
      <c r="U528" s="300"/>
      <c r="V528" s="300"/>
      <c r="W528" s="300"/>
      <c r="X528" s="300"/>
      <c r="Y528" s="300"/>
      <c r="Z528" s="300"/>
      <c r="AA528" s="300"/>
    </row>
    <row r="529" spans="1:27" ht="15.5" x14ac:dyDescent="0.35">
      <c r="A529" s="300"/>
      <c r="B529" s="300"/>
      <c r="C529" s="300"/>
      <c r="D529" s="300"/>
      <c r="E529" s="300"/>
      <c r="F529" s="300"/>
      <c r="G529" s="300"/>
      <c r="H529" s="300"/>
      <c r="I529" s="300"/>
      <c r="J529" s="300"/>
      <c r="K529" s="300"/>
      <c r="L529" s="300"/>
      <c r="M529" s="300"/>
      <c r="N529" s="300"/>
      <c r="O529" s="300"/>
      <c r="P529" s="300"/>
      <c r="Q529" s="300"/>
      <c r="R529" s="300"/>
      <c r="S529" s="300"/>
      <c r="T529" s="300"/>
      <c r="U529" s="300"/>
      <c r="V529" s="300"/>
      <c r="W529" s="300"/>
      <c r="X529" s="300"/>
      <c r="Y529" s="300"/>
      <c r="Z529" s="300"/>
      <c r="AA529" s="300"/>
    </row>
    <row r="530" spans="1:27" ht="15.5" x14ac:dyDescent="0.35">
      <c r="A530" s="300"/>
      <c r="B530" s="300"/>
      <c r="C530" s="300"/>
      <c r="D530" s="300"/>
      <c r="E530" s="300"/>
      <c r="F530" s="300"/>
      <c r="G530" s="300"/>
      <c r="H530" s="300"/>
      <c r="I530" s="300"/>
      <c r="J530" s="300"/>
      <c r="K530" s="300"/>
      <c r="L530" s="300"/>
      <c r="M530" s="300"/>
      <c r="N530" s="300"/>
      <c r="O530" s="300"/>
      <c r="P530" s="300"/>
      <c r="Q530" s="300"/>
      <c r="R530" s="300"/>
      <c r="S530" s="300"/>
      <c r="T530" s="300"/>
      <c r="U530" s="300"/>
      <c r="V530" s="300"/>
      <c r="W530" s="300"/>
      <c r="X530" s="300"/>
      <c r="Y530" s="300"/>
      <c r="Z530" s="300"/>
      <c r="AA530" s="300"/>
    </row>
    <row r="531" spans="1:27" ht="15.5" x14ac:dyDescent="0.35">
      <c r="A531" s="300"/>
      <c r="B531" s="300"/>
      <c r="C531" s="300"/>
      <c r="D531" s="300"/>
      <c r="E531" s="300"/>
      <c r="F531" s="300"/>
      <c r="G531" s="300"/>
      <c r="H531" s="300"/>
      <c r="I531" s="300"/>
      <c r="J531" s="300"/>
      <c r="K531" s="300"/>
      <c r="L531" s="300"/>
      <c r="M531" s="300"/>
      <c r="N531" s="300"/>
      <c r="O531" s="300"/>
      <c r="P531" s="300"/>
      <c r="Q531" s="300"/>
      <c r="R531" s="300"/>
      <c r="S531" s="300"/>
      <c r="T531" s="300"/>
      <c r="U531" s="300"/>
      <c r="V531" s="300"/>
      <c r="W531" s="300"/>
      <c r="X531" s="300"/>
      <c r="Y531" s="300"/>
      <c r="Z531" s="300"/>
      <c r="AA531" s="300"/>
    </row>
    <row r="532" spans="1:27" ht="15.5" x14ac:dyDescent="0.35">
      <c r="A532" s="300"/>
      <c r="B532" s="300"/>
      <c r="C532" s="300"/>
      <c r="D532" s="300"/>
      <c r="E532" s="300"/>
      <c r="F532" s="300"/>
      <c r="G532" s="300"/>
      <c r="H532" s="300"/>
      <c r="I532" s="300"/>
      <c r="J532" s="300"/>
      <c r="K532" s="300"/>
      <c r="L532" s="300"/>
      <c r="M532" s="300"/>
      <c r="N532" s="300"/>
      <c r="O532" s="300"/>
      <c r="P532" s="300"/>
      <c r="Q532" s="300"/>
      <c r="R532" s="300"/>
      <c r="S532" s="300"/>
      <c r="T532" s="300"/>
      <c r="U532" s="300"/>
      <c r="V532" s="300"/>
      <c r="W532" s="300"/>
      <c r="X532" s="300"/>
      <c r="Y532" s="300"/>
      <c r="Z532" s="300"/>
      <c r="AA532" s="300"/>
    </row>
    <row r="533" spans="1:27" ht="15.5" x14ac:dyDescent="0.35">
      <c r="A533" s="300"/>
      <c r="B533" s="300"/>
      <c r="C533" s="300"/>
      <c r="D533" s="300"/>
      <c r="E533" s="300"/>
      <c r="F533" s="300"/>
      <c r="G533" s="300"/>
      <c r="H533" s="300"/>
      <c r="I533" s="300"/>
      <c r="J533" s="300"/>
      <c r="K533" s="300"/>
      <c r="L533" s="300"/>
      <c r="M533" s="300"/>
      <c r="N533" s="300"/>
      <c r="O533" s="300"/>
      <c r="P533" s="300"/>
      <c r="Q533" s="300"/>
      <c r="R533" s="300"/>
      <c r="S533" s="300"/>
      <c r="T533" s="300"/>
      <c r="U533" s="300"/>
      <c r="V533" s="300"/>
      <c r="W533" s="300"/>
      <c r="X533" s="300"/>
      <c r="Y533" s="300"/>
      <c r="Z533" s="300"/>
      <c r="AA533" s="300"/>
    </row>
    <row r="534" spans="1:27" ht="15.5" x14ac:dyDescent="0.35">
      <c r="A534" s="300"/>
      <c r="B534" s="300"/>
      <c r="C534" s="300"/>
      <c r="D534" s="300"/>
      <c r="E534" s="300"/>
      <c r="F534" s="300"/>
      <c r="G534" s="300"/>
      <c r="H534" s="300"/>
      <c r="I534" s="300"/>
      <c r="J534" s="300"/>
      <c r="K534" s="300"/>
      <c r="L534" s="300"/>
      <c r="M534" s="300"/>
      <c r="N534" s="300"/>
      <c r="O534" s="300"/>
      <c r="P534" s="300"/>
      <c r="Q534" s="300"/>
      <c r="R534" s="300"/>
      <c r="S534" s="300"/>
      <c r="T534" s="300"/>
      <c r="U534" s="300"/>
      <c r="V534" s="300"/>
      <c r="W534" s="300"/>
      <c r="X534" s="300"/>
      <c r="Y534" s="300"/>
      <c r="Z534" s="300"/>
      <c r="AA534" s="300"/>
    </row>
    <row r="535" spans="1:27" ht="15.5" x14ac:dyDescent="0.35">
      <c r="A535" s="300"/>
      <c r="B535" s="300"/>
      <c r="C535" s="300"/>
      <c r="D535" s="300"/>
      <c r="E535" s="300"/>
      <c r="F535" s="300"/>
      <c r="G535" s="300"/>
      <c r="H535" s="300"/>
      <c r="I535" s="300"/>
      <c r="J535" s="300"/>
      <c r="K535" s="300"/>
      <c r="L535" s="300"/>
      <c r="M535" s="300"/>
      <c r="N535" s="300"/>
      <c r="O535" s="300"/>
      <c r="P535" s="300"/>
      <c r="Q535" s="300"/>
      <c r="R535" s="300"/>
      <c r="S535" s="300"/>
      <c r="T535" s="300"/>
      <c r="U535" s="300"/>
      <c r="V535" s="300"/>
      <c r="W535" s="300"/>
      <c r="X535" s="300"/>
      <c r="Y535" s="300"/>
      <c r="Z535" s="300"/>
      <c r="AA535" s="300"/>
    </row>
    <row r="536" spans="1:27" ht="15.5" x14ac:dyDescent="0.35">
      <c r="A536" s="300"/>
      <c r="B536" s="300"/>
      <c r="C536" s="300"/>
      <c r="D536" s="300"/>
      <c r="E536" s="300"/>
      <c r="F536" s="300"/>
      <c r="G536" s="300"/>
      <c r="H536" s="300"/>
      <c r="I536" s="300"/>
      <c r="J536" s="300"/>
      <c r="K536" s="300"/>
      <c r="L536" s="300"/>
      <c r="M536" s="300"/>
      <c r="N536" s="300"/>
      <c r="O536" s="300"/>
      <c r="P536" s="300"/>
      <c r="Q536" s="300"/>
      <c r="R536" s="300"/>
      <c r="S536" s="300"/>
      <c r="T536" s="300"/>
      <c r="U536" s="300"/>
      <c r="V536" s="300"/>
      <c r="W536" s="300"/>
      <c r="X536" s="300"/>
      <c r="Y536" s="300"/>
      <c r="Z536" s="300"/>
      <c r="AA536" s="300"/>
    </row>
    <row r="537" spans="1:27" ht="15.5" x14ac:dyDescent="0.35">
      <c r="A537" s="300"/>
      <c r="B537" s="300"/>
      <c r="C537" s="300"/>
      <c r="D537" s="300"/>
      <c r="E537" s="300"/>
      <c r="F537" s="300"/>
      <c r="G537" s="300"/>
      <c r="H537" s="300"/>
      <c r="I537" s="300"/>
      <c r="J537" s="300"/>
      <c r="K537" s="300"/>
      <c r="L537" s="300"/>
      <c r="M537" s="300"/>
      <c r="N537" s="300"/>
      <c r="O537" s="300"/>
      <c r="P537" s="300"/>
      <c r="Q537" s="300"/>
      <c r="R537" s="300"/>
      <c r="S537" s="300"/>
      <c r="T537" s="300"/>
      <c r="U537" s="300"/>
      <c r="V537" s="300"/>
      <c r="W537" s="300"/>
      <c r="X537" s="300"/>
      <c r="Y537" s="300"/>
      <c r="Z537" s="300"/>
      <c r="AA537" s="300"/>
    </row>
    <row r="538" spans="1:27" ht="15.5" x14ac:dyDescent="0.35">
      <c r="A538" s="300"/>
      <c r="B538" s="300"/>
      <c r="C538" s="300"/>
      <c r="D538" s="300"/>
      <c r="E538" s="300"/>
      <c r="F538" s="300"/>
      <c r="G538" s="300"/>
      <c r="H538" s="300"/>
      <c r="I538" s="300"/>
      <c r="J538" s="300"/>
      <c r="K538" s="300"/>
      <c r="L538" s="300"/>
      <c r="M538" s="300"/>
      <c r="N538" s="300"/>
      <c r="O538" s="300"/>
      <c r="P538" s="300"/>
      <c r="Q538" s="300"/>
      <c r="R538" s="300"/>
      <c r="S538" s="300"/>
      <c r="T538" s="300"/>
      <c r="U538" s="300"/>
      <c r="V538" s="300"/>
      <c r="W538" s="300"/>
      <c r="X538" s="300"/>
      <c r="Y538" s="300"/>
      <c r="Z538" s="300"/>
      <c r="AA538" s="300"/>
    </row>
    <row r="539" spans="1:27" ht="15.5" x14ac:dyDescent="0.35">
      <c r="A539" s="300"/>
      <c r="B539" s="300"/>
      <c r="C539" s="300"/>
      <c r="D539" s="300"/>
      <c r="E539" s="300"/>
      <c r="F539" s="300"/>
      <c r="G539" s="300"/>
      <c r="H539" s="300"/>
      <c r="I539" s="300"/>
      <c r="J539" s="300"/>
      <c r="K539" s="300"/>
      <c r="L539" s="300"/>
      <c r="M539" s="300"/>
      <c r="N539" s="300"/>
      <c r="O539" s="300"/>
      <c r="P539" s="300"/>
      <c r="Q539" s="300"/>
      <c r="R539" s="300"/>
      <c r="S539" s="300"/>
      <c r="T539" s="300"/>
      <c r="U539" s="300"/>
      <c r="V539" s="300"/>
      <c r="W539" s="300"/>
      <c r="X539" s="300"/>
      <c r="Y539" s="300"/>
      <c r="Z539" s="300"/>
      <c r="AA539" s="300"/>
    </row>
    <row r="540" spans="1:27" ht="15.5" x14ac:dyDescent="0.35">
      <c r="A540" s="300"/>
      <c r="B540" s="300"/>
      <c r="C540" s="300"/>
      <c r="D540" s="300"/>
      <c r="E540" s="300"/>
      <c r="F540" s="300"/>
      <c r="G540" s="300"/>
      <c r="H540" s="300"/>
      <c r="I540" s="300"/>
      <c r="J540" s="300"/>
      <c r="K540" s="300"/>
      <c r="L540" s="300"/>
      <c r="M540" s="300"/>
      <c r="N540" s="300"/>
      <c r="O540" s="300"/>
      <c r="P540" s="300"/>
      <c r="Q540" s="300"/>
      <c r="R540" s="300"/>
      <c r="S540" s="300"/>
      <c r="T540" s="300"/>
      <c r="U540" s="300"/>
      <c r="V540" s="300"/>
      <c r="W540" s="300"/>
      <c r="X540" s="300"/>
      <c r="Y540" s="300"/>
      <c r="Z540" s="300"/>
      <c r="AA540" s="300"/>
    </row>
    <row r="541" spans="1:27" ht="15.5" x14ac:dyDescent="0.35">
      <c r="A541" s="300"/>
      <c r="B541" s="300"/>
      <c r="C541" s="300"/>
      <c r="D541" s="300"/>
      <c r="E541" s="300"/>
      <c r="F541" s="300"/>
      <c r="G541" s="300"/>
      <c r="H541" s="300"/>
      <c r="I541" s="300"/>
      <c r="J541" s="300"/>
      <c r="K541" s="300"/>
      <c r="L541" s="300"/>
      <c r="M541" s="300"/>
      <c r="N541" s="300"/>
      <c r="O541" s="300"/>
      <c r="P541" s="300"/>
      <c r="Q541" s="300"/>
      <c r="R541" s="300"/>
      <c r="S541" s="300"/>
      <c r="T541" s="300"/>
      <c r="U541" s="300"/>
      <c r="V541" s="300"/>
      <c r="W541" s="300"/>
      <c r="X541" s="300"/>
      <c r="Y541" s="300"/>
      <c r="Z541" s="300"/>
      <c r="AA541" s="300"/>
    </row>
    <row r="542" spans="1:27" ht="15.5" x14ac:dyDescent="0.35">
      <c r="A542" s="300"/>
      <c r="B542" s="300"/>
      <c r="C542" s="300"/>
      <c r="D542" s="300"/>
      <c r="E542" s="300"/>
      <c r="F542" s="300"/>
      <c r="G542" s="300"/>
      <c r="H542" s="300"/>
      <c r="I542" s="300"/>
      <c r="J542" s="300"/>
      <c r="K542" s="300"/>
      <c r="L542" s="300"/>
      <c r="M542" s="300"/>
      <c r="N542" s="300"/>
      <c r="O542" s="300"/>
      <c r="P542" s="300"/>
      <c r="Q542" s="300"/>
      <c r="R542" s="300"/>
      <c r="S542" s="300"/>
      <c r="T542" s="300"/>
      <c r="U542" s="300"/>
      <c r="V542" s="300"/>
      <c r="W542" s="300"/>
      <c r="X542" s="300"/>
      <c r="Y542" s="300"/>
      <c r="Z542" s="300"/>
      <c r="AA542" s="300"/>
    </row>
    <row r="543" spans="1:27" ht="15.5" x14ac:dyDescent="0.35">
      <c r="A543" s="300"/>
      <c r="B543" s="300"/>
      <c r="C543" s="300"/>
      <c r="D543" s="300"/>
      <c r="E543" s="300"/>
      <c r="F543" s="300"/>
      <c r="G543" s="300"/>
      <c r="H543" s="300"/>
      <c r="I543" s="300"/>
      <c r="J543" s="300"/>
      <c r="K543" s="300"/>
      <c r="L543" s="300"/>
      <c r="M543" s="300"/>
      <c r="N543" s="300"/>
      <c r="O543" s="300"/>
      <c r="P543" s="300"/>
      <c r="Q543" s="300"/>
      <c r="R543" s="300"/>
      <c r="S543" s="300"/>
      <c r="T543" s="300"/>
      <c r="U543" s="300"/>
      <c r="V543" s="300"/>
      <c r="W543" s="300"/>
      <c r="X543" s="300"/>
      <c r="Y543" s="300"/>
      <c r="Z543" s="300"/>
      <c r="AA543" s="300"/>
    </row>
    <row r="544" spans="1:27" ht="15.5" x14ac:dyDescent="0.35">
      <c r="A544" s="300"/>
      <c r="B544" s="300"/>
      <c r="C544" s="300"/>
      <c r="D544" s="300"/>
      <c r="E544" s="300"/>
      <c r="F544" s="300"/>
      <c r="G544" s="300"/>
      <c r="H544" s="300"/>
      <c r="I544" s="300"/>
      <c r="J544" s="300"/>
      <c r="K544" s="300"/>
      <c r="L544" s="300"/>
      <c r="M544" s="300"/>
      <c r="N544" s="300"/>
      <c r="O544" s="300"/>
      <c r="P544" s="300"/>
      <c r="Q544" s="300"/>
      <c r="R544" s="300"/>
      <c r="S544" s="300"/>
      <c r="T544" s="300"/>
      <c r="U544" s="300"/>
      <c r="V544" s="300"/>
      <c r="W544" s="300"/>
      <c r="X544" s="300"/>
      <c r="Y544" s="300"/>
      <c r="Z544" s="300"/>
      <c r="AA544" s="300"/>
    </row>
    <row r="545" spans="1:27" ht="15.5" x14ac:dyDescent="0.35">
      <c r="A545" s="300"/>
      <c r="B545" s="300"/>
      <c r="C545" s="300"/>
      <c r="D545" s="300"/>
      <c r="E545" s="300"/>
      <c r="F545" s="300"/>
      <c r="G545" s="300"/>
      <c r="H545" s="300"/>
      <c r="I545" s="300"/>
      <c r="J545" s="300"/>
      <c r="K545" s="300"/>
      <c r="L545" s="300"/>
      <c r="M545" s="300"/>
      <c r="N545" s="300"/>
      <c r="O545" s="300"/>
      <c r="P545" s="300"/>
      <c r="Q545" s="300"/>
      <c r="R545" s="300"/>
      <c r="S545" s="300"/>
      <c r="T545" s="300"/>
      <c r="U545" s="300"/>
      <c r="V545" s="300"/>
      <c r="W545" s="300"/>
      <c r="X545" s="300"/>
      <c r="Y545" s="300"/>
      <c r="Z545" s="300"/>
      <c r="AA545" s="300"/>
    </row>
    <row r="546" spans="1:27" ht="15.5" x14ac:dyDescent="0.35">
      <c r="A546" s="300"/>
      <c r="B546" s="300"/>
      <c r="C546" s="300"/>
      <c r="D546" s="300"/>
      <c r="E546" s="300"/>
      <c r="F546" s="300"/>
      <c r="G546" s="300"/>
      <c r="H546" s="300"/>
      <c r="I546" s="300"/>
      <c r="J546" s="300"/>
      <c r="K546" s="300"/>
      <c r="L546" s="300"/>
      <c r="M546" s="300"/>
      <c r="N546" s="300"/>
      <c r="O546" s="300"/>
      <c r="P546" s="300"/>
      <c r="Q546" s="300"/>
      <c r="R546" s="300"/>
      <c r="S546" s="300"/>
      <c r="T546" s="300"/>
      <c r="U546" s="300"/>
      <c r="V546" s="300"/>
      <c r="W546" s="300"/>
      <c r="X546" s="300"/>
      <c r="Y546" s="300"/>
      <c r="Z546" s="300"/>
      <c r="AA546" s="300"/>
    </row>
    <row r="547" spans="1:27" ht="15.5" x14ac:dyDescent="0.35">
      <c r="A547" s="300"/>
      <c r="B547" s="300"/>
      <c r="C547" s="300"/>
      <c r="D547" s="300"/>
      <c r="E547" s="300"/>
      <c r="F547" s="300"/>
      <c r="G547" s="300"/>
      <c r="H547" s="300"/>
      <c r="I547" s="300"/>
      <c r="J547" s="300"/>
      <c r="K547" s="300"/>
      <c r="L547" s="300"/>
      <c r="M547" s="300"/>
      <c r="N547" s="300"/>
      <c r="O547" s="300"/>
      <c r="P547" s="300"/>
      <c r="Q547" s="300"/>
      <c r="R547" s="300"/>
      <c r="S547" s="300"/>
      <c r="T547" s="300"/>
      <c r="U547" s="300"/>
      <c r="V547" s="300"/>
      <c r="W547" s="300"/>
      <c r="X547" s="300"/>
      <c r="Y547" s="300"/>
      <c r="Z547" s="300"/>
      <c r="AA547" s="300"/>
    </row>
    <row r="548" spans="1:27" ht="15.5" x14ac:dyDescent="0.35">
      <c r="A548" s="300"/>
      <c r="B548" s="300"/>
      <c r="C548" s="300"/>
      <c r="D548" s="300"/>
      <c r="E548" s="300"/>
      <c r="F548" s="300"/>
      <c r="G548" s="300"/>
      <c r="H548" s="300"/>
      <c r="I548" s="300"/>
      <c r="J548" s="300"/>
      <c r="K548" s="300"/>
      <c r="L548" s="300"/>
      <c r="M548" s="300"/>
      <c r="N548" s="300"/>
      <c r="O548" s="300"/>
      <c r="P548" s="300"/>
      <c r="Q548" s="300"/>
      <c r="R548" s="300"/>
      <c r="S548" s="300"/>
      <c r="T548" s="300"/>
      <c r="U548" s="300"/>
      <c r="V548" s="300"/>
      <c r="W548" s="300"/>
      <c r="X548" s="300"/>
      <c r="Y548" s="300"/>
      <c r="Z548" s="300"/>
      <c r="AA548" s="300"/>
    </row>
    <row r="549" spans="1:27" ht="15.5" x14ac:dyDescent="0.35">
      <c r="A549" s="300"/>
      <c r="B549" s="300"/>
      <c r="C549" s="300"/>
      <c r="D549" s="300"/>
      <c r="E549" s="300"/>
      <c r="F549" s="300"/>
      <c r="G549" s="300"/>
      <c r="H549" s="300"/>
      <c r="I549" s="300"/>
      <c r="J549" s="300"/>
      <c r="K549" s="300"/>
      <c r="L549" s="300"/>
      <c r="M549" s="300"/>
      <c r="N549" s="300"/>
      <c r="O549" s="300"/>
      <c r="P549" s="300"/>
      <c r="Q549" s="300"/>
      <c r="R549" s="300"/>
      <c r="S549" s="300"/>
      <c r="T549" s="300"/>
      <c r="U549" s="300"/>
      <c r="V549" s="300"/>
      <c r="W549" s="300"/>
      <c r="X549" s="300"/>
      <c r="Y549" s="300"/>
      <c r="Z549" s="300"/>
      <c r="AA549" s="300"/>
    </row>
    <row r="550" spans="1:27" ht="15.5" x14ac:dyDescent="0.35">
      <c r="A550" s="300"/>
      <c r="B550" s="300"/>
      <c r="C550" s="300"/>
      <c r="D550" s="300"/>
      <c r="E550" s="300"/>
      <c r="F550" s="300"/>
      <c r="G550" s="300"/>
      <c r="H550" s="300"/>
      <c r="I550" s="300"/>
      <c r="J550" s="300"/>
      <c r="K550" s="300"/>
      <c r="L550" s="300"/>
      <c r="M550" s="300"/>
      <c r="N550" s="300"/>
      <c r="O550" s="300"/>
      <c r="P550" s="300"/>
      <c r="Q550" s="300"/>
      <c r="R550" s="300"/>
      <c r="S550" s="300"/>
      <c r="T550" s="300"/>
      <c r="U550" s="300"/>
      <c r="V550" s="300"/>
      <c r="W550" s="300"/>
      <c r="X550" s="300"/>
      <c r="Y550" s="300"/>
      <c r="Z550" s="300"/>
      <c r="AA550" s="300"/>
    </row>
    <row r="551" spans="1:27" ht="15.5" x14ac:dyDescent="0.35">
      <c r="A551" s="300"/>
      <c r="B551" s="300"/>
      <c r="C551" s="300"/>
      <c r="D551" s="300"/>
      <c r="E551" s="300"/>
      <c r="F551" s="300"/>
      <c r="G551" s="300"/>
      <c r="H551" s="300"/>
      <c r="I551" s="300"/>
      <c r="J551" s="300"/>
      <c r="K551" s="300"/>
      <c r="L551" s="300"/>
      <c r="M551" s="300"/>
      <c r="N551" s="300"/>
      <c r="O551" s="300"/>
      <c r="P551" s="300"/>
      <c r="Q551" s="300"/>
      <c r="R551" s="300"/>
      <c r="S551" s="300"/>
      <c r="T551" s="300"/>
      <c r="U551" s="300"/>
      <c r="V551" s="300"/>
      <c r="W551" s="300"/>
      <c r="X551" s="300"/>
      <c r="Y551" s="300"/>
      <c r="Z551" s="300"/>
      <c r="AA551" s="300"/>
    </row>
    <row r="552" spans="1:27" ht="15.5" x14ac:dyDescent="0.35">
      <c r="A552" s="300"/>
      <c r="B552" s="300"/>
      <c r="C552" s="300"/>
      <c r="D552" s="300"/>
      <c r="E552" s="300"/>
      <c r="F552" s="300"/>
      <c r="G552" s="300"/>
      <c r="H552" s="300"/>
      <c r="I552" s="300"/>
      <c r="J552" s="300"/>
      <c r="K552" s="300"/>
      <c r="L552" s="300"/>
      <c r="M552" s="300"/>
      <c r="N552" s="300"/>
      <c r="O552" s="300"/>
      <c r="P552" s="300"/>
      <c r="Q552" s="300"/>
      <c r="R552" s="300"/>
      <c r="S552" s="300"/>
      <c r="T552" s="300"/>
      <c r="U552" s="300"/>
      <c r="V552" s="300"/>
      <c r="W552" s="300"/>
      <c r="X552" s="300"/>
      <c r="Y552" s="300"/>
      <c r="Z552" s="300"/>
      <c r="AA552" s="300"/>
    </row>
    <row r="553" spans="1:27" ht="15.5" x14ac:dyDescent="0.35">
      <c r="A553" s="300"/>
      <c r="B553" s="300"/>
      <c r="C553" s="300"/>
      <c r="D553" s="300"/>
      <c r="E553" s="300"/>
      <c r="F553" s="300"/>
      <c r="G553" s="300"/>
      <c r="H553" s="300"/>
      <c r="I553" s="300"/>
      <c r="J553" s="300"/>
      <c r="K553" s="300"/>
      <c r="L553" s="300"/>
      <c r="M553" s="300"/>
      <c r="N553" s="300"/>
      <c r="O553" s="300"/>
      <c r="P553" s="300"/>
      <c r="Q553" s="300"/>
      <c r="R553" s="300"/>
      <c r="S553" s="300"/>
      <c r="T553" s="300"/>
      <c r="U553" s="300"/>
      <c r="V553" s="300"/>
      <c r="W553" s="300"/>
      <c r="X553" s="300"/>
      <c r="Y553" s="300"/>
      <c r="Z553" s="300"/>
      <c r="AA553" s="300"/>
    </row>
    <row r="554" spans="1:27" ht="15.5" x14ac:dyDescent="0.35">
      <c r="A554" s="300"/>
      <c r="B554" s="300"/>
      <c r="C554" s="300"/>
      <c r="D554" s="300"/>
      <c r="E554" s="300"/>
      <c r="F554" s="300"/>
      <c r="G554" s="300"/>
      <c r="H554" s="300"/>
      <c r="I554" s="300"/>
      <c r="J554" s="300"/>
      <c r="K554" s="300"/>
      <c r="L554" s="300"/>
      <c r="M554" s="300"/>
      <c r="N554" s="300"/>
      <c r="O554" s="300"/>
      <c r="P554" s="300"/>
      <c r="Q554" s="300"/>
      <c r="R554" s="300"/>
      <c r="S554" s="300"/>
      <c r="T554" s="300"/>
      <c r="U554" s="300"/>
      <c r="V554" s="300"/>
      <c r="W554" s="300"/>
      <c r="X554" s="300"/>
      <c r="Y554" s="300"/>
      <c r="Z554" s="300"/>
      <c r="AA554" s="300"/>
    </row>
    <row r="555" spans="1:27" ht="15.5" x14ac:dyDescent="0.35">
      <c r="A555" s="300"/>
      <c r="B555" s="300"/>
      <c r="C555" s="300"/>
      <c r="D555" s="300"/>
      <c r="E555" s="300"/>
      <c r="F555" s="300"/>
      <c r="G555" s="300"/>
      <c r="H555" s="300"/>
      <c r="I555" s="300"/>
      <c r="J555" s="300"/>
      <c r="K555" s="300"/>
      <c r="L555" s="300"/>
      <c r="M555" s="300"/>
      <c r="N555" s="300"/>
      <c r="O555" s="300"/>
      <c r="P555" s="300"/>
      <c r="Q555" s="300"/>
      <c r="R555" s="300"/>
      <c r="S555" s="300"/>
      <c r="T555" s="300"/>
      <c r="U555" s="300"/>
      <c r="V555" s="300"/>
      <c r="W555" s="300"/>
      <c r="X555" s="300"/>
      <c r="Y555" s="300"/>
      <c r="Z555" s="300"/>
      <c r="AA555" s="300"/>
    </row>
    <row r="556" spans="1:27" ht="15.5" x14ac:dyDescent="0.35">
      <c r="A556" s="300"/>
      <c r="B556" s="300"/>
      <c r="C556" s="300"/>
      <c r="D556" s="300"/>
      <c r="E556" s="300"/>
      <c r="F556" s="300"/>
      <c r="G556" s="300"/>
      <c r="H556" s="300"/>
      <c r="I556" s="300"/>
      <c r="J556" s="300"/>
      <c r="K556" s="300"/>
      <c r="L556" s="300"/>
      <c r="M556" s="300"/>
      <c r="N556" s="300"/>
      <c r="O556" s="300"/>
      <c r="P556" s="300"/>
      <c r="Q556" s="300"/>
      <c r="R556" s="300"/>
      <c r="S556" s="300"/>
      <c r="T556" s="300"/>
      <c r="U556" s="300"/>
      <c r="V556" s="300"/>
      <c r="W556" s="300"/>
      <c r="X556" s="300"/>
      <c r="Y556" s="300"/>
      <c r="Z556" s="300"/>
      <c r="AA556" s="300"/>
    </row>
    <row r="557" spans="1:27" ht="15.5" x14ac:dyDescent="0.35">
      <c r="A557" s="300"/>
      <c r="B557" s="300"/>
      <c r="C557" s="300"/>
      <c r="D557" s="300"/>
      <c r="E557" s="300"/>
      <c r="F557" s="300"/>
      <c r="G557" s="300"/>
      <c r="H557" s="300"/>
      <c r="I557" s="300"/>
      <c r="J557" s="300"/>
      <c r="K557" s="300"/>
      <c r="L557" s="300"/>
      <c r="M557" s="300"/>
      <c r="N557" s="300"/>
      <c r="O557" s="300"/>
      <c r="P557" s="300"/>
      <c r="Q557" s="300"/>
      <c r="R557" s="300"/>
      <c r="S557" s="300"/>
      <c r="T557" s="300"/>
      <c r="U557" s="300"/>
      <c r="V557" s="300"/>
      <c r="W557" s="300"/>
      <c r="X557" s="300"/>
      <c r="Y557" s="300"/>
      <c r="Z557" s="300"/>
      <c r="AA557" s="300"/>
    </row>
    <row r="558" spans="1:27" ht="15.5" x14ac:dyDescent="0.35">
      <c r="A558" s="300"/>
      <c r="B558" s="300"/>
      <c r="C558" s="300"/>
      <c r="D558" s="300"/>
      <c r="E558" s="300"/>
      <c r="F558" s="300"/>
      <c r="G558" s="300"/>
      <c r="H558" s="300"/>
      <c r="I558" s="300"/>
      <c r="J558" s="300"/>
      <c r="K558" s="300"/>
      <c r="L558" s="300"/>
      <c r="M558" s="300"/>
      <c r="N558" s="300"/>
      <c r="O558" s="300"/>
      <c r="P558" s="300"/>
      <c r="Q558" s="300"/>
      <c r="R558" s="300"/>
      <c r="S558" s="300"/>
      <c r="T558" s="300"/>
      <c r="U558" s="300"/>
      <c r="V558" s="300"/>
      <c r="W558" s="300"/>
      <c r="X558" s="300"/>
      <c r="Y558" s="300"/>
      <c r="Z558" s="300"/>
      <c r="AA558" s="300"/>
    </row>
    <row r="559" spans="1:27" ht="15.5" x14ac:dyDescent="0.35">
      <c r="A559" s="300"/>
      <c r="B559" s="300"/>
      <c r="C559" s="300"/>
      <c r="D559" s="300"/>
      <c r="E559" s="300"/>
      <c r="F559" s="300"/>
      <c r="G559" s="300"/>
      <c r="H559" s="300"/>
      <c r="I559" s="300"/>
      <c r="J559" s="300"/>
      <c r="K559" s="300"/>
      <c r="L559" s="300"/>
      <c r="M559" s="300"/>
      <c r="N559" s="300"/>
      <c r="O559" s="300"/>
      <c r="P559" s="300"/>
      <c r="Q559" s="300"/>
      <c r="R559" s="300"/>
      <c r="S559" s="300"/>
      <c r="T559" s="300"/>
      <c r="U559" s="300"/>
      <c r="V559" s="300"/>
      <c r="W559" s="300"/>
      <c r="X559" s="300"/>
      <c r="Y559" s="300"/>
      <c r="Z559" s="300"/>
      <c r="AA559" s="300"/>
    </row>
    <row r="560" spans="1:27" ht="15.5" x14ac:dyDescent="0.35">
      <c r="A560" s="300"/>
      <c r="B560" s="300"/>
      <c r="C560" s="300"/>
      <c r="D560" s="300"/>
      <c r="E560" s="300"/>
      <c r="F560" s="300"/>
      <c r="G560" s="300"/>
      <c r="H560" s="300"/>
      <c r="I560" s="300"/>
      <c r="J560" s="300"/>
      <c r="K560" s="300"/>
      <c r="L560" s="300"/>
      <c r="M560" s="300"/>
      <c r="N560" s="300"/>
      <c r="O560" s="300"/>
      <c r="P560" s="300"/>
      <c r="Q560" s="300"/>
      <c r="R560" s="300"/>
      <c r="S560" s="300"/>
      <c r="T560" s="300"/>
      <c r="U560" s="300"/>
      <c r="V560" s="300"/>
      <c r="W560" s="300"/>
      <c r="X560" s="300"/>
      <c r="Y560" s="300"/>
      <c r="Z560" s="300"/>
      <c r="AA560" s="300"/>
    </row>
    <row r="561" spans="1:27" ht="15.5" x14ac:dyDescent="0.35">
      <c r="A561" s="300"/>
      <c r="B561" s="300"/>
      <c r="C561" s="300"/>
      <c r="D561" s="300"/>
      <c r="E561" s="300"/>
      <c r="F561" s="300"/>
      <c r="G561" s="300"/>
      <c r="H561" s="300"/>
      <c r="I561" s="300"/>
      <c r="J561" s="300"/>
      <c r="K561" s="300"/>
      <c r="L561" s="300"/>
      <c r="M561" s="300"/>
      <c r="N561" s="300"/>
      <c r="O561" s="300"/>
      <c r="P561" s="300"/>
      <c r="Q561" s="300"/>
      <c r="R561" s="300"/>
      <c r="S561" s="300"/>
      <c r="T561" s="300"/>
      <c r="U561" s="300"/>
      <c r="V561" s="300"/>
      <c r="W561" s="300"/>
      <c r="X561" s="300"/>
      <c r="Y561" s="300"/>
      <c r="Z561" s="300"/>
      <c r="AA561" s="300"/>
    </row>
    <row r="562" spans="1:27" ht="15.5" x14ac:dyDescent="0.35">
      <c r="A562" s="300"/>
      <c r="B562" s="300"/>
      <c r="C562" s="300"/>
      <c r="D562" s="300"/>
      <c r="E562" s="300"/>
      <c r="F562" s="300"/>
      <c r="G562" s="300"/>
      <c r="H562" s="300"/>
      <c r="I562" s="300"/>
      <c r="J562" s="300"/>
      <c r="K562" s="300"/>
      <c r="L562" s="300"/>
      <c r="M562" s="300"/>
      <c r="N562" s="300"/>
      <c r="O562" s="300"/>
      <c r="P562" s="300"/>
      <c r="Q562" s="300"/>
      <c r="R562" s="300"/>
      <c r="S562" s="300"/>
      <c r="T562" s="300"/>
      <c r="U562" s="300"/>
      <c r="V562" s="300"/>
      <c r="W562" s="300"/>
      <c r="X562" s="300"/>
      <c r="Y562" s="300"/>
      <c r="Z562" s="300"/>
      <c r="AA562" s="300"/>
    </row>
    <row r="563" spans="1:27" ht="15.5" x14ac:dyDescent="0.35">
      <c r="A563" s="300"/>
      <c r="B563" s="300"/>
      <c r="C563" s="300"/>
      <c r="D563" s="300"/>
      <c r="E563" s="300"/>
      <c r="F563" s="300"/>
      <c r="G563" s="300"/>
      <c r="H563" s="300"/>
      <c r="I563" s="300"/>
      <c r="J563" s="300"/>
      <c r="K563" s="300"/>
      <c r="L563" s="300"/>
      <c r="M563" s="300"/>
      <c r="N563" s="300"/>
      <c r="O563" s="300"/>
      <c r="P563" s="300"/>
      <c r="Q563" s="300"/>
      <c r="R563" s="300"/>
      <c r="S563" s="300"/>
      <c r="T563" s="300"/>
      <c r="U563" s="300"/>
      <c r="V563" s="300"/>
      <c r="W563" s="300"/>
      <c r="X563" s="300"/>
      <c r="Y563" s="300"/>
      <c r="Z563" s="300"/>
      <c r="AA563" s="300"/>
    </row>
    <row r="564" spans="1:27" ht="15.5" x14ac:dyDescent="0.35">
      <c r="A564" s="300"/>
      <c r="B564" s="300"/>
      <c r="C564" s="300"/>
      <c r="D564" s="300"/>
      <c r="E564" s="300"/>
      <c r="F564" s="300"/>
      <c r="G564" s="300"/>
      <c r="H564" s="300"/>
      <c r="I564" s="300"/>
      <c r="J564" s="300"/>
      <c r="K564" s="300"/>
      <c r="L564" s="300"/>
      <c r="M564" s="300"/>
      <c r="N564" s="300"/>
      <c r="O564" s="300"/>
      <c r="P564" s="300"/>
      <c r="Q564" s="300"/>
      <c r="R564" s="300"/>
      <c r="S564" s="300"/>
      <c r="T564" s="300"/>
      <c r="U564" s="300"/>
      <c r="V564" s="300"/>
      <c r="W564" s="300"/>
      <c r="X564" s="300"/>
      <c r="Y564" s="300"/>
      <c r="Z564" s="300"/>
      <c r="AA564" s="300"/>
    </row>
    <row r="565" spans="1:27" ht="15.5" x14ac:dyDescent="0.35">
      <c r="A565" s="300"/>
      <c r="B565" s="300"/>
      <c r="C565" s="300"/>
      <c r="D565" s="300"/>
      <c r="E565" s="300"/>
      <c r="F565" s="300"/>
      <c r="G565" s="300"/>
      <c r="H565" s="300"/>
      <c r="I565" s="300"/>
      <c r="J565" s="300"/>
      <c r="K565" s="300"/>
      <c r="L565" s="300"/>
      <c r="M565" s="300"/>
      <c r="N565" s="300"/>
      <c r="O565" s="300"/>
      <c r="P565" s="300"/>
      <c r="Q565" s="300"/>
      <c r="R565" s="300"/>
      <c r="S565" s="300"/>
      <c r="T565" s="300"/>
      <c r="U565" s="300"/>
      <c r="V565" s="300"/>
      <c r="W565" s="300"/>
      <c r="X565" s="300"/>
      <c r="Y565" s="300"/>
      <c r="Z565" s="300"/>
      <c r="AA565" s="300"/>
    </row>
    <row r="566" spans="1:27" ht="15.5" x14ac:dyDescent="0.35">
      <c r="A566" s="300"/>
      <c r="B566" s="300"/>
      <c r="C566" s="300"/>
      <c r="D566" s="300"/>
      <c r="E566" s="300"/>
      <c r="F566" s="300"/>
      <c r="G566" s="300"/>
      <c r="H566" s="300"/>
      <c r="I566" s="300"/>
      <c r="J566" s="300"/>
      <c r="K566" s="300"/>
      <c r="L566" s="300"/>
      <c r="M566" s="300"/>
      <c r="N566" s="300"/>
      <c r="O566" s="300"/>
      <c r="P566" s="300"/>
      <c r="Q566" s="300"/>
      <c r="R566" s="300"/>
      <c r="S566" s="300"/>
      <c r="T566" s="300"/>
      <c r="U566" s="300"/>
      <c r="V566" s="300"/>
      <c r="W566" s="300"/>
      <c r="X566" s="300"/>
      <c r="Y566" s="300"/>
      <c r="Z566" s="300"/>
      <c r="AA566" s="300"/>
    </row>
    <row r="567" spans="1:27" ht="15.5" x14ac:dyDescent="0.35">
      <c r="A567" s="300"/>
      <c r="B567" s="300"/>
      <c r="C567" s="300"/>
      <c r="D567" s="300"/>
      <c r="E567" s="300"/>
      <c r="F567" s="300"/>
      <c r="G567" s="300"/>
      <c r="H567" s="300"/>
      <c r="I567" s="300"/>
      <c r="J567" s="300"/>
      <c r="K567" s="300"/>
      <c r="L567" s="300"/>
      <c r="M567" s="300"/>
      <c r="N567" s="300"/>
      <c r="O567" s="300"/>
      <c r="P567" s="300"/>
      <c r="Q567" s="300"/>
      <c r="R567" s="300"/>
      <c r="S567" s="300"/>
      <c r="T567" s="300"/>
      <c r="U567" s="300"/>
      <c r="V567" s="300"/>
      <c r="W567" s="300"/>
      <c r="X567" s="300"/>
      <c r="Y567" s="300"/>
      <c r="Z567" s="300"/>
      <c r="AA567" s="300"/>
    </row>
    <row r="568" spans="1:27" ht="15.5" x14ac:dyDescent="0.35">
      <c r="A568" s="300"/>
      <c r="B568" s="300"/>
      <c r="C568" s="300"/>
      <c r="D568" s="300"/>
      <c r="E568" s="300"/>
      <c r="F568" s="300"/>
      <c r="G568" s="300"/>
      <c r="H568" s="300"/>
      <c r="I568" s="300"/>
      <c r="J568" s="300"/>
      <c r="K568" s="300"/>
      <c r="L568" s="300"/>
      <c r="M568" s="300"/>
      <c r="N568" s="300"/>
      <c r="O568" s="300"/>
      <c r="P568" s="300"/>
      <c r="Q568" s="300"/>
      <c r="R568" s="300"/>
      <c r="S568" s="300"/>
      <c r="T568" s="300"/>
      <c r="U568" s="300"/>
      <c r="V568" s="300"/>
      <c r="W568" s="300"/>
      <c r="X568" s="300"/>
      <c r="Y568" s="300"/>
      <c r="Z568" s="300"/>
      <c r="AA568" s="300"/>
    </row>
    <row r="569" spans="1:27" ht="15.5" x14ac:dyDescent="0.35">
      <c r="A569" s="300"/>
      <c r="B569" s="300"/>
      <c r="C569" s="300"/>
      <c r="D569" s="300"/>
      <c r="E569" s="300"/>
      <c r="F569" s="300"/>
      <c r="G569" s="300"/>
      <c r="H569" s="300"/>
      <c r="I569" s="300"/>
      <c r="J569" s="300"/>
      <c r="K569" s="300"/>
      <c r="L569" s="300"/>
      <c r="M569" s="300"/>
      <c r="N569" s="300"/>
      <c r="O569" s="300"/>
      <c r="P569" s="300"/>
      <c r="Q569" s="300"/>
      <c r="R569" s="300"/>
      <c r="S569" s="300"/>
      <c r="T569" s="300"/>
      <c r="U569" s="300"/>
      <c r="V569" s="300"/>
      <c r="W569" s="300"/>
      <c r="X569" s="300"/>
      <c r="Y569" s="300"/>
      <c r="Z569" s="300"/>
      <c r="AA569" s="300"/>
    </row>
    <row r="570" spans="1:27" ht="15.5" x14ac:dyDescent="0.35">
      <c r="A570" s="300"/>
      <c r="B570" s="300"/>
      <c r="C570" s="300"/>
      <c r="D570" s="300"/>
      <c r="E570" s="300"/>
      <c r="F570" s="300"/>
      <c r="G570" s="300"/>
      <c r="H570" s="300"/>
      <c r="I570" s="300"/>
      <c r="J570" s="300"/>
      <c r="K570" s="300"/>
      <c r="L570" s="300"/>
      <c r="M570" s="300"/>
      <c r="N570" s="300"/>
      <c r="O570" s="300"/>
      <c r="P570" s="300"/>
      <c r="Q570" s="300"/>
      <c r="R570" s="300"/>
      <c r="S570" s="300"/>
      <c r="T570" s="300"/>
      <c r="U570" s="300"/>
      <c r="V570" s="300"/>
      <c r="W570" s="300"/>
      <c r="X570" s="300"/>
      <c r="Y570" s="300"/>
      <c r="Z570" s="300"/>
      <c r="AA570" s="300"/>
    </row>
    <row r="571" spans="1:27" ht="15.5" x14ac:dyDescent="0.35">
      <c r="A571" s="300"/>
      <c r="B571" s="300"/>
      <c r="C571" s="300"/>
      <c r="D571" s="300"/>
      <c r="E571" s="300"/>
      <c r="F571" s="300"/>
      <c r="G571" s="300"/>
      <c r="H571" s="300"/>
      <c r="I571" s="300"/>
      <c r="J571" s="300"/>
      <c r="K571" s="300"/>
      <c r="L571" s="300"/>
      <c r="M571" s="300"/>
      <c r="N571" s="300"/>
      <c r="O571" s="300"/>
      <c r="P571" s="300"/>
      <c r="Q571" s="300"/>
      <c r="R571" s="300"/>
      <c r="S571" s="300"/>
      <c r="T571" s="300"/>
      <c r="U571" s="300"/>
      <c r="V571" s="300"/>
      <c r="W571" s="300"/>
      <c r="X571" s="300"/>
      <c r="Y571" s="300"/>
      <c r="Z571" s="300"/>
      <c r="AA571" s="300"/>
    </row>
    <row r="572" spans="1:27" ht="15.5" x14ac:dyDescent="0.35">
      <c r="A572" s="300"/>
      <c r="B572" s="300"/>
      <c r="C572" s="300"/>
      <c r="D572" s="300"/>
      <c r="E572" s="300"/>
      <c r="F572" s="300"/>
      <c r="G572" s="300"/>
      <c r="H572" s="300"/>
      <c r="I572" s="300"/>
      <c r="J572" s="300"/>
      <c r="K572" s="300"/>
      <c r="L572" s="300"/>
      <c r="M572" s="300"/>
      <c r="N572" s="300"/>
      <c r="O572" s="300"/>
      <c r="P572" s="300"/>
      <c r="Q572" s="300"/>
      <c r="R572" s="300"/>
      <c r="S572" s="300"/>
      <c r="T572" s="300"/>
      <c r="U572" s="300"/>
      <c r="V572" s="300"/>
      <c r="W572" s="300"/>
      <c r="X572" s="300"/>
      <c r="Y572" s="300"/>
      <c r="Z572" s="300"/>
      <c r="AA572" s="300"/>
    </row>
    <row r="573" spans="1:27" ht="15.5" x14ac:dyDescent="0.35">
      <c r="A573" s="300"/>
      <c r="B573" s="300"/>
      <c r="C573" s="300"/>
      <c r="D573" s="300"/>
      <c r="E573" s="300"/>
      <c r="F573" s="300"/>
      <c r="G573" s="300"/>
      <c r="H573" s="300"/>
      <c r="I573" s="300"/>
      <c r="J573" s="300"/>
      <c r="K573" s="300"/>
      <c r="L573" s="300"/>
      <c r="M573" s="300"/>
      <c r="N573" s="300"/>
      <c r="O573" s="300"/>
      <c r="P573" s="300"/>
      <c r="Q573" s="300"/>
      <c r="R573" s="300"/>
      <c r="S573" s="300"/>
      <c r="T573" s="300"/>
      <c r="U573" s="300"/>
      <c r="V573" s="300"/>
      <c r="W573" s="300"/>
      <c r="X573" s="300"/>
      <c r="Y573" s="300"/>
      <c r="Z573" s="300"/>
      <c r="AA573" s="300"/>
    </row>
    <row r="574" spans="1:27" ht="15.5" x14ac:dyDescent="0.35">
      <c r="A574" s="300"/>
      <c r="B574" s="300"/>
      <c r="C574" s="300"/>
      <c r="D574" s="300"/>
      <c r="E574" s="300"/>
      <c r="F574" s="300"/>
      <c r="G574" s="300"/>
      <c r="H574" s="300"/>
      <c r="I574" s="300"/>
      <c r="J574" s="300"/>
      <c r="K574" s="300"/>
      <c r="L574" s="300"/>
      <c r="M574" s="300"/>
      <c r="N574" s="300"/>
      <c r="O574" s="300"/>
      <c r="P574" s="300"/>
      <c r="Q574" s="300"/>
      <c r="R574" s="300"/>
      <c r="S574" s="300"/>
      <c r="T574" s="300"/>
      <c r="U574" s="300"/>
      <c r="V574" s="300"/>
      <c r="W574" s="300"/>
      <c r="X574" s="300"/>
      <c r="Y574" s="300"/>
      <c r="Z574" s="300"/>
      <c r="AA574" s="300"/>
    </row>
    <row r="575" spans="1:27" ht="15.5" x14ac:dyDescent="0.35">
      <c r="A575" s="300"/>
      <c r="B575" s="300"/>
      <c r="C575" s="300"/>
      <c r="D575" s="300"/>
      <c r="E575" s="300"/>
      <c r="F575" s="300"/>
      <c r="G575" s="300"/>
      <c r="H575" s="300"/>
      <c r="I575" s="300"/>
      <c r="J575" s="300"/>
      <c r="K575" s="300"/>
      <c r="L575" s="300"/>
      <c r="M575" s="300"/>
      <c r="N575" s="300"/>
      <c r="O575" s="300"/>
      <c r="P575" s="300"/>
      <c r="Q575" s="300"/>
      <c r="R575" s="300"/>
      <c r="S575" s="300"/>
      <c r="T575" s="300"/>
      <c r="U575" s="300"/>
      <c r="V575" s="300"/>
      <c r="W575" s="300"/>
      <c r="X575" s="300"/>
      <c r="Y575" s="300"/>
      <c r="Z575" s="300"/>
      <c r="AA575" s="300"/>
    </row>
    <row r="576" spans="1:27" ht="15.5" x14ac:dyDescent="0.35">
      <c r="A576" s="300"/>
      <c r="B576" s="300"/>
      <c r="C576" s="300"/>
      <c r="D576" s="300"/>
      <c r="E576" s="300"/>
      <c r="F576" s="300"/>
      <c r="G576" s="300"/>
      <c r="H576" s="300"/>
      <c r="I576" s="300"/>
      <c r="J576" s="300"/>
      <c r="K576" s="300"/>
      <c r="L576" s="300"/>
      <c r="M576" s="300"/>
      <c r="N576" s="300"/>
      <c r="O576" s="300"/>
      <c r="P576" s="300"/>
      <c r="Q576" s="300"/>
      <c r="R576" s="300"/>
      <c r="S576" s="300"/>
      <c r="T576" s="300"/>
      <c r="U576" s="300"/>
      <c r="V576" s="300"/>
      <c r="W576" s="300"/>
      <c r="X576" s="300"/>
      <c r="Y576" s="300"/>
      <c r="Z576" s="300"/>
      <c r="AA576" s="300"/>
    </row>
    <row r="577" spans="1:27" ht="15.5" x14ac:dyDescent="0.35">
      <c r="A577" s="300"/>
      <c r="B577" s="300"/>
      <c r="C577" s="300"/>
      <c r="D577" s="300"/>
      <c r="E577" s="300"/>
      <c r="F577" s="300"/>
      <c r="G577" s="300"/>
      <c r="H577" s="300"/>
      <c r="I577" s="300"/>
      <c r="J577" s="300"/>
      <c r="K577" s="300"/>
      <c r="L577" s="300"/>
      <c r="M577" s="300"/>
      <c r="N577" s="300"/>
      <c r="O577" s="300"/>
      <c r="P577" s="300"/>
      <c r="Q577" s="300"/>
      <c r="R577" s="300"/>
      <c r="S577" s="300"/>
      <c r="T577" s="300"/>
      <c r="U577" s="300"/>
      <c r="V577" s="300"/>
      <c r="W577" s="300"/>
      <c r="X577" s="300"/>
      <c r="Y577" s="300"/>
      <c r="Z577" s="300"/>
      <c r="AA577" s="300"/>
    </row>
    <row r="578" spans="1:27" ht="15.5" x14ac:dyDescent="0.35">
      <c r="A578" s="300"/>
      <c r="B578" s="300"/>
      <c r="C578" s="300"/>
      <c r="D578" s="300"/>
      <c r="E578" s="300"/>
      <c r="F578" s="300"/>
      <c r="G578" s="300"/>
      <c r="H578" s="300"/>
      <c r="I578" s="300"/>
      <c r="J578" s="300"/>
      <c r="K578" s="300"/>
      <c r="L578" s="300"/>
      <c r="M578" s="300"/>
      <c r="N578" s="300"/>
      <c r="O578" s="300"/>
      <c r="P578" s="300"/>
      <c r="Q578" s="300"/>
      <c r="R578" s="300"/>
      <c r="S578" s="300"/>
      <c r="T578" s="300"/>
      <c r="U578" s="300"/>
      <c r="V578" s="300"/>
      <c r="W578" s="300"/>
      <c r="X578" s="300"/>
      <c r="Y578" s="300"/>
      <c r="Z578" s="300"/>
      <c r="AA578" s="300"/>
    </row>
    <row r="579" spans="1:27" ht="15.5" x14ac:dyDescent="0.35">
      <c r="A579" s="300"/>
      <c r="B579" s="300"/>
      <c r="C579" s="300"/>
      <c r="D579" s="300"/>
      <c r="E579" s="300"/>
      <c r="F579" s="300"/>
      <c r="G579" s="300"/>
      <c r="H579" s="300"/>
      <c r="I579" s="300"/>
      <c r="J579" s="300"/>
      <c r="K579" s="300"/>
      <c r="L579" s="300"/>
      <c r="M579" s="300"/>
      <c r="N579" s="300"/>
      <c r="O579" s="300"/>
      <c r="P579" s="300"/>
      <c r="Q579" s="300"/>
      <c r="R579" s="300"/>
      <c r="S579" s="300"/>
      <c r="T579" s="300"/>
      <c r="U579" s="300"/>
      <c r="V579" s="300"/>
      <c r="W579" s="300"/>
      <c r="X579" s="300"/>
      <c r="Y579" s="300"/>
      <c r="Z579" s="300"/>
      <c r="AA579" s="300"/>
    </row>
    <row r="580" spans="1:27" ht="15.5" x14ac:dyDescent="0.35">
      <c r="A580" s="300"/>
      <c r="B580" s="300"/>
      <c r="C580" s="300"/>
      <c r="D580" s="300"/>
      <c r="E580" s="300"/>
      <c r="F580" s="300"/>
      <c r="G580" s="300"/>
      <c r="H580" s="300"/>
      <c r="I580" s="300"/>
      <c r="J580" s="300"/>
      <c r="K580" s="300"/>
      <c r="L580" s="300"/>
      <c r="M580" s="300"/>
      <c r="N580" s="300"/>
      <c r="O580" s="300"/>
      <c r="P580" s="300"/>
      <c r="Q580" s="300"/>
      <c r="R580" s="300"/>
      <c r="S580" s="300"/>
      <c r="T580" s="300"/>
      <c r="U580" s="300"/>
      <c r="V580" s="300"/>
      <c r="W580" s="300"/>
      <c r="X580" s="300"/>
      <c r="Y580" s="300"/>
      <c r="Z580" s="300"/>
      <c r="AA580" s="300"/>
    </row>
    <row r="581" spans="1:27" ht="15.5" x14ac:dyDescent="0.35">
      <c r="A581" s="300"/>
      <c r="B581" s="300"/>
      <c r="C581" s="300"/>
      <c r="D581" s="300"/>
      <c r="E581" s="300"/>
      <c r="F581" s="300"/>
      <c r="G581" s="300"/>
      <c r="H581" s="300"/>
      <c r="I581" s="300"/>
      <c r="J581" s="300"/>
      <c r="K581" s="300"/>
      <c r="L581" s="300"/>
      <c r="M581" s="300"/>
      <c r="N581" s="300"/>
      <c r="O581" s="300"/>
      <c r="P581" s="300"/>
      <c r="Q581" s="300"/>
      <c r="R581" s="300"/>
      <c r="S581" s="300"/>
      <c r="T581" s="300"/>
      <c r="U581" s="300"/>
      <c r="V581" s="300"/>
      <c r="W581" s="300"/>
      <c r="X581" s="300"/>
      <c r="Y581" s="300"/>
      <c r="Z581" s="300"/>
      <c r="AA581" s="300"/>
    </row>
    <row r="582" spans="1:27" ht="15.5" x14ac:dyDescent="0.35">
      <c r="A582" s="300"/>
      <c r="B582" s="300"/>
      <c r="C582" s="300"/>
      <c r="D582" s="300"/>
      <c r="E582" s="300"/>
      <c r="F582" s="300"/>
      <c r="G582" s="300"/>
      <c r="H582" s="300"/>
      <c r="I582" s="300"/>
      <c r="J582" s="300"/>
      <c r="K582" s="300"/>
      <c r="L582" s="300"/>
      <c r="M582" s="300"/>
      <c r="N582" s="300"/>
      <c r="O582" s="300"/>
      <c r="P582" s="300"/>
      <c r="Q582" s="300"/>
      <c r="R582" s="300"/>
      <c r="S582" s="300"/>
      <c r="T582" s="300"/>
      <c r="U582" s="300"/>
      <c r="V582" s="300"/>
      <c r="W582" s="300"/>
      <c r="X582" s="300"/>
      <c r="Y582" s="300"/>
      <c r="Z582" s="300"/>
      <c r="AA582" s="300"/>
    </row>
    <row r="583" spans="1:27" ht="15.5" x14ac:dyDescent="0.35">
      <c r="A583" s="300"/>
      <c r="B583" s="300"/>
      <c r="C583" s="300"/>
      <c r="D583" s="300"/>
      <c r="E583" s="300"/>
      <c r="F583" s="300"/>
      <c r="G583" s="300"/>
      <c r="H583" s="300"/>
      <c r="I583" s="300"/>
      <c r="J583" s="300"/>
      <c r="K583" s="300"/>
      <c r="L583" s="300"/>
      <c r="M583" s="300"/>
      <c r="N583" s="300"/>
      <c r="O583" s="300"/>
      <c r="P583" s="300"/>
      <c r="Q583" s="300"/>
      <c r="R583" s="300"/>
      <c r="S583" s="300"/>
      <c r="T583" s="300"/>
      <c r="U583" s="300"/>
      <c r="V583" s="300"/>
      <c r="W583" s="300"/>
      <c r="X583" s="300"/>
      <c r="Y583" s="300"/>
      <c r="Z583" s="300"/>
      <c r="AA583" s="300"/>
    </row>
    <row r="584" spans="1:27" ht="15.5" x14ac:dyDescent="0.35">
      <c r="A584" s="300"/>
      <c r="B584" s="300"/>
      <c r="C584" s="300"/>
      <c r="D584" s="300"/>
      <c r="E584" s="300"/>
      <c r="F584" s="300"/>
      <c r="G584" s="300"/>
      <c r="H584" s="300"/>
      <c r="I584" s="300"/>
      <c r="J584" s="300"/>
      <c r="K584" s="300"/>
      <c r="L584" s="300"/>
      <c r="M584" s="300"/>
      <c r="N584" s="300"/>
      <c r="O584" s="300"/>
      <c r="P584" s="300"/>
      <c r="Q584" s="300"/>
      <c r="R584" s="300"/>
      <c r="S584" s="300"/>
      <c r="T584" s="300"/>
      <c r="U584" s="300"/>
      <c r="V584" s="300"/>
      <c r="W584" s="300"/>
      <c r="X584" s="300"/>
      <c r="Y584" s="300"/>
      <c r="Z584" s="300"/>
      <c r="AA584" s="300"/>
    </row>
    <row r="585" spans="1:27" ht="15.5" x14ac:dyDescent="0.35">
      <c r="A585" s="300"/>
      <c r="B585" s="300"/>
      <c r="C585" s="300"/>
      <c r="D585" s="300"/>
      <c r="E585" s="300"/>
      <c r="F585" s="300"/>
      <c r="G585" s="300"/>
      <c r="H585" s="300"/>
      <c r="I585" s="300"/>
      <c r="J585" s="300"/>
      <c r="K585" s="300"/>
      <c r="L585" s="300"/>
      <c r="M585" s="300"/>
      <c r="N585" s="300"/>
      <c r="O585" s="300"/>
      <c r="P585" s="300"/>
      <c r="Q585" s="300"/>
      <c r="R585" s="300"/>
      <c r="S585" s="300"/>
      <c r="T585" s="300"/>
      <c r="U585" s="300"/>
      <c r="V585" s="300"/>
      <c r="W585" s="300"/>
      <c r="X585" s="300"/>
      <c r="Y585" s="300"/>
      <c r="Z585" s="300"/>
      <c r="AA585" s="300"/>
    </row>
    <row r="586" spans="1:27" ht="15.5" x14ac:dyDescent="0.35">
      <c r="A586" s="300"/>
      <c r="B586" s="300"/>
      <c r="C586" s="300"/>
      <c r="D586" s="300"/>
      <c r="E586" s="300"/>
      <c r="F586" s="300"/>
      <c r="G586" s="300"/>
      <c r="H586" s="300"/>
      <c r="I586" s="300"/>
      <c r="J586" s="300"/>
      <c r="K586" s="300"/>
      <c r="L586" s="300"/>
      <c r="M586" s="300"/>
      <c r="N586" s="300"/>
      <c r="O586" s="300"/>
      <c r="P586" s="300"/>
      <c r="Q586" s="300"/>
      <c r="R586" s="300"/>
      <c r="S586" s="300"/>
      <c r="T586" s="300"/>
      <c r="U586" s="300"/>
      <c r="V586" s="300"/>
      <c r="W586" s="300"/>
      <c r="X586" s="300"/>
      <c r="Y586" s="300"/>
      <c r="Z586" s="300"/>
      <c r="AA586" s="300"/>
    </row>
    <row r="587" spans="1:27" ht="15.5" x14ac:dyDescent="0.35">
      <c r="A587" s="300"/>
      <c r="B587" s="300"/>
      <c r="C587" s="300"/>
      <c r="D587" s="300"/>
      <c r="E587" s="300"/>
      <c r="F587" s="300"/>
      <c r="G587" s="300"/>
      <c r="H587" s="300"/>
      <c r="I587" s="300"/>
      <c r="J587" s="300"/>
      <c r="K587" s="300"/>
      <c r="L587" s="300"/>
      <c r="M587" s="300"/>
      <c r="N587" s="300"/>
      <c r="O587" s="300"/>
      <c r="P587" s="300"/>
      <c r="Q587" s="300"/>
      <c r="R587" s="300"/>
      <c r="S587" s="300"/>
      <c r="T587" s="300"/>
      <c r="U587" s="300"/>
      <c r="V587" s="300"/>
      <c r="W587" s="300"/>
      <c r="X587" s="300"/>
      <c r="Y587" s="300"/>
      <c r="Z587" s="300"/>
      <c r="AA587" s="300"/>
    </row>
    <row r="588" spans="1:27" ht="15.5" x14ac:dyDescent="0.35">
      <c r="A588" s="300"/>
      <c r="B588" s="300"/>
      <c r="C588" s="300"/>
      <c r="D588" s="300"/>
      <c r="E588" s="300"/>
      <c r="F588" s="300"/>
      <c r="G588" s="300"/>
      <c r="H588" s="300"/>
      <c r="I588" s="300"/>
      <c r="J588" s="300"/>
      <c r="K588" s="300"/>
      <c r="L588" s="300"/>
      <c r="M588" s="300"/>
      <c r="N588" s="300"/>
      <c r="O588" s="300"/>
      <c r="P588" s="300"/>
      <c r="Q588" s="300"/>
      <c r="R588" s="300"/>
      <c r="S588" s="300"/>
      <c r="T588" s="300"/>
      <c r="U588" s="300"/>
      <c r="V588" s="300"/>
      <c r="W588" s="300"/>
      <c r="X588" s="300"/>
      <c r="Y588" s="300"/>
      <c r="Z588" s="300"/>
      <c r="AA588" s="300"/>
    </row>
    <row r="589" spans="1:27" ht="15.5" x14ac:dyDescent="0.35">
      <c r="A589" s="300"/>
      <c r="B589" s="300"/>
      <c r="C589" s="300"/>
      <c r="D589" s="300"/>
      <c r="E589" s="300"/>
      <c r="F589" s="300"/>
      <c r="G589" s="300"/>
      <c r="H589" s="300"/>
      <c r="I589" s="300"/>
      <c r="J589" s="300"/>
      <c r="K589" s="300"/>
      <c r="L589" s="300"/>
      <c r="M589" s="300"/>
      <c r="N589" s="300"/>
      <c r="O589" s="300"/>
      <c r="P589" s="300"/>
      <c r="Q589" s="300"/>
      <c r="R589" s="300"/>
      <c r="S589" s="300"/>
      <c r="T589" s="300"/>
      <c r="U589" s="300"/>
      <c r="V589" s="300"/>
      <c r="W589" s="300"/>
      <c r="X589" s="300"/>
      <c r="Y589" s="300"/>
      <c r="Z589" s="300"/>
      <c r="AA589" s="300"/>
    </row>
    <row r="590" spans="1:27" ht="15.5" x14ac:dyDescent="0.35">
      <c r="A590" s="300"/>
      <c r="B590" s="300"/>
      <c r="C590" s="300"/>
      <c r="D590" s="300"/>
      <c r="E590" s="300"/>
      <c r="F590" s="300"/>
      <c r="G590" s="300"/>
      <c r="H590" s="300"/>
      <c r="I590" s="300"/>
      <c r="J590" s="300"/>
      <c r="K590" s="300"/>
      <c r="L590" s="300"/>
      <c r="M590" s="300"/>
      <c r="N590" s="300"/>
      <c r="O590" s="300"/>
      <c r="P590" s="300"/>
      <c r="Q590" s="300"/>
      <c r="R590" s="300"/>
      <c r="S590" s="300"/>
      <c r="T590" s="300"/>
      <c r="U590" s="300"/>
      <c r="V590" s="300"/>
      <c r="W590" s="300"/>
      <c r="X590" s="300"/>
      <c r="Y590" s="300"/>
      <c r="Z590" s="300"/>
      <c r="AA590" s="300"/>
    </row>
    <row r="591" spans="1:27" ht="15.5" x14ac:dyDescent="0.35">
      <c r="A591" s="300"/>
      <c r="B591" s="300"/>
      <c r="C591" s="300"/>
      <c r="D591" s="300"/>
      <c r="E591" s="300"/>
      <c r="F591" s="300"/>
      <c r="G591" s="300"/>
      <c r="H591" s="300"/>
      <c r="I591" s="300"/>
      <c r="J591" s="300"/>
      <c r="K591" s="300"/>
      <c r="L591" s="300"/>
      <c r="M591" s="300"/>
      <c r="N591" s="300"/>
      <c r="O591" s="300"/>
      <c r="P591" s="300"/>
      <c r="Q591" s="300"/>
      <c r="R591" s="300"/>
      <c r="S591" s="300"/>
      <c r="T591" s="300"/>
      <c r="U591" s="300"/>
      <c r="V591" s="300"/>
      <c r="W591" s="300"/>
      <c r="X591" s="300"/>
      <c r="Y591" s="300"/>
      <c r="Z591" s="300"/>
      <c r="AA591" s="300"/>
    </row>
    <row r="592" spans="1:27" ht="15.5" x14ac:dyDescent="0.35">
      <c r="A592" s="300"/>
      <c r="B592" s="300"/>
      <c r="C592" s="300"/>
      <c r="D592" s="300"/>
      <c r="E592" s="300"/>
      <c r="F592" s="300"/>
      <c r="G592" s="300"/>
      <c r="H592" s="300"/>
      <c r="I592" s="300"/>
      <c r="J592" s="300"/>
      <c r="K592" s="300"/>
      <c r="L592" s="300"/>
      <c r="M592" s="300"/>
      <c r="N592" s="300"/>
      <c r="O592" s="300"/>
      <c r="P592" s="300"/>
      <c r="Q592" s="300"/>
      <c r="R592" s="300"/>
      <c r="S592" s="300"/>
      <c r="T592" s="300"/>
      <c r="U592" s="300"/>
      <c r="V592" s="300"/>
      <c r="W592" s="300"/>
      <c r="X592" s="300"/>
      <c r="Y592" s="300"/>
      <c r="Z592" s="300"/>
      <c r="AA592" s="300"/>
    </row>
    <row r="593" spans="1:27" ht="15.5" x14ac:dyDescent="0.35">
      <c r="A593" s="300"/>
      <c r="B593" s="300"/>
      <c r="C593" s="300"/>
      <c r="D593" s="300"/>
      <c r="E593" s="300"/>
      <c r="F593" s="300"/>
      <c r="G593" s="300"/>
      <c r="H593" s="300"/>
      <c r="I593" s="300"/>
      <c r="J593" s="300"/>
      <c r="K593" s="300"/>
      <c r="L593" s="300"/>
      <c r="M593" s="300"/>
      <c r="N593" s="300"/>
      <c r="O593" s="300"/>
      <c r="P593" s="300"/>
      <c r="Q593" s="300"/>
      <c r="R593" s="300"/>
      <c r="S593" s="300"/>
      <c r="T593" s="300"/>
      <c r="U593" s="300"/>
      <c r="V593" s="300"/>
      <c r="W593" s="300"/>
      <c r="X593" s="300"/>
      <c r="Y593" s="300"/>
      <c r="Z593" s="300"/>
      <c r="AA593" s="300"/>
    </row>
    <row r="594" spans="1:27" ht="15.5" x14ac:dyDescent="0.35">
      <c r="A594" s="300"/>
      <c r="B594" s="300"/>
      <c r="C594" s="300"/>
      <c r="D594" s="300"/>
      <c r="E594" s="300"/>
      <c r="F594" s="300"/>
      <c r="G594" s="300"/>
      <c r="H594" s="300"/>
      <c r="I594" s="300"/>
      <c r="J594" s="300"/>
      <c r="K594" s="300"/>
      <c r="L594" s="300"/>
      <c r="M594" s="300"/>
      <c r="N594" s="300"/>
      <c r="O594" s="300"/>
      <c r="P594" s="300"/>
      <c r="Q594" s="300"/>
      <c r="R594" s="300"/>
      <c r="S594" s="300"/>
      <c r="T594" s="300"/>
      <c r="U594" s="300"/>
      <c r="V594" s="300"/>
      <c r="W594" s="300"/>
      <c r="X594" s="300"/>
      <c r="Y594" s="300"/>
      <c r="Z594" s="300"/>
      <c r="AA594" s="300"/>
    </row>
    <row r="595" spans="1:27" ht="15.5" x14ac:dyDescent="0.35">
      <c r="A595" s="300"/>
      <c r="B595" s="300"/>
      <c r="C595" s="300"/>
      <c r="D595" s="300"/>
      <c r="E595" s="300"/>
      <c r="F595" s="300"/>
      <c r="G595" s="300"/>
      <c r="H595" s="300"/>
      <c r="I595" s="300"/>
      <c r="J595" s="300"/>
      <c r="K595" s="300"/>
      <c r="L595" s="300"/>
      <c r="M595" s="300"/>
      <c r="N595" s="300"/>
      <c r="O595" s="300"/>
      <c r="P595" s="300"/>
      <c r="Q595" s="300"/>
      <c r="R595" s="300"/>
      <c r="S595" s="300"/>
      <c r="T595" s="300"/>
      <c r="U595" s="300"/>
      <c r="V595" s="300"/>
      <c r="W595" s="300"/>
      <c r="X595" s="300"/>
      <c r="Y595" s="300"/>
      <c r="Z595" s="300"/>
      <c r="AA595" s="300"/>
    </row>
    <row r="596" spans="1:27" ht="15.5" x14ac:dyDescent="0.35">
      <c r="A596" s="300"/>
      <c r="B596" s="300"/>
      <c r="C596" s="300"/>
      <c r="D596" s="300"/>
      <c r="E596" s="300"/>
      <c r="F596" s="300"/>
      <c r="G596" s="300"/>
      <c r="H596" s="300"/>
      <c r="I596" s="300"/>
      <c r="J596" s="300"/>
      <c r="K596" s="300"/>
      <c r="L596" s="300"/>
      <c r="M596" s="300"/>
      <c r="N596" s="300"/>
      <c r="O596" s="300"/>
      <c r="P596" s="300"/>
      <c r="Q596" s="300"/>
      <c r="R596" s="300"/>
      <c r="S596" s="300"/>
      <c r="T596" s="300"/>
      <c r="U596" s="300"/>
      <c r="V596" s="300"/>
      <c r="W596" s="300"/>
      <c r="X596" s="300"/>
      <c r="Y596" s="300"/>
      <c r="Z596" s="300"/>
      <c r="AA596" s="300"/>
    </row>
    <row r="597" spans="1:27" ht="15.5" x14ac:dyDescent="0.35">
      <c r="A597" s="300"/>
      <c r="B597" s="300"/>
      <c r="C597" s="300"/>
      <c r="D597" s="300"/>
      <c r="E597" s="300"/>
      <c r="F597" s="300"/>
      <c r="G597" s="300"/>
      <c r="H597" s="300"/>
      <c r="I597" s="300"/>
      <c r="J597" s="300"/>
      <c r="K597" s="300"/>
      <c r="L597" s="300"/>
      <c r="M597" s="300"/>
      <c r="N597" s="300"/>
      <c r="O597" s="300"/>
      <c r="P597" s="300"/>
      <c r="Q597" s="300"/>
      <c r="R597" s="300"/>
      <c r="S597" s="300"/>
      <c r="T597" s="300"/>
      <c r="U597" s="300"/>
      <c r="V597" s="300"/>
      <c r="W597" s="300"/>
      <c r="X597" s="300"/>
      <c r="Y597" s="300"/>
      <c r="Z597" s="300"/>
      <c r="AA597" s="300"/>
    </row>
    <row r="598" spans="1:27" ht="15.5" x14ac:dyDescent="0.35">
      <c r="A598" s="300"/>
      <c r="B598" s="300"/>
      <c r="C598" s="300"/>
      <c r="D598" s="300"/>
      <c r="E598" s="300"/>
      <c r="F598" s="300"/>
      <c r="G598" s="300"/>
      <c r="H598" s="300"/>
      <c r="I598" s="300"/>
      <c r="J598" s="300"/>
      <c r="K598" s="300"/>
      <c r="L598" s="300"/>
      <c r="M598" s="300"/>
      <c r="N598" s="300"/>
      <c r="O598" s="300"/>
      <c r="P598" s="300"/>
      <c r="Q598" s="300"/>
      <c r="R598" s="300"/>
      <c r="S598" s="300"/>
      <c r="T598" s="300"/>
      <c r="U598" s="300"/>
      <c r="V598" s="300"/>
      <c r="W598" s="300"/>
      <c r="X598" s="300"/>
      <c r="Y598" s="300"/>
      <c r="Z598" s="300"/>
      <c r="AA598" s="300"/>
    </row>
    <row r="599" spans="1:27" ht="15.5" x14ac:dyDescent="0.35">
      <c r="A599" s="300"/>
      <c r="B599" s="300"/>
      <c r="C599" s="300"/>
      <c r="D599" s="300"/>
      <c r="E599" s="300"/>
      <c r="F599" s="300"/>
      <c r="G599" s="300"/>
      <c r="H599" s="300"/>
      <c r="I599" s="300"/>
      <c r="J599" s="300"/>
      <c r="K599" s="300"/>
      <c r="L599" s="300"/>
      <c r="M599" s="300"/>
      <c r="N599" s="300"/>
      <c r="O599" s="300"/>
      <c r="P599" s="300"/>
      <c r="Q599" s="300"/>
      <c r="R599" s="300"/>
      <c r="S599" s="300"/>
      <c r="T599" s="300"/>
      <c r="U599" s="300"/>
      <c r="V599" s="300"/>
      <c r="W599" s="300"/>
      <c r="X599" s="300"/>
      <c r="Y599" s="300"/>
      <c r="Z599" s="300"/>
      <c r="AA599" s="300"/>
    </row>
    <row r="600" spans="1:27" ht="15.5" x14ac:dyDescent="0.35">
      <c r="A600" s="300"/>
      <c r="B600" s="300"/>
      <c r="C600" s="300"/>
      <c r="D600" s="300"/>
      <c r="E600" s="300"/>
      <c r="F600" s="300"/>
      <c r="G600" s="300"/>
      <c r="H600" s="300"/>
      <c r="I600" s="300"/>
      <c r="J600" s="300"/>
      <c r="K600" s="300"/>
      <c r="L600" s="300"/>
      <c r="M600" s="300"/>
      <c r="N600" s="300"/>
      <c r="O600" s="300"/>
      <c r="P600" s="300"/>
      <c r="Q600" s="300"/>
      <c r="R600" s="300"/>
      <c r="S600" s="300"/>
      <c r="T600" s="300"/>
      <c r="U600" s="300"/>
      <c r="V600" s="300"/>
      <c r="W600" s="300"/>
      <c r="X600" s="300"/>
      <c r="Y600" s="300"/>
      <c r="Z600" s="300"/>
      <c r="AA600" s="300"/>
    </row>
    <row r="601" spans="1:27" ht="15.5" x14ac:dyDescent="0.35">
      <c r="A601" s="300"/>
      <c r="B601" s="300"/>
      <c r="C601" s="300"/>
      <c r="D601" s="300"/>
      <c r="E601" s="300"/>
      <c r="F601" s="300"/>
      <c r="G601" s="300"/>
      <c r="H601" s="300"/>
      <c r="I601" s="300"/>
      <c r="J601" s="300"/>
      <c r="K601" s="300"/>
      <c r="L601" s="300"/>
      <c r="M601" s="300"/>
      <c r="N601" s="300"/>
      <c r="O601" s="300"/>
      <c r="P601" s="300"/>
      <c r="Q601" s="300"/>
      <c r="R601" s="300"/>
      <c r="S601" s="300"/>
      <c r="T601" s="300"/>
      <c r="U601" s="300"/>
      <c r="V601" s="300"/>
      <c r="W601" s="300"/>
      <c r="X601" s="300"/>
      <c r="Y601" s="300"/>
      <c r="Z601" s="300"/>
      <c r="AA601" s="300"/>
    </row>
    <row r="602" spans="1:27" ht="15.5" x14ac:dyDescent="0.35">
      <c r="A602" s="300"/>
      <c r="B602" s="300"/>
      <c r="C602" s="300"/>
      <c r="D602" s="300"/>
      <c r="E602" s="300"/>
      <c r="F602" s="300"/>
      <c r="G602" s="300"/>
      <c r="H602" s="300"/>
      <c r="I602" s="300"/>
      <c r="J602" s="300"/>
      <c r="K602" s="300"/>
      <c r="L602" s="300"/>
      <c r="M602" s="300"/>
      <c r="N602" s="300"/>
      <c r="O602" s="300"/>
      <c r="P602" s="300"/>
      <c r="Q602" s="300"/>
      <c r="R602" s="300"/>
      <c r="S602" s="300"/>
      <c r="T602" s="300"/>
      <c r="U602" s="300"/>
      <c r="V602" s="300"/>
      <c r="W602" s="300"/>
      <c r="X602" s="300"/>
      <c r="Y602" s="300"/>
      <c r="Z602" s="300"/>
      <c r="AA602" s="300"/>
    </row>
    <row r="603" spans="1:27" ht="15.5" x14ac:dyDescent="0.35">
      <c r="A603" s="300"/>
      <c r="B603" s="300"/>
      <c r="C603" s="300"/>
      <c r="D603" s="300"/>
      <c r="E603" s="300"/>
      <c r="F603" s="300"/>
      <c r="G603" s="300"/>
      <c r="H603" s="300"/>
      <c r="I603" s="300"/>
      <c r="J603" s="300"/>
      <c r="K603" s="300"/>
      <c r="L603" s="300"/>
      <c r="M603" s="300"/>
      <c r="N603" s="300"/>
      <c r="O603" s="300"/>
      <c r="P603" s="300"/>
      <c r="Q603" s="300"/>
      <c r="R603" s="300"/>
      <c r="S603" s="300"/>
      <c r="T603" s="300"/>
      <c r="U603" s="300"/>
      <c r="V603" s="300"/>
      <c r="W603" s="300"/>
      <c r="X603" s="300"/>
      <c r="Y603" s="300"/>
      <c r="Z603" s="300"/>
      <c r="AA603" s="300"/>
    </row>
    <row r="604" spans="1:27" ht="15.5" x14ac:dyDescent="0.35">
      <c r="A604" s="300"/>
      <c r="B604" s="300"/>
      <c r="C604" s="300"/>
      <c r="D604" s="300"/>
      <c r="E604" s="300"/>
      <c r="F604" s="300"/>
      <c r="G604" s="300"/>
      <c r="H604" s="300"/>
      <c r="I604" s="300"/>
      <c r="J604" s="300"/>
      <c r="K604" s="300"/>
      <c r="L604" s="300"/>
      <c r="M604" s="300"/>
      <c r="N604" s="300"/>
      <c r="O604" s="300"/>
      <c r="P604" s="300"/>
      <c r="Q604" s="300"/>
      <c r="R604" s="300"/>
      <c r="S604" s="300"/>
      <c r="T604" s="300"/>
      <c r="U604" s="300"/>
      <c r="V604" s="300"/>
      <c r="W604" s="300"/>
      <c r="X604" s="300"/>
      <c r="Y604" s="300"/>
      <c r="Z604" s="300"/>
      <c r="AA604" s="300"/>
    </row>
    <row r="605" spans="1:27" ht="15.5" x14ac:dyDescent="0.35">
      <c r="A605" s="300"/>
      <c r="B605" s="300"/>
      <c r="C605" s="300"/>
      <c r="D605" s="300"/>
      <c r="E605" s="300"/>
      <c r="F605" s="300"/>
      <c r="G605" s="300"/>
      <c r="H605" s="300"/>
      <c r="I605" s="300"/>
      <c r="J605" s="300"/>
      <c r="K605" s="300"/>
      <c r="L605" s="300"/>
      <c r="M605" s="300"/>
      <c r="N605" s="300"/>
      <c r="O605" s="300"/>
      <c r="P605" s="300"/>
      <c r="Q605" s="300"/>
      <c r="R605" s="300"/>
      <c r="S605" s="300"/>
      <c r="T605" s="300"/>
      <c r="U605" s="300"/>
      <c r="V605" s="300"/>
      <c r="W605" s="300"/>
      <c r="X605" s="300"/>
      <c r="Y605" s="300"/>
      <c r="Z605" s="300"/>
      <c r="AA605" s="300"/>
    </row>
    <row r="606" spans="1:27" ht="15.5" x14ac:dyDescent="0.35">
      <c r="A606" s="300"/>
      <c r="B606" s="300"/>
      <c r="C606" s="300"/>
      <c r="D606" s="300"/>
      <c r="E606" s="300"/>
      <c r="F606" s="300"/>
      <c r="G606" s="300"/>
      <c r="H606" s="300"/>
      <c r="I606" s="300"/>
      <c r="J606" s="300"/>
      <c r="K606" s="300"/>
      <c r="L606" s="300"/>
      <c r="M606" s="300"/>
      <c r="N606" s="300"/>
      <c r="O606" s="300"/>
      <c r="P606" s="300"/>
      <c r="Q606" s="300"/>
      <c r="R606" s="300"/>
      <c r="S606" s="300"/>
      <c r="T606" s="300"/>
      <c r="U606" s="300"/>
      <c r="V606" s="300"/>
      <c r="W606" s="300"/>
      <c r="X606" s="300"/>
      <c r="Y606" s="300"/>
      <c r="Z606" s="300"/>
      <c r="AA606" s="300"/>
    </row>
    <row r="607" spans="1:27" ht="15.5" x14ac:dyDescent="0.35">
      <c r="A607" s="300"/>
      <c r="B607" s="300"/>
      <c r="C607" s="300"/>
      <c r="D607" s="300"/>
      <c r="E607" s="300"/>
      <c r="F607" s="300"/>
      <c r="G607" s="300"/>
      <c r="H607" s="300"/>
      <c r="I607" s="300"/>
      <c r="J607" s="300"/>
      <c r="K607" s="300"/>
      <c r="L607" s="300"/>
      <c r="M607" s="300"/>
      <c r="N607" s="300"/>
      <c r="O607" s="300"/>
      <c r="P607" s="300"/>
      <c r="Q607" s="300"/>
      <c r="R607" s="300"/>
      <c r="S607" s="300"/>
      <c r="T607" s="300"/>
      <c r="U607" s="300"/>
      <c r="V607" s="300"/>
      <c r="W607" s="300"/>
      <c r="X607" s="300"/>
      <c r="Y607" s="300"/>
      <c r="Z607" s="300"/>
      <c r="AA607" s="300"/>
    </row>
    <row r="608" spans="1:27" ht="15.5" x14ac:dyDescent="0.35">
      <c r="A608" s="300"/>
      <c r="B608" s="300"/>
      <c r="C608" s="300"/>
      <c r="D608" s="300"/>
      <c r="E608" s="300"/>
      <c r="F608" s="300"/>
      <c r="G608" s="300"/>
      <c r="H608" s="300"/>
      <c r="I608" s="300"/>
      <c r="J608" s="300"/>
      <c r="K608" s="300"/>
      <c r="L608" s="300"/>
      <c r="M608" s="300"/>
      <c r="N608" s="300"/>
      <c r="O608" s="300"/>
      <c r="P608" s="300"/>
      <c r="Q608" s="300"/>
      <c r="R608" s="300"/>
      <c r="S608" s="300"/>
      <c r="T608" s="300"/>
      <c r="U608" s="300"/>
      <c r="V608" s="300"/>
      <c r="W608" s="300"/>
      <c r="X608" s="300"/>
      <c r="Y608" s="300"/>
      <c r="Z608" s="300"/>
      <c r="AA608" s="300"/>
    </row>
    <row r="609" spans="1:27" ht="15.5" x14ac:dyDescent="0.35">
      <c r="A609" s="300"/>
      <c r="B609" s="300"/>
      <c r="C609" s="300"/>
      <c r="D609" s="300"/>
      <c r="E609" s="300"/>
      <c r="F609" s="300"/>
      <c r="G609" s="300"/>
      <c r="H609" s="300"/>
      <c r="I609" s="300"/>
      <c r="J609" s="300"/>
      <c r="K609" s="300"/>
      <c r="L609" s="300"/>
      <c r="M609" s="300"/>
      <c r="N609" s="300"/>
      <c r="O609" s="300"/>
      <c r="P609" s="300"/>
      <c r="Q609" s="300"/>
      <c r="R609" s="300"/>
      <c r="S609" s="300"/>
      <c r="T609" s="300"/>
      <c r="U609" s="300"/>
      <c r="V609" s="300"/>
      <c r="W609" s="300"/>
      <c r="X609" s="300"/>
      <c r="Y609" s="300"/>
      <c r="Z609" s="300"/>
      <c r="AA609" s="300"/>
    </row>
    <row r="610" spans="1:27" ht="15.5" x14ac:dyDescent="0.35">
      <c r="A610" s="300"/>
      <c r="B610" s="300"/>
      <c r="C610" s="300"/>
      <c r="D610" s="300"/>
      <c r="E610" s="300"/>
      <c r="F610" s="300"/>
      <c r="G610" s="300"/>
      <c r="H610" s="300"/>
      <c r="I610" s="300"/>
      <c r="J610" s="300"/>
      <c r="K610" s="300"/>
      <c r="L610" s="300"/>
      <c r="M610" s="300"/>
      <c r="N610" s="300"/>
      <c r="O610" s="300"/>
      <c r="P610" s="300"/>
      <c r="Q610" s="300"/>
      <c r="R610" s="300"/>
      <c r="S610" s="300"/>
      <c r="T610" s="300"/>
      <c r="U610" s="300"/>
      <c r="V610" s="300"/>
      <c r="W610" s="300"/>
      <c r="X610" s="300"/>
      <c r="Y610" s="300"/>
      <c r="Z610" s="300"/>
      <c r="AA610" s="300"/>
    </row>
    <row r="611" spans="1:27" ht="15.5" x14ac:dyDescent="0.35">
      <c r="A611" s="300"/>
      <c r="B611" s="300"/>
      <c r="C611" s="300"/>
      <c r="D611" s="300"/>
      <c r="E611" s="300"/>
      <c r="F611" s="300"/>
      <c r="G611" s="300"/>
      <c r="H611" s="300"/>
      <c r="I611" s="300"/>
      <c r="J611" s="300"/>
      <c r="K611" s="300"/>
      <c r="L611" s="300"/>
      <c r="M611" s="300"/>
      <c r="N611" s="300"/>
      <c r="O611" s="300"/>
      <c r="P611" s="300"/>
      <c r="Q611" s="300"/>
      <c r="R611" s="300"/>
      <c r="S611" s="300"/>
      <c r="T611" s="300"/>
      <c r="U611" s="300"/>
      <c r="V611" s="300"/>
      <c r="W611" s="300"/>
      <c r="X611" s="300"/>
      <c r="Y611" s="300"/>
      <c r="Z611" s="300"/>
      <c r="AA611" s="300"/>
    </row>
    <row r="612" spans="1:27" ht="15.5" x14ac:dyDescent="0.35">
      <c r="A612" s="300"/>
      <c r="B612" s="300"/>
      <c r="C612" s="300"/>
      <c r="D612" s="300"/>
      <c r="E612" s="300"/>
      <c r="F612" s="300"/>
      <c r="G612" s="300"/>
      <c r="H612" s="300"/>
      <c r="I612" s="300"/>
      <c r="J612" s="300"/>
      <c r="K612" s="300"/>
      <c r="L612" s="300"/>
      <c r="M612" s="300"/>
      <c r="N612" s="300"/>
      <c r="O612" s="300"/>
      <c r="P612" s="300"/>
      <c r="Q612" s="300"/>
      <c r="R612" s="300"/>
      <c r="S612" s="300"/>
      <c r="T612" s="300"/>
      <c r="U612" s="300"/>
      <c r="V612" s="300"/>
      <c r="W612" s="300"/>
      <c r="X612" s="300"/>
      <c r="Y612" s="300"/>
      <c r="Z612" s="300"/>
      <c r="AA612" s="300"/>
    </row>
    <row r="613" spans="1:27" ht="15.5" x14ac:dyDescent="0.35">
      <c r="A613" s="300"/>
      <c r="B613" s="300"/>
      <c r="C613" s="300"/>
      <c r="D613" s="300"/>
      <c r="E613" s="300"/>
      <c r="F613" s="300"/>
      <c r="G613" s="300"/>
      <c r="H613" s="300"/>
      <c r="I613" s="300"/>
      <c r="J613" s="300"/>
      <c r="K613" s="300"/>
      <c r="L613" s="300"/>
      <c r="M613" s="300"/>
      <c r="N613" s="300"/>
      <c r="O613" s="300"/>
      <c r="P613" s="300"/>
      <c r="Q613" s="300"/>
      <c r="R613" s="300"/>
      <c r="S613" s="300"/>
      <c r="T613" s="300"/>
      <c r="U613" s="300"/>
      <c r="V613" s="300"/>
      <c r="W613" s="300"/>
      <c r="X613" s="300"/>
      <c r="Y613" s="300"/>
      <c r="Z613" s="300"/>
      <c r="AA613" s="300"/>
    </row>
    <row r="614" spans="1:27" ht="15.5" x14ac:dyDescent="0.35">
      <c r="A614" s="300"/>
      <c r="B614" s="300"/>
      <c r="C614" s="300"/>
      <c r="D614" s="300"/>
      <c r="E614" s="300"/>
      <c r="F614" s="300"/>
      <c r="G614" s="300"/>
      <c r="H614" s="300"/>
      <c r="I614" s="300"/>
      <c r="J614" s="300"/>
      <c r="K614" s="300"/>
      <c r="L614" s="300"/>
      <c r="M614" s="300"/>
      <c r="N614" s="300"/>
      <c r="O614" s="300"/>
      <c r="P614" s="300"/>
      <c r="Q614" s="300"/>
      <c r="R614" s="300"/>
      <c r="S614" s="300"/>
      <c r="T614" s="300"/>
      <c r="U614" s="300"/>
      <c r="V614" s="300"/>
      <c r="W614" s="300"/>
      <c r="X614" s="300"/>
      <c r="Y614" s="300"/>
      <c r="Z614" s="300"/>
      <c r="AA614" s="300"/>
    </row>
    <row r="615" spans="1:27" ht="15.5" x14ac:dyDescent="0.35">
      <c r="A615" s="300"/>
      <c r="B615" s="300"/>
      <c r="C615" s="300"/>
      <c r="D615" s="300"/>
      <c r="E615" s="300"/>
      <c r="F615" s="300"/>
      <c r="G615" s="300"/>
      <c r="H615" s="300"/>
      <c r="I615" s="300"/>
      <c r="J615" s="300"/>
      <c r="K615" s="300"/>
      <c r="L615" s="300"/>
      <c r="M615" s="300"/>
      <c r="N615" s="300"/>
      <c r="O615" s="300"/>
      <c r="P615" s="300"/>
      <c r="Q615" s="300"/>
      <c r="R615" s="300"/>
      <c r="S615" s="300"/>
      <c r="T615" s="300"/>
      <c r="U615" s="300"/>
      <c r="V615" s="300"/>
      <c r="W615" s="300"/>
      <c r="X615" s="300"/>
      <c r="Y615" s="300"/>
      <c r="Z615" s="300"/>
      <c r="AA615" s="300"/>
    </row>
    <row r="616" spans="1:27" ht="15.5" x14ac:dyDescent="0.35">
      <c r="A616" s="300"/>
      <c r="B616" s="300"/>
      <c r="C616" s="300"/>
      <c r="D616" s="300"/>
      <c r="E616" s="300"/>
      <c r="F616" s="300"/>
      <c r="G616" s="300"/>
      <c r="H616" s="300"/>
      <c r="I616" s="300"/>
      <c r="J616" s="300"/>
      <c r="K616" s="300"/>
      <c r="L616" s="300"/>
      <c r="M616" s="300"/>
      <c r="N616" s="300"/>
      <c r="O616" s="300"/>
      <c r="P616" s="300"/>
      <c r="Q616" s="300"/>
      <c r="R616" s="300"/>
      <c r="S616" s="300"/>
      <c r="T616" s="300"/>
      <c r="U616" s="300"/>
      <c r="V616" s="300"/>
      <c r="W616" s="300"/>
      <c r="X616" s="300"/>
      <c r="Y616" s="300"/>
      <c r="Z616" s="300"/>
      <c r="AA616" s="300"/>
    </row>
    <row r="617" spans="1:27" ht="15.5" x14ac:dyDescent="0.35">
      <c r="A617" s="300"/>
      <c r="B617" s="300"/>
      <c r="C617" s="300"/>
      <c r="D617" s="300"/>
      <c r="E617" s="300"/>
      <c r="F617" s="300"/>
      <c r="G617" s="300"/>
      <c r="H617" s="300"/>
      <c r="I617" s="300"/>
      <c r="J617" s="300"/>
      <c r="K617" s="300"/>
      <c r="L617" s="300"/>
      <c r="M617" s="300"/>
      <c r="N617" s="300"/>
      <c r="O617" s="300"/>
      <c r="P617" s="300"/>
      <c r="Q617" s="300"/>
      <c r="R617" s="300"/>
      <c r="S617" s="300"/>
      <c r="T617" s="300"/>
      <c r="U617" s="300"/>
      <c r="V617" s="300"/>
      <c r="W617" s="300"/>
      <c r="X617" s="300"/>
      <c r="Y617" s="300"/>
      <c r="Z617" s="300"/>
      <c r="AA617" s="300"/>
    </row>
    <row r="618" spans="1:27" ht="15.5" x14ac:dyDescent="0.35">
      <c r="A618" s="300"/>
      <c r="B618" s="300"/>
      <c r="C618" s="300"/>
      <c r="D618" s="300"/>
      <c r="E618" s="300"/>
      <c r="F618" s="300"/>
      <c r="G618" s="300"/>
      <c r="H618" s="300"/>
      <c r="I618" s="300"/>
      <c r="J618" s="300"/>
      <c r="K618" s="300"/>
      <c r="L618" s="300"/>
      <c r="M618" s="300"/>
      <c r="N618" s="300"/>
      <c r="O618" s="300"/>
      <c r="P618" s="300"/>
      <c r="Q618" s="300"/>
      <c r="R618" s="300"/>
      <c r="S618" s="300"/>
      <c r="T618" s="300"/>
      <c r="U618" s="300"/>
      <c r="V618" s="300"/>
      <c r="W618" s="300"/>
      <c r="X618" s="300"/>
      <c r="Y618" s="300"/>
      <c r="Z618" s="300"/>
      <c r="AA618" s="300"/>
    </row>
    <row r="619" spans="1:27" ht="15.5" x14ac:dyDescent="0.35">
      <c r="A619" s="300"/>
      <c r="B619" s="300"/>
      <c r="C619" s="300"/>
      <c r="D619" s="300"/>
      <c r="E619" s="300"/>
      <c r="F619" s="300"/>
      <c r="G619" s="300"/>
      <c r="H619" s="300"/>
      <c r="I619" s="300"/>
      <c r="J619" s="300"/>
      <c r="K619" s="300"/>
      <c r="L619" s="300"/>
      <c r="M619" s="300"/>
      <c r="N619" s="300"/>
      <c r="O619" s="300"/>
      <c r="P619" s="300"/>
      <c r="Q619" s="300"/>
      <c r="R619" s="300"/>
      <c r="S619" s="300"/>
      <c r="T619" s="300"/>
      <c r="U619" s="300"/>
      <c r="V619" s="300"/>
      <c r="W619" s="300"/>
      <c r="X619" s="300"/>
      <c r="Y619" s="300"/>
      <c r="Z619" s="300"/>
      <c r="AA619" s="300"/>
    </row>
    <row r="620" spans="1:27" ht="15.5" x14ac:dyDescent="0.35">
      <c r="A620" s="300"/>
      <c r="B620" s="300"/>
      <c r="C620" s="300"/>
      <c r="D620" s="300"/>
      <c r="E620" s="300"/>
      <c r="F620" s="300"/>
      <c r="G620" s="300"/>
      <c r="H620" s="300"/>
      <c r="I620" s="300"/>
      <c r="J620" s="300"/>
      <c r="K620" s="300"/>
      <c r="L620" s="300"/>
      <c r="M620" s="300"/>
      <c r="N620" s="300"/>
      <c r="O620" s="300"/>
      <c r="P620" s="300"/>
      <c r="Q620" s="300"/>
      <c r="R620" s="300"/>
      <c r="S620" s="300"/>
      <c r="T620" s="300"/>
      <c r="U620" s="300"/>
      <c r="V620" s="300"/>
      <c r="W620" s="300"/>
      <c r="X620" s="300"/>
      <c r="Y620" s="300"/>
      <c r="Z620" s="300"/>
      <c r="AA620" s="300"/>
    </row>
    <row r="621" spans="1:27" ht="15.5" x14ac:dyDescent="0.35">
      <c r="A621" s="300"/>
      <c r="B621" s="300"/>
      <c r="C621" s="300"/>
      <c r="D621" s="300"/>
      <c r="E621" s="300"/>
      <c r="F621" s="300"/>
      <c r="G621" s="300"/>
      <c r="H621" s="300"/>
      <c r="I621" s="300"/>
      <c r="J621" s="300"/>
      <c r="K621" s="300"/>
      <c r="L621" s="300"/>
      <c r="M621" s="300"/>
      <c r="N621" s="300"/>
      <c r="O621" s="300"/>
      <c r="P621" s="300"/>
      <c r="Q621" s="300"/>
      <c r="R621" s="300"/>
      <c r="S621" s="300"/>
      <c r="T621" s="300"/>
      <c r="U621" s="300"/>
      <c r="V621" s="300"/>
      <c r="W621" s="300"/>
      <c r="X621" s="300"/>
      <c r="Y621" s="300"/>
      <c r="Z621" s="300"/>
      <c r="AA621" s="300"/>
    </row>
    <row r="622" spans="1:27" ht="15.5" x14ac:dyDescent="0.35">
      <c r="A622" s="300"/>
      <c r="B622" s="300"/>
      <c r="C622" s="300"/>
      <c r="D622" s="300"/>
      <c r="E622" s="300"/>
      <c r="F622" s="300"/>
      <c r="G622" s="300"/>
      <c r="H622" s="300"/>
      <c r="I622" s="300"/>
      <c r="J622" s="300"/>
      <c r="K622" s="300"/>
      <c r="L622" s="300"/>
      <c r="M622" s="300"/>
      <c r="N622" s="300"/>
      <c r="O622" s="300"/>
      <c r="P622" s="300"/>
      <c r="Q622" s="300"/>
      <c r="R622" s="300"/>
      <c r="S622" s="300"/>
      <c r="T622" s="300"/>
      <c r="U622" s="300"/>
      <c r="V622" s="300"/>
      <c r="W622" s="300"/>
      <c r="X622" s="300"/>
      <c r="Y622" s="300"/>
      <c r="Z622" s="300"/>
      <c r="AA622" s="300"/>
    </row>
    <row r="623" spans="1:27" ht="15.5" x14ac:dyDescent="0.35">
      <c r="A623" s="300"/>
      <c r="B623" s="300"/>
      <c r="C623" s="300"/>
      <c r="D623" s="300"/>
      <c r="E623" s="300"/>
      <c r="F623" s="300"/>
      <c r="G623" s="300"/>
      <c r="H623" s="300"/>
      <c r="I623" s="300"/>
      <c r="J623" s="300"/>
      <c r="K623" s="300"/>
      <c r="L623" s="300"/>
      <c r="M623" s="300"/>
      <c r="N623" s="300"/>
      <c r="O623" s="300"/>
      <c r="P623" s="300"/>
      <c r="Q623" s="300"/>
      <c r="R623" s="300"/>
      <c r="S623" s="300"/>
      <c r="T623" s="300"/>
      <c r="U623" s="300"/>
      <c r="V623" s="300"/>
      <c r="W623" s="300"/>
      <c r="X623" s="300"/>
      <c r="Y623" s="300"/>
      <c r="Z623" s="300"/>
      <c r="AA623" s="300"/>
    </row>
    <row r="624" spans="1:27" ht="15.5" x14ac:dyDescent="0.35">
      <c r="A624" s="300"/>
      <c r="B624" s="300"/>
      <c r="C624" s="300"/>
      <c r="D624" s="300"/>
      <c r="E624" s="300"/>
      <c r="F624" s="300"/>
      <c r="G624" s="300"/>
      <c r="H624" s="300"/>
      <c r="I624" s="300"/>
      <c r="J624" s="300"/>
      <c r="K624" s="300"/>
      <c r="L624" s="300"/>
      <c r="M624" s="300"/>
      <c r="N624" s="300"/>
      <c r="O624" s="300"/>
      <c r="P624" s="300"/>
      <c r="Q624" s="300"/>
      <c r="R624" s="300"/>
      <c r="S624" s="300"/>
      <c r="T624" s="300"/>
      <c r="U624" s="300"/>
      <c r="V624" s="300"/>
      <c r="W624" s="300"/>
      <c r="X624" s="300"/>
      <c r="Y624" s="300"/>
      <c r="Z624" s="300"/>
      <c r="AA624" s="300"/>
    </row>
    <row r="625" spans="1:27" ht="15.5" x14ac:dyDescent="0.35">
      <c r="A625" s="300"/>
      <c r="B625" s="300"/>
      <c r="C625" s="300"/>
      <c r="D625" s="300"/>
      <c r="E625" s="300"/>
      <c r="F625" s="300"/>
      <c r="G625" s="300"/>
      <c r="H625" s="300"/>
      <c r="I625" s="300"/>
      <c r="J625" s="300"/>
      <c r="K625" s="300"/>
      <c r="L625" s="300"/>
      <c r="M625" s="300"/>
      <c r="N625" s="300"/>
      <c r="O625" s="300"/>
      <c r="P625" s="300"/>
      <c r="Q625" s="300"/>
      <c r="R625" s="300"/>
      <c r="S625" s="300"/>
      <c r="T625" s="300"/>
      <c r="U625" s="300"/>
      <c r="V625" s="300"/>
      <c r="W625" s="300"/>
      <c r="X625" s="300"/>
      <c r="Y625" s="300"/>
      <c r="Z625" s="300"/>
      <c r="AA625" s="300"/>
    </row>
    <row r="626" spans="1:27" ht="15.5" x14ac:dyDescent="0.35">
      <c r="A626" s="300"/>
      <c r="B626" s="300"/>
      <c r="C626" s="300"/>
      <c r="D626" s="300"/>
      <c r="E626" s="300"/>
      <c r="F626" s="300"/>
      <c r="G626" s="300"/>
      <c r="H626" s="300"/>
      <c r="I626" s="300"/>
      <c r="J626" s="300"/>
      <c r="K626" s="300"/>
      <c r="L626" s="300"/>
      <c r="M626" s="300"/>
      <c r="N626" s="300"/>
      <c r="O626" s="300"/>
      <c r="P626" s="300"/>
      <c r="Q626" s="300"/>
      <c r="R626" s="300"/>
      <c r="S626" s="300"/>
      <c r="T626" s="300"/>
      <c r="U626" s="300"/>
      <c r="V626" s="300"/>
      <c r="W626" s="300"/>
      <c r="X626" s="300"/>
      <c r="Y626" s="300"/>
      <c r="Z626" s="300"/>
      <c r="AA626" s="300"/>
    </row>
    <row r="627" spans="1:27" ht="15.5" x14ac:dyDescent="0.35">
      <c r="A627" s="300"/>
      <c r="B627" s="300"/>
      <c r="C627" s="300"/>
      <c r="D627" s="300"/>
      <c r="E627" s="300"/>
      <c r="F627" s="300"/>
      <c r="G627" s="300"/>
      <c r="H627" s="300"/>
      <c r="I627" s="300"/>
      <c r="J627" s="300"/>
      <c r="K627" s="300"/>
      <c r="L627" s="300"/>
      <c r="M627" s="300"/>
      <c r="N627" s="300"/>
      <c r="O627" s="300"/>
      <c r="P627" s="300"/>
      <c r="Q627" s="300"/>
      <c r="R627" s="300"/>
      <c r="S627" s="300"/>
      <c r="T627" s="300"/>
      <c r="U627" s="300"/>
      <c r="V627" s="300"/>
      <c r="W627" s="300"/>
      <c r="X627" s="300"/>
      <c r="Y627" s="300"/>
      <c r="Z627" s="300"/>
      <c r="AA627" s="300"/>
    </row>
    <row r="628" spans="1:27" ht="15.5" x14ac:dyDescent="0.35">
      <c r="A628" s="300"/>
      <c r="B628" s="300"/>
      <c r="C628" s="300"/>
      <c r="D628" s="300"/>
      <c r="E628" s="300"/>
      <c r="F628" s="300"/>
      <c r="G628" s="300"/>
      <c r="H628" s="300"/>
      <c r="I628" s="300"/>
      <c r="J628" s="300"/>
      <c r="K628" s="300"/>
      <c r="L628" s="300"/>
      <c r="M628" s="300"/>
      <c r="N628" s="300"/>
      <c r="O628" s="300"/>
      <c r="P628" s="300"/>
      <c r="Q628" s="300"/>
      <c r="R628" s="300"/>
      <c r="S628" s="300"/>
      <c r="T628" s="300"/>
      <c r="U628" s="300"/>
      <c r="V628" s="300"/>
      <c r="W628" s="300"/>
      <c r="X628" s="300"/>
      <c r="Y628" s="300"/>
      <c r="Z628" s="300"/>
      <c r="AA628" s="300"/>
    </row>
    <row r="629" spans="1:27" ht="15.5" x14ac:dyDescent="0.35">
      <c r="A629" s="300"/>
      <c r="B629" s="300"/>
      <c r="C629" s="300"/>
      <c r="D629" s="300"/>
      <c r="E629" s="300"/>
      <c r="F629" s="300"/>
      <c r="G629" s="300"/>
      <c r="H629" s="300"/>
      <c r="I629" s="300"/>
      <c r="J629" s="300"/>
      <c r="K629" s="300"/>
      <c r="L629" s="300"/>
      <c r="M629" s="300"/>
      <c r="N629" s="300"/>
      <c r="O629" s="300"/>
      <c r="P629" s="300"/>
      <c r="Q629" s="300"/>
      <c r="R629" s="300"/>
      <c r="S629" s="300"/>
      <c r="T629" s="300"/>
      <c r="U629" s="300"/>
      <c r="V629" s="300"/>
      <c r="W629" s="300"/>
      <c r="X629" s="300"/>
      <c r="Y629" s="300"/>
      <c r="Z629" s="300"/>
      <c r="AA629" s="300"/>
    </row>
    <row r="630" spans="1:27" ht="15.5" x14ac:dyDescent="0.35">
      <c r="A630" s="300"/>
      <c r="B630" s="300"/>
      <c r="C630" s="300"/>
      <c r="D630" s="300"/>
      <c r="E630" s="300"/>
      <c r="F630" s="300"/>
      <c r="G630" s="300"/>
      <c r="H630" s="300"/>
      <c r="I630" s="300"/>
      <c r="J630" s="300"/>
      <c r="K630" s="300"/>
      <c r="L630" s="300"/>
      <c r="M630" s="300"/>
      <c r="N630" s="300"/>
      <c r="O630" s="300"/>
      <c r="P630" s="300"/>
      <c r="Q630" s="300"/>
      <c r="R630" s="300"/>
      <c r="S630" s="300"/>
      <c r="T630" s="300"/>
      <c r="U630" s="300"/>
      <c r="V630" s="300"/>
      <c r="W630" s="300"/>
      <c r="X630" s="300"/>
      <c r="Y630" s="300"/>
      <c r="Z630" s="300"/>
      <c r="AA630" s="300"/>
    </row>
    <row r="631" spans="1:27" ht="15.5" x14ac:dyDescent="0.35">
      <c r="A631" s="300"/>
      <c r="B631" s="300"/>
      <c r="C631" s="300"/>
      <c r="D631" s="300"/>
      <c r="E631" s="300"/>
      <c r="F631" s="300"/>
      <c r="G631" s="300"/>
      <c r="H631" s="300"/>
      <c r="I631" s="300"/>
      <c r="J631" s="300"/>
      <c r="K631" s="300"/>
      <c r="L631" s="300"/>
      <c r="M631" s="300"/>
      <c r="N631" s="300"/>
      <c r="O631" s="300"/>
      <c r="P631" s="300"/>
      <c r="Q631" s="300"/>
      <c r="R631" s="300"/>
      <c r="S631" s="300"/>
      <c r="T631" s="300"/>
      <c r="U631" s="300"/>
      <c r="V631" s="300"/>
      <c r="W631" s="300"/>
      <c r="X631" s="300"/>
      <c r="Y631" s="300"/>
      <c r="Z631" s="300"/>
      <c r="AA631" s="300"/>
    </row>
    <row r="632" spans="1:27" ht="15.5" x14ac:dyDescent="0.35">
      <c r="A632" s="300"/>
      <c r="B632" s="300"/>
      <c r="C632" s="300"/>
      <c r="D632" s="300"/>
      <c r="E632" s="300"/>
      <c r="F632" s="300"/>
      <c r="G632" s="300"/>
      <c r="H632" s="300"/>
      <c r="I632" s="300"/>
      <c r="J632" s="300"/>
      <c r="K632" s="300"/>
      <c r="L632" s="300"/>
      <c r="M632" s="300"/>
      <c r="N632" s="300"/>
      <c r="O632" s="300"/>
      <c r="P632" s="300"/>
      <c r="Q632" s="300"/>
      <c r="R632" s="300"/>
      <c r="S632" s="300"/>
      <c r="T632" s="300"/>
      <c r="U632" s="300"/>
      <c r="V632" s="300"/>
      <c r="W632" s="300"/>
      <c r="X632" s="300"/>
      <c r="Y632" s="300"/>
      <c r="Z632" s="300"/>
      <c r="AA632" s="300"/>
    </row>
    <row r="633" spans="1:27" ht="15.5" x14ac:dyDescent="0.35">
      <c r="A633" s="300"/>
      <c r="B633" s="300"/>
      <c r="C633" s="300"/>
      <c r="D633" s="300"/>
      <c r="E633" s="300"/>
      <c r="F633" s="300"/>
      <c r="G633" s="300"/>
      <c r="H633" s="300"/>
      <c r="I633" s="300"/>
      <c r="J633" s="300"/>
      <c r="K633" s="300"/>
      <c r="L633" s="300"/>
      <c r="M633" s="300"/>
      <c r="N633" s="300"/>
      <c r="O633" s="300"/>
      <c r="P633" s="300"/>
      <c r="Q633" s="300"/>
      <c r="R633" s="300"/>
      <c r="S633" s="300"/>
      <c r="T633" s="300"/>
      <c r="U633" s="300"/>
      <c r="V633" s="300"/>
      <c r="W633" s="300"/>
      <c r="X633" s="300"/>
      <c r="Y633" s="300"/>
      <c r="Z633" s="300"/>
      <c r="AA633" s="300"/>
    </row>
    <row r="634" spans="1:27" ht="15.5" x14ac:dyDescent="0.35">
      <c r="A634" s="300"/>
      <c r="B634" s="300"/>
      <c r="C634" s="300"/>
      <c r="D634" s="300"/>
      <c r="E634" s="300"/>
      <c r="F634" s="300"/>
      <c r="G634" s="300"/>
      <c r="H634" s="300"/>
      <c r="I634" s="300"/>
      <c r="J634" s="300"/>
      <c r="K634" s="300"/>
      <c r="L634" s="300"/>
      <c r="M634" s="300"/>
      <c r="N634" s="300"/>
      <c r="O634" s="300"/>
      <c r="P634" s="300"/>
      <c r="Q634" s="300"/>
      <c r="R634" s="300"/>
      <c r="S634" s="300"/>
      <c r="T634" s="300"/>
      <c r="U634" s="300"/>
      <c r="V634" s="300"/>
      <c r="W634" s="300"/>
      <c r="X634" s="300"/>
      <c r="Y634" s="300"/>
      <c r="Z634" s="300"/>
      <c r="AA634" s="300"/>
    </row>
    <row r="635" spans="1:27" ht="15.5" x14ac:dyDescent="0.35">
      <c r="A635" s="300"/>
      <c r="B635" s="300"/>
      <c r="C635" s="300"/>
      <c r="D635" s="300"/>
      <c r="E635" s="300"/>
      <c r="F635" s="300"/>
      <c r="G635" s="300"/>
      <c r="H635" s="300"/>
      <c r="I635" s="300"/>
      <c r="J635" s="300"/>
      <c r="K635" s="300"/>
      <c r="L635" s="300"/>
      <c r="M635" s="300"/>
      <c r="N635" s="300"/>
      <c r="O635" s="300"/>
      <c r="P635" s="300"/>
      <c r="Q635" s="300"/>
      <c r="R635" s="300"/>
      <c r="S635" s="300"/>
      <c r="T635" s="300"/>
      <c r="U635" s="300"/>
      <c r="V635" s="300"/>
      <c r="W635" s="300"/>
      <c r="X635" s="300"/>
      <c r="Y635" s="300"/>
      <c r="Z635" s="300"/>
      <c r="AA635" s="300"/>
    </row>
    <row r="636" spans="1:27" ht="15.5" x14ac:dyDescent="0.35">
      <c r="A636" s="300"/>
      <c r="B636" s="300"/>
      <c r="C636" s="300"/>
      <c r="D636" s="300"/>
      <c r="E636" s="300"/>
      <c r="F636" s="300"/>
      <c r="G636" s="300"/>
      <c r="H636" s="300"/>
      <c r="I636" s="300"/>
      <c r="J636" s="300"/>
      <c r="K636" s="300"/>
      <c r="L636" s="300"/>
      <c r="M636" s="300"/>
      <c r="N636" s="300"/>
      <c r="O636" s="300"/>
      <c r="P636" s="300"/>
      <c r="Q636" s="300"/>
      <c r="R636" s="300"/>
      <c r="S636" s="300"/>
      <c r="T636" s="300"/>
      <c r="U636" s="300"/>
      <c r="V636" s="300"/>
      <c r="W636" s="300"/>
      <c r="X636" s="300"/>
      <c r="Y636" s="300"/>
      <c r="Z636" s="300"/>
      <c r="AA636" s="300"/>
    </row>
    <row r="637" spans="1:27" ht="15.5" x14ac:dyDescent="0.35">
      <c r="A637" s="300"/>
      <c r="B637" s="300"/>
      <c r="C637" s="300"/>
      <c r="D637" s="300"/>
      <c r="E637" s="300"/>
      <c r="F637" s="300"/>
      <c r="G637" s="300"/>
      <c r="H637" s="300"/>
      <c r="I637" s="300"/>
      <c r="J637" s="300"/>
      <c r="K637" s="300"/>
      <c r="L637" s="300"/>
      <c r="M637" s="300"/>
      <c r="N637" s="300"/>
      <c r="O637" s="300"/>
      <c r="P637" s="300"/>
      <c r="Q637" s="300"/>
      <c r="R637" s="300"/>
      <c r="S637" s="300"/>
      <c r="T637" s="300"/>
      <c r="U637" s="300"/>
      <c r="V637" s="300"/>
      <c r="W637" s="300"/>
      <c r="X637" s="300"/>
      <c r="Y637" s="300"/>
      <c r="Z637" s="300"/>
      <c r="AA637" s="300"/>
    </row>
    <row r="638" spans="1:27" ht="15.5" x14ac:dyDescent="0.35">
      <c r="A638" s="300"/>
      <c r="B638" s="300"/>
      <c r="C638" s="300"/>
      <c r="D638" s="300"/>
      <c r="E638" s="300"/>
      <c r="F638" s="300"/>
      <c r="G638" s="300"/>
      <c r="H638" s="300"/>
      <c r="I638" s="300"/>
      <c r="J638" s="300"/>
      <c r="K638" s="300"/>
      <c r="L638" s="300"/>
      <c r="M638" s="300"/>
      <c r="N638" s="300"/>
      <c r="O638" s="300"/>
      <c r="P638" s="300"/>
      <c r="Q638" s="300"/>
      <c r="R638" s="300"/>
      <c r="S638" s="300"/>
      <c r="T638" s="300"/>
      <c r="U638" s="300"/>
      <c r="V638" s="300"/>
      <c r="W638" s="300"/>
      <c r="X638" s="300"/>
      <c r="Y638" s="300"/>
      <c r="Z638" s="300"/>
      <c r="AA638" s="300"/>
    </row>
    <row r="639" spans="1:27" ht="15.5" x14ac:dyDescent="0.35">
      <c r="A639" s="300"/>
      <c r="B639" s="300"/>
      <c r="C639" s="300"/>
      <c r="D639" s="300"/>
      <c r="E639" s="300"/>
      <c r="F639" s="300"/>
      <c r="G639" s="300"/>
      <c r="H639" s="300"/>
      <c r="I639" s="300"/>
      <c r="J639" s="300"/>
      <c r="K639" s="300"/>
      <c r="L639" s="300"/>
      <c r="M639" s="300"/>
      <c r="N639" s="300"/>
      <c r="O639" s="300"/>
      <c r="P639" s="300"/>
      <c r="Q639" s="300"/>
      <c r="R639" s="300"/>
      <c r="S639" s="300"/>
      <c r="T639" s="300"/>
      <c r="U639" s="300"/>
      <c r="V639" s="300"/>
      <c r="W639" s="300"/>
      <c r="X639" s="300"/>
      <c r="Y639" s="300"/>
      <c r="Z639" s="300"/>
      <c r="AA639" s="300"/>
    </row>
    <row r="640" spans="1:27" ht="15.5" x14ac:dyDescent="0.35">
      <c r="A640" s="300"/>
      <c r="B640" s="300"/>
      <c r="C640" s="300"/>
      <c r="D640" s="300"/>
      <c r="E640" s="300"/>
      <c r="F640" s="300"/>
      <c r="G640" s="300"/>
      <c r="H640" s="300"/>
      <c r="I640" s="300"/>
      <c r="J640" s="300"/>
      <c r="K640" s="300"/>
      <c r="L640" s="300"/>
      <c r="M640" s="300"/>
      <c r="N640" s="300"/>
      <c r="O640" s="300"/>
      <c r="P640" s="300"/>
      <c r="Q640" s="300"/>
      <c r="R640" s="300"/>
      <c r="S640" s="300"/>
      <c r="T640" s="300"/>
      <c r="U640" s="300"/>
      <c r="V640" s="300"/>
      <c r="W640" s="300"/>
      <c r="X640" s="300"/>
      <c r="Y640" s="300"/>
      <c r="Z640" s="300"/>
      <c r="AA640" s="300"/>
    </row>
    <row r="641" spans="1:27" ht="15.5" x14ac:dyDescent="0.35">
      <c r="A641" s="300"/>
      <c r="B641" s="300"/>
      <c r="C641" s="300"/>
      <c r="D641" s="300"/>
      <c r="E641" s="300"/>
      <c r="F641" s="300"/>
      <c r="G641" s="300"/>
      <c r="H641" s="300"/>
      <c r="I641" s="300"/>
      <c r="J641" s="300"/>
      <c r="K641" s="300"/>
      <c r="L641" s="300"/>
      <c r="M641" s="300"/>
      <c r="N641" s="300"/>
      <c r="O641" s="300"/>
      <c r="P641" s="300"/>
      <c r="Q641" s="300"/>
      <c r="R641" s="300"/>
      <c r="S641" s="300"/>
      <c r="T641" s="300"/>
      <c r="U641" s="300"/>
      <c r="V641" s="300"/>
      <c r="W641" s="300"/>
      <c r="X641" s="300"/>
      <c r="Y641" s="300"/>
      <c r="Z641" s="300"/>
      <c r="AA641" s="300"/>
    </row>
    <row r="642" spans="1:27" ht="15.5" x14ac:dyDescent="0.35">
      <c r="A642" s="300"/>
      <c r="B642" s="300"/>
      <c r="C642" s="300"/>
      <c r="D642" s="300"/>
      <c r="E642" s="300"/>
      <c r="F642" s="300"/>
      <c r="G642" s="300"/>
      <c r="H642" s="300"/>
      <c r="I642" s="300"/>
      <c r="J642" s="300"/>
      <c r="K642" s="300"/>
      <c r="L642" s="300"/>
      <c r="M642" s="300"/>
      <c r="N642" s="300"/>
      <c r="O642" s="300"/>
      <c r="P642" s="300"/>
      <c r="Q642" s="300"/>
      <c r="R642" s="300"/>
      <c r="S642" s="300"/>
      <c r="T642" s="300"/>
      <c r="U642" s="300"/>
      <c r="V642" s="300"/>
      <c r="W642" s="300"/>
      <c r="X642" s="300"/>
      <c r="Y642" s="300"/>
      <c r="Z642" s="300"/>
      <c r="AA642" s="300"/>
    </row>
    <row r="643" spans="1:27" ht="15.5" x14ac:dyDescent="0.35">
      <c r="A643" s="300"/>
      <c r="B643" s="300"/>
      <c r="C643" s="300"/>
      <c r="D643" s="300"/>
      <c r="E643" s="300"/>
      <c r="F643" s="300"/>
      <c r="G643" s="300"/>
      <c r="H643" s="300"/>
      <c r="I643" s="300"/>
      <c r="J643" s="300"/>
      <c r="K643" s="300"/>
      <c r="L643" s="300"/>
      <c r="M643" s="300"/>
      <c r="N643" s="300"/>
      <c r="O643" s="300"/>
      <c r="P643" s="300"/>
      <c r="Q643" s="300"/>
      <c r="R643" s="300"/>
      <c r="S643" s="300"/>
      <c r="T643" s="300"/>
      <c r="U643" s="300"/>
      <c r="V643" s="300"/>
      <c r="W643" s="300"/>
      <c r="X643" s="300"/>
      <c r="Y643" s="300"/>
      <c r="Z643" s="300"/>
      <c r="AA643" s="300"/>
    </row>
    <row r="644" spans="1:27" ht="15.5" x14ac:dyDescent="0.35">
      <c r="A644" s="300"/>
      <c r="B644" s="300"/>
      <c r="C644" s="300"/>
      <c r="D644" s="300"/>
      <c r="E644" s="300"/>
      <c r="F644" s="300"/>
      <c r="G644" s="300"/>
      <c r="H644" s="300"/>
      <c r="I644" s="300"/>
      <c r="J644" s="300"/>
      <c r="K644" s="300"/>
      <c r="L644" s="300"/>
      <c r="M644" s="300"/>
      <c r="N644" s="300"/>
      <c r="O644" s="300"/>
      <c r="P644" s="300"/>
      <c r="Q644" s="300"/>
      <c r="R644" s="300"/>
      <c r="S644" s="300"/>
      <c r="T644" s="300"/>
      <c r="U644" s="300"/>
      <c r="V644" s="300"/>
      <c r="W644" s="300"/>
      <c r="X644" s="300"/>
      <c r="Y644" s="300"/>
      <c r="Z644" s="300"/>
      <c r="AA644" s="300"/>
    </row>
    <row r="645" spans="1:27" ht="15.5" x14ac:dyDescent="0.35">
      <c r="A645" s="300"/>
      <c r="B645" s="300"/>
      <c r="C645" s="300"/>
      <c r="D645" s="300"/>
      <c r="E645" s="300"/>
      <c r="F645" s="300"/>
      <c r="G645" s="300"/>
      <c r="H645" s="300"/>
      <c r="I645" s="300"/>
      <c r="J645" s="300"/>
      <c r="K645" s="300"/>
      <c r="L645" s="300"/>
      <c r="M645" s="300"/>
      <c r="N645" s="300"/>
      <c r="O645" s="300"/>
      <c r="P645" s="300"/>
      <c r="Q645" s="300"/>
      <c r="R645" s="300"/>
      <c r="S645" s="300"/>
      <c r="T645" s="300"/>
      <c r="U645" s="300"/>
      <c r="V645" s="300"/>
      <c r="W645" s="300"/>
      <c r="X645" s="300"/>
      <c r="Y645" s="300"/>
      <c r="Z645" s="300"/>
      <c r="AA645" s="300"/>
    </row>
    <row r="646" spans="1:27" ht="15.5" x14ac:dyDescent="0.35">
      <c r="A646" s="300"/>
      <c r="B646" s="300"/>
      <c r="C646" s="300"/>
      <c r="D646" s="300"/>
      <c r="E646" s="300"/>
      <c r="F646" s="300"/>
      <c r="G646" s="300"/>
      <c r="H646" s="300"/>
      <c r="I646" s="300"/>
      <c r="J646" s="300"/>
      <c r="K646" s="300"/>
      <c r="L646" s="300"/>
      <c r="M646" s="300"/>
      <c r="N646" s="300"/>
      <c r="O646" s="300"/>
      <c r="P646" s="300"/>
      <c r="Q646" s="300"/>
      <c r="R646" s="300"/>
      <c r="S646" s="300"/>
      <c r="T646" s="300"/>
      <c r="U646" s="300"/>
      <c r="V646" s="300"/>
      <c r="W646" s="300"/>
      <c r="X646" s="300"/>
      <c r="Y646" s="300"/>
      <c r="Z646" s="300"/>
      <c r="AA646" s="300"/>
    </row>
    <row r="647" spans="1:27" ht="15.5" x14ac:dyDescent="0.35">
      <c r="A647" s="300"/>
      <c r="B647" s="300"/>
      <c r="C647" s="300"/>
      <c r="D647" s="300"/>
      <c r="E647" s="300"/>
      <c r="F647" s="300"/>
      <c r="G647" s="300"/>
      <c r="H647" s="300"/>
      <c r="I647" s="300"/>
      <c r="J647" s="300"/>
      <c r="K647" s="300"/>
      <c r="L647" s="300"/>
      <c r="M647" s="300"/>
      <c r="N647" s="300"/>
      <c r="O647" s="300"/>
      <c r="P647" s="300"/>
      <c r="Q647" s="300"/>
      <c r="R647" s="300"/>
      <c r="S647" s="300"/>
      <c r="T647" s="300"/>
      <c r="U647" s="300"/>
      <c r="V647" s="300"/>
      <c r="W647" s="300"/>
      <c r="X647" s="300"/>
      <c r="Y647" s="300"/>
      <c r="Z647" s="300"/>
      <c r="AA647" s="300"/>
    </row>
    <row r="648" spans="1:27" ht="15.5" x14ac:dyDescent="0.35">
      <c r="A648" s="300"/>
      <c r="B648" s="300"/>
      <c r="C648" s="300"/>
      <c r="D648" s="300"/>
      <c r="E648" s="300"/>
      <c r="F648" s="300"/>
      <c r="G648" s="300"/>
      <c r="H648" s="300"/>
      <c r="I648" s="300"/>
      <c r="J648" s="300"/>
      <c r="K648" s="300"/>
      <c r="L648" s="300"/>
      <c r="M648" s="300"/>
      <c r="N648" s="300"/>
      <c r="O648" s="300"/>
      <c r="P648" s="300"/>
      <c r="Q648" s="300"/>
      <c r="R648" s="300"/>
      <c r="S648" s="300"/>
      <c r="T648" s="300"/>
      <c r="U648" s="300"/>
      <c r="V648" s="300"/>
      <c r="W648" s="300"/>
      <c r="X648" s="300"/>
      <c r="Y648" s="300"/>
      <c r="Z648" s="300"/>
      <c r="AA648" s="300"/>
    </row>
    <row r="649" spans="1:27" ht="15.5" x14ac:dyDescent="0.35">
      <c r="A649" s="300"/>
      <c r="B649" s="300"/>
      <c r="C649" s="300"/>
      <c r="D649" s="300"/>
      <c r="E649" s="300"/>
      <c r="F649" s="300"/>
      <c r="G649" s="300"/>
      <c r="H649" s="300"/>
      <c r="I649" s="300"/>
      <c r="J649" s="300"/>
      <c r="K649" s="300"/>
      <c r="L649" s="300"/>
      <c r="M649" s="300"/>
      <c r="N649" s="300"/>
      <c r="O649" s="300"/>
      <c r="P649" s="300"/>
      <c r="Q649" s="300"/>
      <c r="R649" s="300"/>
      <c r="S649" s="300"/>
      <c r="T649" s="300"/>
      <c r="U649" s="300"/>
      <c r="V649" s="300"/>
      <c r="W649" s="300"/>
      <c r="X649" s="300"/>
      <c r="Y649" s="300"/>
      <c r="Z649" s="300"/>
      <c r="AA649" s="300"/>
    </row>
    <row r="650" spans="1:27" ht="15.5" x14ac:dyDescent="0.35">
      <c r="A650" s="300"/>
      <c r="B650" s="300"/>
      <c r="C650" s="300"/>
      <c r="D650" s="300"/>
      <c r="E650" s="300"/>
      <c r="F650" s="300"/>
      <c r="G650" s="300"/>
      <c r="H650" s="300"/>
      <c r="I650" s="300"/>
      <c r="J650" s="300"/>
      <c r="K650" s="300"/>
      <c r="L650" s="300"/>
      <c r="M650" s="300"/>
      <c r="N650" s="300"/>
      <c r="O650" s="300"/>
      <c r="P650" s="300"/>
      <c r="Q650" s="300"/>
      <c r="R650" s="300"/>
      <c r="S650" s="300"/>
      <c r="T650" s="300"/>
      <c r="U650" s="300"/>
      <c r="V650" s="300"/>
      <c r="W650" s="300"/>
      <c r="X650" s="300"/>
      <c r="Y650" s="300"/>
      <c r="Z650" s="300"/>
      <c r="AA650" s="300"/>
    </row>
    <row r="651" spans="1:27" ht="15.5" x14ac:dyDescent="0.35">
      <c r="A651" s="300"/>
      <c r="B651" s="300"/>
      <c r="C651" s="300"/>
      <c r="D651" s="300"/>
      <c r="E651" s="300"/>
      <c r="F651" s="300"/>
      <c r="G651" s="300"/>
      <c r="H651" s="300"/>
      <c r="I651" s="300"/>
      <c r="J651" s="300"/>
      <c r="K651" s="300"/>
      <c r="L651" s="300"/>
      <c r="M651" s="300"/>
      <c r="N651" s="300"/>
      <c r="O651" s="300"/>
      <c r="P651" s="300"/>
      <c r="Q651" s="300"/>
      <c r="R651" s="300"/>
      <c r="S651" s="300"/>
      <c r="T651" s="300"/>
      <c r="U651" s="300"/>
      <c r="V651" s="300"/>
      <c r="W651" s="300"/>
      <c r="X651" s="300"/>
      <c r="Y651" s="300"/>
      <c r="Z651" s="300"/>
      <c r="AA651" s="300"/>
    </row>
    <row r="652" spans="1:27" ht="15.5" x14ac:dyDescent="0.35">
      <c r="A652" s="300"/>
      <c r="B652" s="300"/>
      <c r="C652" s="300"/>
      <c r="D652" s="300"/>
      <c r="E652" s="300"/>
      <c r="F652" s="300"/>
      <c r="G652" s="300"/>
      <c r="H652" s="300"/>
      <c r="I652" s="300"/>
      <c r="J652" s="300"/>
      <c r="K652" s="300"/>
      <c r="L652" s="300"/>
      <c r="M652" s="300"/>
      <c r="N652" s="300"/>
      <c r="O652" s="300"/>
      <c r="P652" s="300"/>
      <c r="Q652" s="300"/>
      <c r="R652" s="300"/>
      <c r="S652" s="300"/>
      <c r="T652" s="300"/>
      <c r="U652" s="300"/>
      <c r="V652" s="300"/>
      <c r="W652" s="300"/>
      <c r="X652" s="300"/>
      <c r="Y652" s="300"/>
      <c r="Z652" s="300"/>
      <c r="AA652" s="300"/>
    </row>
    <row r="653" spans="1:27" ht="15.5" x14ac:dyDescent="0.35">
      <c r="A653" s="300"/>
      <c r="B653" s="300"/>
      <c r="C653" s="300"/>
      <c r="D653" s="300"/>
      <c r="E653" s="300"/>
      <c r="F653" s="300"/>
      <c r="G653" s="300"/>
      <c r="H653" s="300"/>
      <c r="I653" s="300"/>
      <c r="J653" s="300"/>
      <c r="K653" s="300"/>
      <c r="L653" s="300"/>
      <c r="M653" s="300"/>
      <c r="N653" s="300"/>
      <c r="O653" s="300"/>
      <c r="P653" s="300"/>
      <c r="Q653" s="300"/>
      <c r="R653" s="300"/>
      <c r="S653" s="300"/>
      <c r="T653" s="300"/>
      <c r="U653" s="300"/>
      <c r="V653" s="300"/>
      <c r="W653" s="300"/>
      <c r="X653" s="300"/>
      <c r="Y653" s="300"/>
      <c r="Z653" s="300"/>
      <c r="AA653" s="300"/>
    </row>
    <row r="654" spans="1:27" ht="15.5" x14ac:dyDescent="0.35">
      <c r="A654" s="300"/>
      <c r="B654" s="300"/>
      <c r="C654" s="300"/>
      <c r="D654" s="300"/>
      <c r="E654" s="300"/>
      <c r="F654" s="300"/>
      <c r="G654" s="300"/>
      <c r="H654" s="300"/>
      <c r="I654" s="300"/>
      <c r="J654" s="300"/>
      <c r="K654" s="300"/>
      <c r="L654" s="300"/>
      <c r="M654" s="300"/>
      <c r="N654" s="300"/>
      <c r="O654" s="300"/>
      <c r="P654" s="300"/>
      <c r="Q654" s="300"/>
      <c r="R654" s="300"/>
      <c r="S654" s="300"/>
      <c r="T654" s="300"/>
      <c r="U654" s="300"/>
      <c r="V654" s="300"/>
      <c r="W654" s="300"/>
      <c r="X654" s="300"/>
      <c r="Y654" s="300"/>
      <c r="Z654" s="300"/>
      <c r="AA654" s="300"/>
    </row>
    <row r="655" spans="1:27" ht="15.5" x14ac:dyDescent="0.35">
      <c r="A655" s="300"/>
      <c r="B655" s="300"/>
      <c r="C655" s="300"/>
      <c r="D655" s="300"/>
      <c r="E655" s="300"/>
      <c r="F655" s="300"/>
      <c r="G655" s="300"/>
      <c r="H655" s="300"/>
      <c r="I655" s="300"/>
      <c r="J655" s="300"/>
      <c r="K655" s="300"/>
      <c r="L655" s="300"/>
      <c r="M655" s="300"/>
      <c r="N655" s="300"/>
      <c r="O655" s="300"/>
      <c r="P655" s="300"/>
      <c r="Q655" s="300"/>
      <c r="R655" s="300"/>
      <c r="S655" s="300"/>
      <c r="T655" s="300"/>
      <c r="U655" s="300"/>
      <c r="V655" s="300"/>
      <c r="W655" s="300"/>
      <c r="X655" s="300"/>
      <c r="Y655" s="300"/>
      <c r="Z655" s="300"/>
      <c r="AA655" s="300"/>
    </row>
    <row r="656" spans="1:27" ht="15.5" x14ac:dyDescent="0.35">
      <c r="A656" s="300"/>
      <c r="B656" s="300"/>
      <c r="C656" s="300"/>
      <c r="D656" s="300"/>
      <c r="E656" s="300"/>
      <c r="F656" s="300"/>
      <c r="G656" s="300"/>
      <c r="H656" s="300"/>
      <c r="I656" s="300"/>
      <c r="J656" s="300"/>
      <c r="K656" s="300"/>
      <c r="L656" s="300"/>
      <c r="M656" s="300"/>
      <c r="N656" s="300"/>
      <c r="O656" s="300"/>
      <c r="P656" s="300"/>
      <c r="Q656" s="300"/>
      <c r="R656" s="300"/>
      <c r="S656" s="300"/>
      <c r="T656" s="300"/>
      <c r="U656" s="300"/>
      <c r="V656" s="300"/>
      <c r="W656" s="300"/>
      <c r="X656" s="300"/>
      <c r="Y656" s="300"/>
      <c r="Z656" s="300"/>
      <c r="AA656" s="300"/>
    </row>
    <row r="657" spans="1:27" ht="15.5" x14ac:dyDescent="0.35">
      <c r="A657" s="300"/>
      <c r="B657" s="300"/>
      <c r="C657" s="300"/>
      <c r="D657" s="300"/>
      <c r="E657" s="300"/>
      <c r="F657" s="300"/>
      <c r="G657" s="300"/>
      <c r="H657" s="300"/>
      <c r="I657" s="300"/>
      <c r="J657" s="300"/>
      <c r="K657" s="300"/>
      <c r="L657" s="300"/>
      <c r="M657" s="300"/>
      <c r="N657" s="300"/>
      <c r="O657" s="300"/>
      <c r="P657" s="300"/>
      <c r="Q657" s="300"/>
      <c r="R657" s="300"/>
      <c r="S657" s="300"/>
      <c r="T657" s="300"/>
      <c r="U657" s="300"/>
      <c r="V657" s="300"/>
      <c r="W657" s="300"/>
      <c r="X657" s="300"/>
      <c r="Y657" s="300"/>
      <c r="Z657" s="300"/>
      <c r="AA657" s="300"/>
    </row>
    <row r="658" spans="1:27" ht="15.5" x14ac:dyDescent="0.35">
      <c r="A658" s="300"/>
      <c r="B658" s="300"/>
      <c r="C658" s="300"/>
      <c r="D658" s="300"/>
      <c r="E658" s="300"/>
      <c r="F658" s="300"/>
      <c r="G658" s="300"/>
      <c r="H658" s="300"/>
      <c r="I658" s="300"/>
      <c r="J658" s="300"/>
      <c r="K658" s="300"/>
      <c r="L658" s="300"/>
      <c r="M658" s="300"/>
      <c r="N658" s="300"/>
      <c r="O658" s="300"/>
      <c r="P658" s="300"/>
      <c r="Q658" s="300"/>
      <c r="R658" s="300"/>
      <c r="S658" s="300"/>
      <c r="T658" s="300"/>
      <c r="U658" s="300"/>
      <c r="V658" s="300"/>
      <c r="W658" s="300"/>
      <c r="X658" s="300"/>
      <c r="Y658" s="300"/>
      <c r="Z658" s="300"/>
      <c r="AA658" s="300"/>
    </row>
    <row r="659" spans="1:27" ht="15.5" x14ac:dyDescent="0.35">
      <c r="A659" s="300"/>
      <c r="B659" s="300"/>
      <c r="C659" s="300"/>
      <c r="D659" s="300"/>
      <c r="E659" s="300"/>
      <c r="F659" s="300"/>
      <c r="G659" s="300"/>
      <c r="H659" s="300"/>
      <c r="I659" s="300"/>
      <c r="J659" s="300"/>
      <c r="K659" s="300"/>
      <c r="L659" s="300"/>
      <c r="M659" s="300"/>
      <c r="N659" s="300"/>
      <c r="O659" s="300"/>
      <c r="P659" s="300"/>
      <c r="Q659" s="300"/>
      <c r="R659" s="300"/>
      <c r="S659" s="300"/>
      <c r="T659" s="300"/>
      <c r="U659" s="300"/>
      <c r="V659" s="300"/>
      <c r="W659" s="300"/>
      <c r="X659" s="300"/>
      <c r="Y659" s="300"/>
      <c r="Z659" s="300"/>
      <c r="AA659" s="300"/>
    </row>
    <row r="660" spans="1:27" ht="15.5" x14ac:dyDescent="0.35">
      <c r="A660" s="300"/>
      <c r="B660" s="300"/>
      <c r="C660" s="300"/>
      <c r="D660" s="300"/>
      <c r="E660" s="300"/>
      <c r="F660" s="300"/>
      <c r="G660" s="300"/>
      <c r="H660" s="300"/>
      <c r="I660" s="300"/>
      <c r="J660" s="300"/>
      <c r="K660" s="300"/>
      <c r="L660" s="300"/>
      <c r="M660" s="300"/>
      <c r="N660" s="300"/>
      <c r="O660" s="300"/>
      <c r="P660" s="300"/>
      <c r="Q660" s="300"/>
      <c r="R660" s="300"/>
      <c r="S660" s="300"/>
      <c r="T660" s="300"/>
      <c r="U660" s="300"/>
      <c r="V660" s="300"/>
      <c r="W660" s="300"/>
      <c r="X660" s="300"/>
      <c r="Y660" s="300"/>
      <c r="Z660" s="300"/>
      <c r="AA660" s="300"/>
    </row>
    <row r="661" spans="1:27" ht="15.5" x14ac:dyDescent="0.35">
      <c r="A661" s="300"/>
      <c r="B661" s="300"/>
      <c r="C661" s="300"/>
      <c r="D661" s="300"/>
      <c r="E661" s="300"/>
      <c r="F661" s="300"/>
      <c r="G661" s="300"/>
      <c r="H661" s="300"/>
      <c r="I661" s="300"/>
      <c r="J661" s="300"/>
      <c r="K661" s="300"/>
      <c r="L661" s="300"/>
      <c r="M661" s="300"/>
      <c r="N661" s="300"/>
      <c r="O661" s="300"/>
      <c r="P661" s="300"/>
      <c r="Q661" s="300"/>
      <c r="R661" s="300"/>
      <c r="S661" s="300"/>
      <c r="T661" s="300"/>
      <c r="U661" s="300"/>
      <c r="V661" s="300"/>
      <c r="W661" s="300"/>
      <c r="X661" s="300"/>
      <c r="Y661" s="300"/>
      <c r="Z661" s="300"/>
      <c r="AA661" s="300"/>
    </row>
    <row r="662" spans="1:27" ht="15.5" x14ac:dyDescent="0.35">
      <c r="A662" s="300"/>
      <c r="B662" s="300"/>
      <c r="C662" s="300"/>
      <c r="D662" s="300"/>
      <c r="E662" s="300"/>
      <c r="F662" s="300"/>
      <c r="G662" s="300"/>
      <c r="H662" s="300"/>
      <c r="I662" s="300"/>
      <c r="J662" s="300"/>
      <c r="K662" s="300"/>
      <c r="L662" s="300"/>
      <c r="M662" s="300"/>
      <c r="N662" s="300"/>
      <c r="O662" s="300"/>
      <c r="P662" s="300"/>
      <c r="Q662" s="300"/>
      <c r="R662" s="300"/>
      <c r="S662" s="300"/>
      <c r="T662" s="300"/>
      <c r="U662" s="300"/>
      <c r="V662" s="300"/>
      <c r="W662" s="300"/>
      <c r="X662" s="300"/>
      <c r="Y662" s="300"/>
      <c r="Z662" s="300"/>
      <c r="AA662" s="300"/>
    </row>
    <row r="663" spans="1:27" ht="15.5" x14ac:dyDescent="0.35">
      <c r="A663" s="300"/>
      <c r="B663" s="300"/>
      <c r="C663" s="300"/>
      <c r="D663" s="300"/>
      <c r="E663" s="300"/>
      <c r="F663" s="300"/>
      <c r="G663" s="300"/>
      <c r="H663" s="300"/>
      <c r="I663" s="300"/>
      <c r="J663" s="300"/>
      <c r="K663" s="300"/>
      <c r="L663" s="300"/>
      <c r="M663" s="300"/>
      <c r="N663" s="300"/>
      <c r="O663" s="300"/>
      <c r="P663" s="300"/>
      <c r="Q663" s="300"/>
      <c r="R663" s="300"/>
      <c r="S663" s="300"/>
      <c r="T663" s="300"/>
      <c r="U663" s="300"/>
      <c r="V663" s="300"/>
      <c r="W663" s="300"/>
      <c r="X663" s="300"/>
      <c r="Y663" s="300"/>
      <c r="Z663" s="300"/>
      <c r="AA663" s="300"/>
    </row>
    <row r="664" spans="1:27" ht="15.5" x14ac:dyDescent="0.35">
      <c r="A664" s="300"/>
      <c r="B664" s="300"/>
      <c r="C664" s="300"/>
      <c r="D664" s="300"/>
      <c r="E664" s="300"/>
      <c r="F664" s="300"/>
      <c r="G664" s="300"/>
      <c r="H664" s="300"/>
      <c r="I664" s="300"/>
      <c r="J664" s="300"/>
      <c r="K664" s="300"/>
      <c r="L664" s="300"/>
      <c r="M664" s="300"/>
      <c r="N664" s="300"/>
      <c r="O664" s="300"/>
      <c r="P664" s="300"/>
      <c r="Q664" s="300"/>
      <c r="R664" s="300"/>
      <c r="S664" s="300"/>
      <c r="T664" s="300"/>
      <c r="U664" s="300"/>
      <c r="V664" s="300"/>
      <c r="W664" s="300"/>
      <c r="X664" s="300"/>
      <c r="Y664" s="300"/>
      <c r="Z664" s="300"/>
      <c r="AA664" s="300"/>
    </row>
    <row r="665" spans="1:27" ht="15.5" x14ac:dyDescent="0.35">
      <c r="A665" s="300"/>
      <c r="B665" s="300"/>
      <c r="C665" s="300"/>
      <c r="D665" s="300"/>
      <c r="E665" s="300"/>
      <c r="F665" s="300"/>
      <c r="G665" s="300"/>
      <c r="H665" s="300"/>
      <c r="I665" s="300"/>
      <c r="J665" s="300"/>
      <c r="K665" s="300"/>
      <c r="L665" s="300"/>
      <c r="M665" s="300"/>
      <c r="N665" s="300"/>
      <c r="O665" s="300"/>
      <c r="P665" s="300"/>
      <c r="Q665" s="300"/>
      <c r="R665" s="300"/>
      <c r="S665" s="300"/>
      <c r="T665" s="300"/>
      <c r="U665" s="300"/>
      <c r="V665" s="300"/>
      <c r="W665" s="300"/>
      <c r="X665" s="300"/>
      <c r="Y665" s="300"/>
      <c r="Z665" s="300"/>
      <c r="AA665" s="300"/>
    </row>
    <row r="666" spans="1:27" ht="15.5" x14ac:dyDescent="0.35">
      <c r="A666" s="300"/>
      <c r="B666" s="300"/>
      <c r="C666" s="300"/>
      <c r="D666" s="300"/>
      <c r="E666" s="300"/>
      <c r="F666" s="300"/>
      <c r="G666" s="300"/>
      <c r="H666" s="300"/>
      <c r="I666" s="300"/>
      <c r="J666" s="300"/>
      <c r="K666" s="300"/>
      <c r="L666" s="300"/>
      <c r="M666" s="300"/>
      <c r="N666" s="300"/>
      <c r="O666" s="300"/>
      <c r="P666" s="300"/>
      <c r="Q666" s="300"/>
      <c r="R666" s="300"/>
      <c r="S666" s="300"/>
      <c r="T666" s="300"/>
      <c r="U666" s="300"/>
      <c r="V666" s="300"/>
      <c r="W666" s="300"/>
      <c r="X666" s="300"/>
      <c r="Y666" s="300"/>
      <c r="Z666" s="300"/>
      <c r="AA666" s="300"/>
    </row>
    <row r="667" spans="1:27" ht="15.5" x14ac:dyDescent="0.35">
      <c r="A667" s="300"/>
      <c r="B667" s="300"/>
      <c r="C667" s="300"/>
      <c r="D667" s="300"/>
      <c r="E667" s="300"/>
      <c r="F667" s="300"/>
      <c r="G667" s="300"/>
      <c r="H667" s="300"/>
      <c r="I667" s="300"/>
      <c r="J667" s="300"/>
      <c r="K667" s="300"/>
      <c r="L667" s="300"/>
      <c r="M667" s="300"/>
      <c r="N667" s="300"/>
      <c r="O667" s="300"/>
      <c r="P667" s="300"/>
      <c r="Q667" s="300"/>
      <c r="R667" s="300"/>
      <c r="S667" s="300"/>
      <c r="T667" s="300"/>
      <c r="U667" s="300"/>
      <c r="V667" s="300"/>
      <c r="W667" s="300"/>
      <c r="X667" s="300"/>
      <c r="Y667" s="300"/>
      <c r="Z667" s="300"/>
      <c r="AA667" s="300"/>
    </row>
    <row r="668" spans="1:27" ht="15.5" x14ac:dyDescent="0.35">
      <c r="A668" s="300"/>
      <c r="B668" s="300"/>
      <c r="C668" s="300"/>
      <c r="D668" s="300"/>
      <c r="E668" s="300"/>
      <c r="F668" s="300"/>
      <c r="G668" s="300"/>
      <c r="H668" s="300"/>
      <c r="I668" s="300"/>
      <c r="J668" s="300"/>
      <c r="K668" s="300"/>
      <c r="L668" s="300"/>
      <c r="M668" s="300"/>
      <c r="N668" s="300"/>
      <c r="O668" s="300"/>
      <c r="P668" s="300"/>
      <c r="Q668" s="300"/>
      <c r="R668" s="300"/>
      <c r="S668" s="300"/>
      <c r="T668" s="300"/>
      <c r="U668" s="300"/>
      <c r="V668" s="300"/>
      <c r="W668" s="300"/>
      <c r="X668" s="300"/>
      <c r="Y668" s="300"/>
      <c r="Z668" s="300"/>
      <c r="AA668" s="300"/>
    </row>
    <row r="669" spans="1:27" ht="15.5" x14ac:dyDescent="0.35">
      <c r="A669" s="300"/>
      <c r="B669" s="300"/>
      <c r="C669" s="300"/>
      <c r="D669" s="300"/>
      <c r="E669" s="300"/>
      <c r="F669" s="300"/>
      <c r="G669" s="300"/>
      <c r="H669" s="300"/>
      <c r="I669" s="300"/>
      <c r="J669" s="300"/>
      <c r="K669" s="300"/>
      <c r="L669" s="300"/>
      <c r="M669" s="300"/>
      <c r="N669" s="300"/>
      <c r="O669" s="300"/>
      <c r="P669" s="300"/>
      <c r="Q669" s="300"/>
      <c r="R669" s="300"/>
      <c r="S669" s="300"/>
      <c r="T669" s="300"/>
      <c r="U669" s="300"/>
      <c r="V669" s="300"/>
      <c r="W669" s="300"/>
      <c r="X669" s="300"/>
      <c r="Y669" s="300"/>
      <c r="Z669" s="300"/>
      <c r="AA669" s="300"/>
    </row>
    <row r="670" spans="1:27" ht="15.5" x14ac:dyDescent="0.35">
      <c r="A670" s="300"/>
      <c r="B670" s="300"/>
      <c r="C670" s="300"/>
      <c r="D670" s="300"/>
      <c r="E670" s="300"/>
      <c r="F670" s="300"/>
      <c r="G670" s="300"/>
      <c r="H670" s="300"/>
      <c r="I670" s="300"/>
      <c r="J670" s="300"/>
      <c r="K670" s="300"/>
      <c r="L670" s="300"/>
      <c r="M670" s="300"/>
      <c r="N670" s="300"/>
      <c r="O670" s="300"/>
      <c r="P670" s="300"/>
      <c r="Q670" s="300"/>
      <c r="R670" s="300"/>
      <c r="S670" s="300"/>
      <c r="T670" s="300"/>
      <c r="U670" s="300"/>
      <c r="V670" s="300"/>
      <c r="W670" s="300"/>
      <c r="X670" s="300"/>
      <c r="Y670" s="300"/>
      <c r="Z670" s="300"/>
      <c r="AA670" s="300"/>
    </row>
    <row r="671" spans="1:27" ht="15.5" x14ac:dyDescent="0.35">
      <c r="A671" s="300"/>
      <c r="B671" s="300"/>
      <c r="C671" s="300"/>
      <c r="D671" s="300"/>
      <c r="E671" s="300"/>
      <c r="F671" s="300"/>
      <c r="G671" s="300"/>
      <c r="H671" s="300"/>
      <c r="I671" s="300"/>
      <c r="J671" s="300"/>
      <c r="K671" s="300"/>
      <c r="L671" s="300"/>
      <c r="M671" s="300"/>
      <c r="N671" s="300"/>
      <c r="O671" s="300"/>
      <c r="P671" s="300"/>
      <c r="Q671" s="300"/>
      <c r="R671" s="300"/>
      <c r="S671" s="300"/>
      <c r="T671" s="300"/>
      <c r="U671" s="300"/>
      <c r="V671" s="300"/>
      <c r="W671" s="300"/>
      <c r="X671" s="300"/>
      <c r="Y671" s="300"/>
      <c r="Z671" s="300"/>
      <c r="AA671" s="300"/>
    </row>
    <row r="672" spans="1:27" ht="15.5" x14ac:dyDescent="0.35">
      <c r="A672" s="300"/>
      <c r="B672" s="300"/>
      <c r="C672" s="300"/>
      <c r="D672" s="300"/>
      <c r="E672" s="300"/>
      <c r="F672" s="300"/>
      <c r="G672" s="300"/>
      <c r="H672" s="300"/>
      <c r="I672" s="300"/>
      <c r="J672" s="300"/>
      <c r="K672" s="300"/>
      <c r="L672" s="300"/>
      <c r="M672" s="300"/>
      <c r="N672" s="300"/>
      <c r="O672" s="300"/>
      <c r="P672" s="300"/>
      <c r="Q672" s="300"/>
      <c r="R672" s="300"/>
      <c r="S672" s="300"/>
      <c r="T672" s="300"/>
      <c r="U672" s="300"/>
      <c r="V672" s="300"/>
      <c r="W672" s="300"/>
      <c r="X672" s="300"/>
      <c r="Y672" s="300"/>
      <c r="Z672" s="300"/>
      <c r="AA672" s="300"/>
    </row>
    <row r="673" spans="1:27" ht="15.5" x14ac:dyDescent="0.35">
      <c r="A673" s="300"/>
      <c r="B673" s="300"/>
      <c r="C673" s="300"/>
      <c r="D673" s="300"/>
      <c r="E673" s="300"/>
      <c r="F673" s="300"/>
      <c r="G673" s="300"/>
      <c r="H673" s="300"/>
      <c r="I673" s="300"/>
      <c r="J673" s="300"/>
      <c r="K673" s="300"/>
      <c r="L673" s="300"/>
      <c r="M673" s="300"/>
      <c r="N673" s="300"/>
      <c r="O673" s="300"/>
      <c r="P673" s="300"/>
      <c r="Q673" s="300"/>
      <c r="R673" s="300"/>
      <c r="S673" s="300"/>
      <c r="T673" s="300"/>
      <c r="U673" s="300"/>
      <c r="V673" s="300"/>
      <c r="W673" s="300"/>
      <c r="X673" s="300"/>
      <c r="Y673" s="300"/>
      <c r="Z673" s="300"/>
      <c r="AA673" s="300"/>
    </row>
    <row r="674" spans="1:27" ht="15.5" x14ac:dyDescent="0.35">
      <c r="A674" s="300"/>
      <c r="B674" s="300"/>
      <c r="C674" s="300"/>
      <c r="D674" s="300"/>
      <c r="E674" s="300"/>
      <c r="F674" s="300"/>
      <c r="G674" s="300"/>
      <c r="H674" s="300"/>
      <c r="I674" s="300"/>
      <c r="J674" s="300"/>
      <c r="K674" s="300"/>
      <c r="L674" s="300"/>
      <c r="M674" s="300"/>
      <c r="N674" s="300"/>
      <c r="O674" s="300"/>
      <c r="P674" s="300"/>
      <c r="Q674" s="300"/>
      <c r="R674" s="300"/>
      <c r="S674" s="300"/>
      <c r="T674" s="300"/>
      <c r="U674" s="300"/>
      <c r="V674" s="300"/>
      <c r="W674" s="300"/>
      <c r="X674" s="300"/>
      <c r="Y674" s="300"/>
      <c r="Z674" s="300"/>
      <c r="AA674" s="300"/>
    </row>
    <row r="675" spans="1:27" ht="15.5" x14ac:dyDescent="0.35">
      <c r="A675" s="300"/>
      <c r="B675" s="300"/>
      <c r="C675" s="300"/>
      <c r="D675" s="300"/>
      <c r="E675" s="300"/>
      <c r="F675" s="300"/>
      <c r="G675" s="300"/>
      <c r="H675" s="300"/>
      <c r="I675" s="300"/>
      <c r="J675" s="300"/>
      <c r="K675" s="300"/>
      <c r="L675" s="300"/>
      <c r="M675" s="300"/>
      <c r="N675" s="300"/>
      <c r="O675" s="300"/>
      <c r="P675" s="300"/>
      <c r="Q675" s="300"/>
      <c r="R675" s="300"/>
      <c r="S675" s="300"/>
      <c r="T675" s="300"/>
      <c r="U675" s="300"/>
      <c r="V675" s="300"/>
      <c r="W675" s="300"/>
      <c r="X675" s="300"/>
      <c r="Y675" s="300"/>
      <c r="Z675" s="300"/>
      <c r="AA675" s="300"/>
    </row>
    <row r="676" spans="1:27" ht="15.5" x14ac:dyDescent="0.35">
      <c r="A676" s="300"/>
      <c r="B676" s="300"/>
      <c r="C676" s="300"/>
      <c r="D676" s="300"/>
      <c r="E676" s="300"/>
      <c r="F676" s="300"/>
      <c r="G676" s="300"/>
      <c r="H676" s="300"/>
      <c r="I676" s="300"/>
      <c r="J676" s="300"/>
      <c r="K676" s="300"/>
      <c r="L676" s="300"/>
      <c r="M676" s="300"/>
      <c r="N676" s="300"/>
      <c r="O676" s="300"/>
      <c r="P676" s="300"/>
      <c r="Q676" s="300"/>
      <c r="R676" s="300"/>
      <c r="S676" s="300"/>
      <c r="T676" s="300"/>
      <c r="U676" s="300"/>
      <c r="V676" s="300"/>
      <c r="W676" s="300"/>
      <c r="X676" s="300"/>
      <c r="Y676" s="300"/>
      <c r="Z676" s="300"/>
      <c r="AA676" s="300"/>
    </row>
    <row r="677" spans="1:27" ht="15.5" x14ac:dyDescent="0.35">
      <c r="A677" s="300"/>
      <c r="B677" s="300"/>
      <c r="C677" s="300"/>
      <c r="D677" s="300"/>
      <c r="E677" s="300"/>
      <c r="F677" s="300"/>
      <c r="G677" s="300"/>
      <c r="H677" s="300"/>
      <c r="I677" s="300"/>
      <c r="J677" s="300"/>
      <c r="K677" s="300"/>
      <c r="L677" s="300"/>
      <c r="M677" s="300"/>
      <c r="N677" s="300"/>
      <c r="O677" s="300"/>
      <c r="P677" s="300"/>
      <c r="Q677" s="300"/>
      <c r="R677" s="300"/>
      <c r="S677" s="300"/>
      <c r="T677" s="300"/>
      <c r="U677" s="300"/>
      <c r="V677" s="300"/>
      <c r="W677" s="300"/>
      <c r="X677" s="300"/>
      <c r="Y677" s="300"/>
      <c r="Z677" s="300"/>
      <c r="AA677" s="300"/>
    </row>
    <row r="678" spans="1:27" ht="15.5" x14ac:dyDescent="0.35">
      <c r="A678" s="300"/>
      <c r="B678" s="300"/>
      <c r="C678" s="300"/>
      <c r="D678" s="300"/>
      <c r="E678" s="300"/>
      <c r="F678" s="300"/>
      <c r="G678" s="300"/>
      <c r="H678" s="300"/>
      <c r="I678" s="300"/>
      <c r="J678" s="300"/>
      <c r="K678" s="300"/>
      <c r="L678" s="300"/>
      <c r="M678" s="300"/>
      <c r="N678" s="300"/>
      <c r="O678" s="300"/>
      <c r="P678" s="300"/>
      <c r="Q678" s="300"/>
      <c r="R678" s="300"/>
      <c r="S678" s="300"/>
      <c r="T678" s="300"/>
      <c r="U678" s="300"/>
      <c r="V678" s="300"/>
      <c r="W678" s="300"/>
      <c r="X678" s="300"/>
      <c r="Y678" s="300"/>
      <c r="Z678" s="300"/>
      <c r="AA678" s="300"/>
    </row>
    <row r="679" spans="1:27" ht="15.5" x14ac:dyDescent="0.35">
      <c r="A679" s="300"/>
      <c r="B679" s="300"/>
      <c r="C679" s="300"/>
      <c r="D679" s="300"/>
      <c r="E679" s="300"/>
      <c r="F679" s="300"/>
      <c r="G679" s="300"/>
      <c r="H679" s="300"/>
      <c r="I679" s="300"/>
      <c r="J679" s="300"/>
      <c r="K679" s="300"/>
      <c r="L679" s="300"/>
      <c r="M679" s="300"/>
      <c r="N679" s="300"/>
      <c r="O679" s="300"/>
      <c r="P679" s="300"/>
      <c r="Q679" s="300"/>
      <c r="R679" s="300"/>
      <c r="S679" s="300"/>
      <c r="T679" s="300"/>
      <c r="U679" s="300"/>
      <c r="V679" s="300"/>
      <c r="W679" s="300"/>
      <c r="X679" s="300"/>
      <c r="Y679" s="300"/>
      <c r="Z679" s="300"/>
      <c r="AA679" s="300"/>
    </row>
    <row r="680" spans="1:27" ht="15.5" x14ac:dyDescent="0.35">
      <c r="A680" s="300"/>
      <c r="B680" s="300"/>
      <c r="C680" s="300"/>
      <c r="D680" s="300"/>
      <c r="E680" s="300"/>
      <c r="F680" s="300"/>
      <c r="G680" s="300"/>
      <c r="H680" s="300"/>
      <c r="I680" s="300"/>
      <c r="J680" s="300"/>
      <c r="K680" s="300"/>
      <c r="L680" s="300"/>
      <c r="M680" s="300"/>
      <c r="N680" s="300"/>
      <c r="O680" s="300"/>
      <c r="P680" s="300"/>
      <c r="Q680" s="300"/>
      <c r="R680" s="300"/>
      <c r="S680" s="300"/>
      <c r="T680" s="300"/>
      <c r="U680" s="300"/>
      <c r="V680" s="300"/>
      <c r="W680" s="300"/>
      <c r="X680" s="300"/>
      <c r="Y680" s="300"/>
      <c r="Z680" s="300"/>
      <c r="AA680" s="300"/>
    </row>
    <row r="681" spans="1:27" ht="15.5" x14ac:dyDescent="0.35">
      <c r="A681" s="300"/>
      <c r="B681" s="300"/>
      <c r="C681" s="300"/>
      <c r="D681" s="300"/>
      <c r="E681" s="300"/>
      <c r="F681" s="300"/>
      <c r="G681" s="300"/>
      <c r="H681" s="300"/>
      <c r="I681" s="300"/>
      <c r="J681" s="300"/>
      <c r="K681" s="300"/>
      <c r="L681" s="300"/>
      <c r="M681" s="300"/>
      <c r="N681" s="300"/>
      <c r="O681" s="300"/>
      <c r="P681" s="300"/>
      <c r="Q681" s="300"/>
      <c r="R681" s="300"/>
      <c r="S681" s="300"/>
      <c r="T681" s="300"/>
      <c r="U681" s="300"/>
      <c r="V681" s="300"/>
      <c r="W681" s="300"/>
      <c r="X681" s="300"/>
      <c r="Y681" s="300"/>
      <c r="Z681" s="300"/>
      <c r="AA681" s="300"/>
    </row>
    <row r="682" spans="1:27" ht="15.5" x14ac:dyDescent="0.35">
      <c r="A682" s="300"/>
      <c r="B682" s="300"/>
      <c r="C682" s="300"/>
      <c r="D682" s="300"/>
      <c r="E682" s="300"/>
      <c r="F682" s="300"/>
      <c r="G682" s="300"/>
      <c r="H682" s="300"/>
      <c r="I682" s="300"/>
      <c r="J682" s="300"/>
      <c r="K682" s="300"/>
      <c r="L682" s="300"/>
      <c r="M682" s="300"/>
      <c r="N682" s="300"/>
      <c r="O682" s="300"/>
      <c r="P682" s="300"/>
      <c r="Q682" s="300"/>
      <c r="R682" s="300"/>
      <c r="S682" s="300"/>
      <c r="T682" s="300"/>
      <c r="U682" s="300"/>
      <c r="V682" s="300"/>
      <c r="W682" s="300"/>
      <c r="X682" s="300"/>
      <c r="Y682" s="300"/>
      <c r="Z682" s="300"/>
      <c r="AA682" s="300"/>
    </row>
    <row r="683" spans="1:27" ht="15.5" x14ac:dyDescent="0.35">
      <c r="A683" s="300"/>
      <c r="B683" s="300"/>
      <c r="C683" s="300"/>
      <c r="D683" s="300"/>
      <c r="E683" s="300"/>
      <c r="F683" s="300"/>
      <c r="G683" s="300"/>
      <c r="H683" s="300"/>
      <c r="I683" s="300"/>
      <c r="J683" s="300"/>
      <c r="K683" s="300"/>
      <c r="L683" s="300"/>
      <c r="M683" s="300"/>
      <c r="N683" s="300"/>
      <c r="O683" s="300"/>
      <c r="P683" s="300"/>
      <c r="Q683" s="300"/>
      <c r="R683" s="300"/>
      <c r="S683" s="300"/>
      <c r="T683" s="300"/>
      <c r="U683" s="300"/>
      <c r="V683" s="300"/>
      <c r="W683" s="300"/>
      <c r="X683" s="300"/>
      <c r="Y683" s="300"/>
      <c r="Z683" s="300"/>
      <c r="AA683" s="300"/>
    </row>
    <row r="684" spans="1:27" ht="15.5" x14ac:dyDescent="0.35">
      <c r="A684" s="300"/>
      <c r="B684" s="300"/>
      <c r="C684" s="300"/>
      <c r="D684" s="300"/>
      <c r="E684" s="300"/>
      <c r="F684" s="300"/>
      <c r="G684" s="300"/>
      <c r="H684" s="300"/>
      <c r="I684" s="300"/>
      <c r="J684" s="300"/>
      <c r="K684" s="300"/>
      <c r="L684" s="300"/>
      <c r="M684" s="300"/>
      <c r="N684" s="300"/>
      <c r="O684" s="300"/>
      <c r="P684" s="300"/>
      <c r="Q684" s="300"/>
      <c r="R684" s="300"/>
      <c r="S684" s="300"/>
      <c r="T684" s="300"/>
      <c r="U684" s="300"/>
      <c r="V684" s="300"/>
      <c r="W684" s="300"/>
      <c r="X684" s="300"/>
      <c r="Y684" s="300"/>
      <c r="Z684" s="300"/>
      <c r="AA684" s="300"/>
    </row>
    <row r="685" spans="1:27" ht="15.5" x14ac:dyDescent="0.35">
      <c r="A685" s="300"/>
      <c r="B685" s="300"/>
      <c r="C685" s="300"/>
      <c r="D685" s="300"/>
      <c r="E685" s="300"/>
      <c r="F685" s="300"/>
      <c r="G685" s="300"/>
      <c r="H685" s="300"/>
      <c r="I685" s="300"/>
      <c r="J685" s="300"/>
      <c r="K685" s="300"/>
      <c r="L685" s="300"/>
      <c r="M685" s="300"/>
      <c r="N685" s="300"/>
      <c r="O685" s="300"/>
      <c r="P685" s="300"/>
      <c r="Q685" s="300"/>
      <c r="R685" s="300"/>
      <c r="S685" s="300"/>
      <c r="T685" s="300"/>
      <c r="U685" s="300"/>
      <c r="V685" s="300"/>
      <c r="W685" s="300"/>
      <c r="X685" s="300"/>
      <c r="Y685" s="300"/>
      <c r="Z685" s="300"/>
      <c r="AA685" s="300"/>
    </row>
    <row r="686" spans="1:27" ht="15.5" x14ac:dyDescent="0.35">
      <c r="A686" s="300"/>
      <c r="B686" s="300"/>
      <c r="C686" s="300"/>
      <c r="D686" s="300"/>
      <c r="E686" s="300"/>
      <c r="F686" s="300"/>
      <c r="G686" s="300"/>
      <c r="H686" s="300"/>
      <c r="I686" s="300"/>
      <c r="J686" s="300"/>
      <c r="K686" s="300"/>
      <c r="L686" s="300"/>
      <c r="M686" s="300"/>
      <c r="N686" s="300"/>
      <c r="O686" s="300"/>
      <c r="P686" s="300"/>
      <c r="Q686" s="300"/>
      <c r="R686" s="300"/>
      <c r="S686" s="300"/>
      <c r="T686" s="300"/>
      <c r="U686" s="300"/>
      <c r="V686" s="300"/>
      <c r="W686" s="300"/>
      <c r="X686" s="300"/>
      <c r="Y686" s="300"/>
      <c r="Z686" s="300"/>
      <c r="AA686" s="300"/>
    </row>
    <row r="687" spans="1:27" ht="15.5" x14ac:dyDescent="0.35">
      <c r="A687" s="300"/>
      <c r="B687" s="300"/>
      <c r="C687" s="300"/>
      <c r="D687" s="300"/>
      <c r="E687" s="300"/>
      <c r="F687" s="300"/>
      <c r="G687" s="300"/>
      <c r="H687" s="300"/>
      <c r="I687" s="300"/>
      <c r="J687" s="300"/>
      <c r="K687" s="300"/>
      <c r="L687" s="300"/>
      <c r="M687" s="300"/>
      <c r="N687" s="300"/>
      <c r="O687" s="300"/>
      <c r="P687" s="300"/>
      <c r="Q687" s="300"/>
      <c r="R687" s="300"/>
      <c r="S687" s="300"/>
      <c r="T687" s="300"/>
      <c r="U687" s="300"/>
      <c r="V687" s="300"/>
      <c r="W687" s="300"/>
      <c r="X687" s="300"/>
      <c r="Y687" s="300"/>
      <c r="Z687" s="300"/>
      <c r="AA687" s="300"/>
    </row>
    <row r="688" spans="1:27" ht="15.5" x14ac:dyDescent="0.35">
      <c r="A688" s="300"/>
      <c r="B688" s="300"/>
      <c r="C688" s="300"/>
      <c r="D688" s="300"/>
      <c r="E688" s="300"/>
      <c r="F688" s="300"/>
      <c r="G688" s="300"/>
      <c r="H688" s="300"/>
      <c r="I688" s="300"/>
      <c r="J688" s="300"/>
      <c r="K688" s="300"/>
      <c r="L688" s="300"/>
      <c r="M688" s="300"/>
      <c r="N688" s="300"/>
      <c r="O688" s="300"/>
      <c r="P688" s="300"/>
      <c r="Q688" s="300"/>
      <c r="R688" s="300"/>
      <c r="S688" s="300"/>
      <c r="T688" s="300"/>
      <c r="U688" s="300"/>
      <c r="V688" s="300"/>
      <c r="W688" s="300"/>
      <c r="X688" s="300"/>
      <c r="Y688" s="300"/>
      <c r="Z688" s="300"/>
      <c r="AA688" s="300"/>
    </row>
    <row r="689" spans="1:27" ht="15.5" x14ac:dyDescent="0.35">
      <c r="A689" s="300"/>
      <c r="B689" s="300"/>
      <c r="C689" s="300"/>
      <c r="D689" s="300"/>
      <c r="E689" s="300"/>
      <c r="F689" s="300"/>
      <c r="G689" s="300"/>
      <c r="H689" s="300"/>
      <c r="I689" s="300"/>
      <c r="J689" s="300"/>
      <c r="K689" s="300"/>
      <c r="L689" s="300"/>
      <c r="M689" s="300"/>
      <c r="N689" s="300"/>
      <c r="O689" s="300"/>
      <c r="P689" s="300"/>
      <c r="Q689" s="300"/>
      <c r="R689" s="300"/>
      <c r="S689" s="300"/>
      <c r="T689" s="300"/>
      <c r="U689" s="300"/>
      <c r="V689" s="300"/>
      <c r="W689" s="300"/>
      <c r="X689" s="300"/>
      <c r="Y689" s="300"/>
      <c r="Z689" s="300"/>
      <c r="AA689" s="300"/>
    </row>
    <row r="690" spans="1:27" ht="15.5" x14ac:dyDescent="0.35">
      <c r="A690" s="300"/>
      <c r="B690" s="300"/>
      <c r="C690" s="300"/>
      <c r="D690" s="300"/>
      <c r="E690" s="300"/>
      <c r="F690" s="300"/>
      <c r="G690" s="300"/>
      <c r="H690" s="300"/>
      <c r="I690" s="300"/>
      <c r="J690" s="300"/>
      <c r="K690" s="300"/>
      <c r="L690" s="300"/>
      <c r="M690" s="300"/>
      <c r="N690" s="300"/>
      <c r="O690" s="300"/>
      <c r="P690" s="300"/>
      <c r="Q690" s="300"/>
      <c r="R690" s="300"/>
      <c r="S690" s="300"/>
      <c r="T690" s="300"/>
      <c r="U690" s="300"/>
      <c r="V690" s="300"/>
      <c r="W690" s="300"/>
      <c r="X690" s="300"/>
      <c r="Y690" s="300"/>
      <c r="Z690" s="300"/>
      <c r="AA690" s="300"/>
    </row>
    <row r="691" spans="1:27" ht="15.5" x14ac:dyDescent="0.35">
      <c r="A691" s="300"/>
      <c r="B691" s="300"/>
      <c r="C691" s="300"/>
      <c r="D691" s="300"/>
      <c r="E691" s="300"/>
      <c r="F691" s="300"/>
      <c r="G691" s="300"/>
      <c r="H691" s="300"/>
      <c r="I691" s="300"/>
      <c r="J691" s="300"/>
      <c r="K691" s="300"/>
      <c r="L691" s="300"/>
      <c r="M691" s="300"/>
      <c r="N691" s="300"/>
      <c r="O691" s="300"/>
      <c r="P691" s="300"/>
      <c r="Q691" s="300"/>
      <c r="R691" s="300"/>
      <c r="S691" s="300"/>
      <c r="T691" s="300"/>
      <c r="U691" s="300"/>
      <c r="V691" s="300"/>
      <c r="W691" s="300"/>
      <c r="X691" s="300"/>
      <c r="Y691" s="300"/>
      <c r="Z691" s="300"/>
      <c r="AA691" s="300"/>
    </row>
    <row r="692" spans="1:27" ht="15.5" x14ac:dyDescent="0.35">
      <c r="A692" s="300"/>
      <c r="B692" s="300"/>
      <c r="C692" s="300"/>
      <c r="D692" s="300"/>
      <c r="E692" s="300"/>
      <c r="F692" s="300"/>
      <c r="G692" s="300"/>
      <c r="H692" s="300"/>
      <c r="I692" s="300"/>
      <c r="J692" s="300"/>
      <c r="K692" s="300"/>
      <c r="L692" s="300"/>
      <c r="M692" s="300"/>
      <c r="N692" s="300"/>
      <c r="O692" s="300"/>
      <c r="P692" s="300"/>
      <c r="Q692" s="300"/>
      <c r="R692" s="300"/>
      <c r="S692" s="300"/>
      <c r="T692" s="300"/>
      <c r="U692" s="300"/>
      <c r="V692" s="300"/>
      <c r="W692" s="300"/>
      <c r="X692" s="300"/>
      <c r="Y692" s="300"/>
      <c r="Z692" s="300"/>
      <c r="AA692" s="300"/>
    </row>
    <row r="693" spans="1:27" ht="15.5" x14ac:dyDescent="0.35">
      <c r="A693" s="300"/>
      <c r="B693" s="300"/>
      <c r="C693" s="300"/>
      <c r="D693" s="300"/>
      <c r="E693" s="300"/>
      <c r="F693" s="300"/>
      <c r="G693" s="300"/>
      <c r="H693" s="300"/>
      <c r="I693" s="300"/>
      <c r="J693" s="300"/>
      <c r="K693" s="300"/>
      <c r="L693" s="300"/>
      <c r="M693" s="300"/>
      <c r="N693" s="300"/>
      <c r="O693" s="300"/>
      <c r="P693" s="300"/>
      <c r="Q693" s="300"/>
      <c r="R693" s="300"/>
      <c r="S693" s="300"/>
      <c r="T693" s="300"/>
      <c r="U693" s="300"/>
      <c r="V693" s="300"/>
      <c r="W693" s="300"/>
      <c r="X693" s="300"/>
      <c r="Y693" s="300"/>
      <c r="Z693" s="300"/>
      <c r="AA693" s="300"/>
    </row>
    <row r="694" spans="1:27" ht="15.5" x14ac:dyDescent="0.35">
      <c r="A694" s="300"/>
      <c r="B694" s="300"/>
      <c r="C694" s="300"/>
      <c r="D694" s="300"/>
      <c r="E694" s="300"/>
      <c r="F694" s="300"/>
      <c r="G694" s="300"/>
      <c r="H694" s="300"/>
      <c r="I694" s="300"/>
      <c r="J694" s="300"/>
      <c r="K694" s="300"/>
      <c r="L694" s="300"/>
      <c r="M694" s="300"/>
      <c r="N694" s="300"/>
      <c r="O694" s="300"/>
      <c r="P694" s="300"/>
      <c r="Q694" s="300"/>
      <c r="R694" s="300"/>
      <c r="S694" s="300"/>
      <c r="T694" s="300"/>
      <c r="U694" s="300"/>
      <c r="V694" s="300"/>
      <c r="W694" s="300"/>
      <c r="X694" s="300"/>
      <c r="Y694" s="300"/>
      <c r="Z694" s="300"/>
      <c r="AA694" s="300"/>
    </row>
    <row r="695" spans="1:27" ht="15.5" x14ac:dyDescent="0.35">
      <c r="A695" s="300"/>
      <c r="B695" s="300"/>
      <c r="C695" s="300"/>
      <c r="D695" s="300"/>
      <c r="E695" s="300"/>
      <c r="F695" s="300"/>
      <c r="G695" s="300"/>
      <c r="H695" s="300"/>
      <c r="I695" s="300"/>
      <c r="J695" s="300"/>
      <c r="K695" s="300"/>
      <c r="L695" s="300"/>
      <c r="M695" s="300"/>
      <c r="N695" s="300"/>
      <c r="O695" s="300"/>
      <c r="P695" s="300"/>
      <c r="Q695" s="300"/>
      <c r="R695" s="300"/>
      <c r="S695" s="300"/>
      <c r="T695" s="300"/>
      <c r="U695" s="300"/>
      <c r="V695" s="300"/>
      <c r="W695" s="300"/>
      <c r="X695" s="300"/>
      <c r="Y695" s="300"/>
      <c r="Z695" s="300"/>
      <c r="AA695" s="300"/>
    </row>
    <row r="696" spans="1:27" ht="15.5" x14ac:dyDescent="0.35">
      <c r="A696" s="300"/>
      <c r="B696" s="300"/>
      <c r="C696" s="300"/>
      <c r="D696" s="300"/>
      <c r="E696" s="300"/>
      <c r="F696" s="300"/>
      <c r="G696" s="300"/>
      <c r="H696" s="300"/>
      <c r="I696" s="300"/>
      <c r="J696" s="300"/>
      <c r="K696" s="300"/>
      <c r="L696" s="300"/>
      <c r="M696" s="300"/>
      <c r="N696" s="300"/>
      <c r="O696" s="300"/>
      <c r="P696" s="300"/>
      <c r="Q696" s="300"/>
      <c r="R696" s="300"/>
      <c r="S696" s="300"/>
      <c r="T696" s="300"/>
      <c r="U696" s="300"/>
      <c r="V696" s="300"/>
      <c r="W696" s="300"/>
      <c r="X696" s="300"/>
      <c r="Y696" s="300"/>
      <c r="Z696" s="300"/>
      <c r="AA696" s="300"/>
    </row>
    <row r="697" spans="1:27" ht="15.5" x14ac:dyDescent="0.35">
      <c r="A697" s="300"/>
      <c r="B697" s="300"/>
      <c r="C697" s="300"/>
      <c r="D697" s="300"/>
      <c r="E697" s="300"/>
      <c r="F697" s="300"/>
      <c r="G697" s="300"/>
      <c r="H697" s="300"/>
      <c r="I697" s="300"/>
      <c r="J697" s="300"/>
      <c r="K697" s="300"/>
      <c r="L697" s="300"/>
      <c r="M697" s="300"/>
      <c r="N697" s="300"/>
      <c r="O697" s="300"/>
      <c r="P697" s="300"/>
      <c r="Q697" s="300"/>
      <c r="R697" s="300"/>
      <c r="S697" s="300"/>
      <c r="T697" s="300"/>
      <c r="U697" s="300"/>
      <c r="V697" s="300"/>
      <c r="W697" s="300"/>
      <c r="X697" s="300"/>
      <c r="Y697" s="300"/>
      <c r="Z697" s="300"/>
      <c r="AA697" s="300"/>
    </row>
    <row r="698" spans="1:27" ht="15.5" x14ac:dyDescent="0.35">
      <c r="A698" s="300"/>
      <c r="B698" s="300"/>
      <c r="C698" s="300"/>
      <c r="D698" s="300"/>
      <c r="E698" s="300"/>
      <c r="F698" s="300"/>
      <c r="G698" s="300"/>
      <c r="H698" s="300"/>
      <c r="I698" s="300"/>
      <c r="J698" s="300"/>
      <c r="K698" s="300"/>
      <c r="L698" s="300"/>
      <c r="M698" s="300"/>
      <c r="N698" s="300"/>
      <c r="O698" s="300"/>
      <c r="P698" s="300"/>
      <c r="Q698" s="300"/>
      <c r="R698" s="300"/>
      <c r="S698" s="300"/>
      <c r="T698" s="300"/>
      <c r="U698" s="300"/>
      <c r="V698" s="300"/>
      <c r="W698" s="300"/>
      <c r="X698" s="300"/>
      <c r="Y698" s="300"/>
      <c r="Z698" s="300"/>
      <c r="AA698" s="300"/>
    </row>
    <row r="699" spans="1:27" ht="15.5" x14ac:dyDescent="0.35">
      <c r="A699" s="300"/>
      <c r="B699" s="300"/>
      <c r="C699" s="300"/>
      <c r="D699" s="300"/>
      <c r="E699" s="300"/>
      <c r="F699" s="300"/>
      <c r="G699" s="300"/>
      <c r="H699" s="300"/>
      <c r="I699" s="300"/>
      <c r="J699" s="300"/>
      <c r="K699" s="300"/>
      <c r="L699" s="300"/>
      <c r="M699" s="300"/>
      <c r="N699" s="300"/>
      <c r="O699" s="300"/>
      <c r="P699" s="300"/>
      <c r="Q699" s="300"/>
      <c r="R699" s="300"/>
      <c r="S699" s="300"/>
      <c r="T699" s="300"/>
      <c r="U699" s="300"/>
      <c r="V699" s="300"/>
      <c r="W699" s="300"/>
      <c r="X699" s="300"/>
      <c r="Y699" s="300"/>
      <c r="Z699" s="300"/>
      <c r="AA699" s="300"/>
    </row>
    <row r="700" spans="1:27" ht="15.5" x14ac:dyDescent="0.35">
      <c r="A700" s="300"/>
      <c r="B700" s="300"/>
      <c r="C700" s="300"/>
      <c r="D700" s="300"/>
      <c r="E700" s="300"/>
      <c r="F700" s="300"/>
      <c r="G700" s="300"/>
      <c r="H700" s="300"/>
      <c r="I700" s="300"/>
      <c r="J700" s="300"/>
      <c r="K700" s="300"/>
      <c r="L700" s="300"/>
      <c r="M700" s="300"/>
      <c r="N700" s="300"/>
      <c r="O700" s="300"/>
      <c r="P700" s="300"/>
      <c r="Q700" s="300"/>
      <c r="R700" s="300"/>
      <c r="S700" s="300"/>
      <c r="T700" s="300"/>
      <c r="U700" s="300"/>
      <c r="V700" s="300"/>
      <c r="W700" s="300"/>
      <c r="X700" s="300"/>
      <c r="Y700" s="300"/>
      <c r="Z700" s="300"/>
      <c r="AA700" s="300"/>
    </row>
    <row r="701" spans="1:27" ht="15.5" x14ac:dyDescent="0.35">
      <c r="A701" s="300"/>
      <c r="B701" s="300"/>
      <c r="C701" s="300"/>
      <c r="D701" s="300"/>
      <c r="E701" s="300"/>
      <c r="F701" s="300"/>
      <c r="G701" s="300"/>
      <c r="H701" s="300"/>
      <c r="I701" s="300"/>
      <c r="J701" s="300"/>
      <c r="K701" s="300"/>
      <c r="L701" s="300"/>
      <c r="M701" s="300"/>
      <c r="N701" s="300"/>
      <c r="O701" s="300"/>
      <c r="P701" s="300"/>
      <c r="Q701" s="300"/>
      <c r="R701" s="300"/>
      <c r="S701" s="300"/>
      <c r="T701" s="300"/>
      <c r="U701" s="300"/>
      <c r="V701" s="300"/>
      <c r="W701" s="300"/>
      <c r="X701" s="300"/>
      <c r="Y701" s="300"/>
      <c r="Z701" s="300"/>
      <c r="AA701" s="300"/>
    </row>
    <row r="702" spans="1:27" ht="15.5" x14ac:dyDescent="0.35">
      <c r="A702" s="300"/>
      <c r="B702" s="300"/>
      <c r="C702" s="300"/>
      <c r="D702" s="300"/>
      <c r="E702" s="300"/>
      <c r="F702" s="300"/>
      <c r="G702" s="300"/>
      <c r="H702" s="300"/>
      <c r="I702" s="300"/>
      <c r="J702" s="300"/>
      <c r="K702" s="300"/>
      <c r="L702" s="300"/>
      <c r="M702" s="300"/>
      <c r="N702" s="300"/>
      <c r="O702" s="300"/>
      <c r="P702" s="300"/>
      <c r="Q702" s="300"/>
      <c r="R702" s="300"/>
      <c r="S702" s="300"/>
      <c r="T702" s="300"/>
      <c r="U702" s="300"/>
      <c r="V702" s="300"/>
      <c r="W702" s="300"/>
      <c r="X702" s="300"/>
      <c r="Y702" s="300"/>
      <c r="Z702" s="300"/>
      <c r="AA702" s="300"/>
    </row>
    <row r="703" spans="1:27" ht="15.5" x14ac:dyDescent="0.35">
      <c r="A703" s="300"/>
      <c r="B703" s="300"/>
      <c r="C703" s="300"/>
      <c r="D703" s="300"/>
      <c r="E703" s="300"/>
      <c r="F703" s="300"/>
      <c r="G703" s="300"/>
      <c r="H703" s="300"/>
      <c r="I703" s="300"/>
      <c r="J703" s="300"/>
      <c r="K703" s="300"/>
      <c r="L703" s="300"/>
      <c r="M703" s="300"/>
      <c r="N703" s="300"/>
      <c r="O703" s="300"/>
      <c r="P703" s="300"/>
      <c r="Q703" s="300"/>
      <c r="R703" s="300"/>
      <c r="S703" s="300"/>
      <c r="T703" s="300"/>
      <c r="U703" s="300"/>
      <c r="V703" s="300"/>
      <c r="W703" s="300"/>
      <c r="X703" s="300"/>
      <c r="Y703" s="300"/>
      <c r="Z703" s="300"/>
      <c r="AA703" s="300"/>
    </row>
    <row r="704" spans="1:27" ht="15.5" x14ac:dyDescent="0.35">
      <c r="A704" s="300"/>
      <c r="B704" s="300"/>
      <c r="C704" s="300"/>
      <c r="D704" s="300"/>
      <c r="E704" s="300"/>
      <c r="F704" s="300"/>
      <c r="G704" s="300"/>
      <c r="H704" s="300"/>
      <c r="I704" s="300"/>
      <c r="J704" s="300"/>
      <c r="K704" s="300"/>
      <c r="L704" s="300"/>
      <c r="M704" s="300"/>
      <c r="N704" s="300"/>
      <c r="O704" s="300"/>
      <c r="P704" s="300"/>
      <c r="Q704" s="300"/>
      <c r="R704" s="300"/>
      <c r="S704" s="300"/>
      <c r="T704" s="300"/>
      <c r="U704" s="300"/>
      <c r="V704" s="300"/>
      <c r="W704" s="300"/>
      <c r="X704" s="300"/>
      <c r="Y704" s="300"/>
      <c r="Z704" s="300"/>
      <c r="AA704" s="300"/>
    </row>
    <row r="705" spans="1:27" ht="15.5" x14ac:dyDescent="0.35">
      <c r="A705" s="300"/>
      <c r="B705" s="300"/>
      <c r="C705" s="300"/>
      <c r="D705" s="300"/>
      <c r="E705" s="300"/>
      <c r="F705" s="300"/>
      <c r="G705" s="300"/>
      <c r="H705" s="300"/>
      <c r="I705" s="300"/>
      <c r="J705" s="300"/>
      <c r="K705" s="300"/>
      <c r="L705" s="300"/>
      <c r="M705" s="300"/>
      <c r="N705" s="300"/>
      <c r="O705" s="300"/>
      <c r="P705" s="300"/>
      <c r="Q705" s="300"/>
      <c r="R705" s="300"/>
      <c r="S705" s="300"/>
      <c r="T705" s="300"/>
      <c r="U705" s="300"/>
      <c r="V705" s="300"/>
      <c r="W705" s="300"/>
      <c r="X705" s="300"/>
      <c r="Y705" s="300"/>
      <c r="Z705" s="300"/>
      <c r="AA705" s="300"/>
    </row>
    <row r="706" spans="1:27" ht="15.5" x14ac:dyDescent="0.35">
      <c r="A706" s="300"/>
      <c r="B706" s="300"/>
      <c r="C706" s="300"/>
      <c r="D706" s="300"/>
      <c r="E706" s="300"/>
      <c r="F706" s="300"/>
      <c r="G706" s="300"/>
      <c r="H706" s="300"/>
      <c r="I706" s="300"/>
      <c r="J706" s="300"/>
      <c r="K706" s="300"/>
      <c r="L706" s="300"/>
      <c r="M706" s="300"/>
      <c r="N706" s="300"/>
      <c r="O706" s="300"/>
      <c r="P706" s="300"/>
      <c r="Q706" s="300"/>
      <c r="R706" s="300"/>
      <c r="S706" s="300"/>
      <c r="T706" s="300"/>
      <c r="U706" s="300"/>
      <c r="V706" s="300"/>
      <c r="W706" s="300"/>
      <c r="X706" s="300"/>
      <c r="Y706" s="300"/>
      <c r="Z706" s="300"/>
      <c r="AA706" s="300"/>
    </row>
    <row r="707" spans="1:27" ht="15.5" x14ac:dyDescent="0.35">
      <c r="A707" s="300"/>
      <c r="B707" s="300"/>
      <c r="C707" s="300"/>
      <c r="D707" s="300"/>
      <c r="E707" s="300"/>
      <c r="F707" s="300"/>
      <c r="G707" s="300"/>
      <c r="H707" s="300"/>
      <c r="I707" s="300"/>
      <c r="J707" s="300"/>
      <c r="K707" s="300"/>
      <c r="L707" s="300"/>
      <c r="M707" s="300"/>
      <c r="N707" s="300"/>
      <c r="O707" s="300"/>
      <c r="P707" s="300"/>
      <c r="Q707" s="300"/>
      <c r="R707" s="300"/>
      <c r="S707" s="300"/>
      <c r="T707" s="300"/>
      <c r="U707" s="300"/>
      <c r="V707" s="300"/>
      <c r="W707" s="300"/>
      <c r="X707" s="300"/>
      <c r="Y707" s="300"/>
      <c r="Z707" s="300"/>
      <c r="AA707" s="300"/>
    </row>
    <row r="708" spans="1:27" ht="15.5" x14ac:dyDescent="0.35">
      <c r="A708" s="300"/>
      <c r="B708" s="300"/>
      <c r="C708" s="300"/>
      <c r="D708" s="300"/>
      <c r="E708" s="300"/>
      <c r="F708" s="300"/>
      <c r="G708" s="300"/>
      <c r="H708" s="300"/>
      <c r="I708" s="300"/>
      <c r="J708" s="300"/>
      <c r="K708" s="300"/>
      <c r="L708" s="300"/>
      <c r="M708" s="300"/>
      <c r="N708" s="300"/>
      <c r="O708" s="300"/>
      <c r="P708" s="300"/>
      <c r="Q708" s="300"/>
      <c r="R708" s="300"/>
      <c r="S708" s="300"/>
      <c r="T708" s="300"/>
      <c r="U708" s="300"/>
      <c r="V708" s="300"/>
      <c r="W708" s="300"/>
      <c r="X708" s="300"/>
      <c r="Y708" s="300"/>
      <c r="Z708" s="300"/>
      <c r="AA708" s="300"/>
    </row>
    <row r="709" spans="1:27" ht="15.5" x14ac:dyDescent="0.35">
      <c r="A709" s="300"/>
      <c r="B709" s="300"/>
      <c r="C709" s="300"/>
      <c r="D709" s="300"/>
      <c r="E709" s="300"/>
      <c r="F709" s="300"/>
      <c r="G709" s="300"/>
      <c r="H709" s="300"/>
      <c r="I709" s="300"/>
      <c r="J709" s="300"/>
      <c r="K709" s="300"/>
      <c r="L709" s="300"/>
      <c r="M709" s="300"/>
      <c r="N709" s="300"/>
      <c r="O709" s="300"/>
      <c r="P709" s="300"/>
      <c r="Q709" s="300"/>
      <c r="R709" s="300"/>
      <c r="S709" s="300"/>
      <c r="T709" s="300"/>
      <c r="U709" s="300"/>
      <c r="V709" s="300"/>
      <c r="W709" s="300"/>
      <c r="X709" s="300"/>
      <c r="Y709" s="300"/>
      <c r="Z709" s="300"/>
      <c r="AA709" s="300"/>
    </row>
    <row r="710" spans="1:27" ht="15.5" x14ac:dyDescent="0.35">
      <c r="A710" s="300"/>
      <c r="B710" s="300"/>
      <c r="C710" s="300"/>
      <c r="D710" s="300"/>
      <c r="E710" s="300"/>
      <c r="F710" s="300"/>
      <c r="G710" s="300"/>
      <c r="H710" s="300"/>
      <c r="I710" s="300"/>
      <c r="J710" s="300"/>
      <c r="K710" s="300"/>
      <c r="L710" s="300"/>
      <c r="M710" s="300"/>
      <c r="N710" s="300"/>
      <c r="O710" s="300"/>
      <c r="P710" s="300"/>
      <c r="Q710" s="300"/>
      <c r="R710" s="300"/>
      <c r="S710" s="300"/>
      <c r="T710" s="300"/>
      <c r="U710" s="300"/>
      <c r="V710" s="300"/>
      <c r="W710" s="300"/>
      <c r="X710" s="300"/>
      <c r="Y710" s="300"/>
      <c r="Z710" s="300"/>
      <c r="AA710" s="300"/>
    </row>
    <row r="711" spans="1:27" ht="15.5" x14ac:dyDescent="0.35">
      <c r="A711" s="300"/>
      <c r="B711" s="300"/>
      <c r="C711" s="300"/>
      <c r="D711" s="300"/>
      <c r="E711" s="300"/>
      <c r="F711" s="300"/>
      <c r="G711" s="300"/>
      <c r="H711" s="300"/>
      <c r="I711" s="300"/>
      <c r="J711" s="300"/>
      <c r="K711" s="300"/>
      <c r="L711" s="300"/>
      <c r="M711" s="300"/>
      <c r="N711" s="300"/>
      <c r="O711" s="300"/>
      <c r="P711" s="300"/>
      <c r="Q711" s="300"/>
      <c r="R711" s="300"/>
      <c r="S711" s="300"/>
      <c r="T711" s="300"/>
      <c r="U711" s="300"/>
      <c r="V711" s="300"/>
      <c r="W711" s="300"/>
      <c r="X711" s="300"/>
      <c r="Y711" s="300"/>
      <c r="Z711" s="300"/>
      <c r="AA711" s="300"/>
    </row>
    <row r="712" spans="1:27" ht="15.5" x14ac:dyDescent="0.35">
      <c r="A712" s="300"/>
      <c r="B712" s="300"/>
      <c r="C712" s="300"/>
      <c r="D712" s="300"/>
      <c r="E712" s="300"/>
      <c r="F712" s="300"/>
      <c r="G712" s="300"/>
      <c r="H712" s="300"/>
      <c r="I712" s="300"/>
      <c r="J712" s="300"/>
      <c r="K712" s="300"/>
      <c r="L712" s="300"/>
      <c r="M712" s="300"/>
      <c r="N712" s="300"/>
      <c r="O712" s="300"/>
      <c r="P712" s="300"/>
      <c r="Q712" s="300"/>
      <c r="R712" s="300"/>
      <c r="S712" s="300"/>
      <c r="T712" s="300"/>
      <c r="U712" s="300"/>
      <c r="V712" s="300"/>
      <c r="W712" s="300"/>
      <c r="X712" s="300"/>
      <c r="Y712" s="300"/>
      <c r="Z712" s="300"/>
      <c r="AA712" s="300"/>
    </row>
    <row r="713" spans="1:27" ht="15.5" x14ac:dyDescent="0.35">
      <c r="A713" s="300"/>
      <c r="B713" s="300"/>
      <c r="C713" s="300"/>
      <c r="D713" s="300"/>
      <c r="E713" s="300"/>
      <c r="F713" s="300"/>
      <c r="G713" s="300"/>
      <c r="H713" s="300"/>
      <c r="I713" s="300"/>
      <c r="J713" s="300"/>
      <c r="K713" s="300"/>
      <c r="L713" s="300"/>
      <c r="M713" s="300"/>
      <c r="N713" s="300"/>
      <c r="O713" s="300"/>
      <c r="P713" s="300"/>
      <c r="Q713" s="300"/>
      <c r="R713" s="300"/>
      <c r="S713" s="300"/>
      <c r="T713" s="300"/>
      <c r="U713" s="300"/>
      <c r="V713" s="300"/>
      <c r="W713" s="300"/>
      <c r="X713" s="300"/>
      <c r="Y713" s="300"/>
      <c r="Z713" s="300"/>
      <c r="AA713" s="300"/>
    </row>
    <row r="714" spans="1:27" ht="15.5" x14ac:dyDescent="0.35">
      <c r="A714" s="300"/>
      <c r="B714" s="300"/>
      <c r="C714" s="300"/>
      <c r="D714" s="300"/>
      <c r="E714" s="300"/>
      <c r="F714" s="300"/>
      <c r="G714" s="300"/>
      <c r="H714" s="300"/>
      <c r="I714" s="300"/>
      <c r="J714" s="300"/>
      <c r="K714" s="300"/>
      <c r="L714" s="300"/>
      <c r="M714" s="300"/>
      <c r="N714" s="300"/>
      <c r="O714" s="300"/>
      <c r="P714" s="300"/>
      <c r="Q714" s="300"/>
      <c r="R714" s="300"/>
      <c r="S714" s="300"/>
      <c r="T714" s="300"/>
      <c r="U714" s="300"/>
      <c r="V714" s="300"/>
      <c r="W714" s="300"/>
      <c r="X714" s="300"/>
      <c r="Y714" s="300"/>
      <c r="Z714" s="300"/>
      <c r="AA714" s="300"/>
    </row>
    <row r="715" spans="1:27" ht="15.5" x14ac:dyDescent="0.35">
      <c r="A715" s="300"/>
      <c r="B715" s="300"/>
      <c r="C715" s="300"/>
      <c r="D715" s="300"/>
      <c r="E715" s="300"/>
      <c r="F715" s="300"/>
      <c r="G715" s="300"/>
      <c r="H715" s="300"/>
      <c r="I715" s="300"/>
      <c r="J715" s="300"/>
      <c r="K715" s="300"/>
      <c r="L715" s="300"/>
      <c r="M715" s="300"/>
      <c r="N715" s="300"/>
      <c r="O715" s="300"/>
      <c r="P715" s="300"/>
      <c r="Q715" s="300"/>
      <c r="R715" s="300"/>
      <c r="S715" s="300"/>
      <c r="T715" s="300"/>
      <c r="U715" s="300"/>
      <c r="V715" s="300"/>
      <c r="W715" s="300"/>
      <c r="X715" s="300"/>
      <c r="Y715" s="300"/>
      <c r="Z715" s="300"/>
      <c r="AA715" s="300"/>
    </row>
    <row r="716" spans="1:27" ht="15.5" x14ac:dyDescent="0.35">
      <c r="A716" s="300"/>
      <c r="B716" s="300"/>
      <c r="C716" s="300"/>
      <c r="D716" s="300"/>
      <c r="E716" s="300"/>
      <c r="F716" s="300"/>
      <c r="G716" s="300"/>
      <c r="H716" s="300"/>
      <c r="I716" s="300"/>
      <c r="J716" s="300"/>
      <c r="K716" s="300"/>
      <c r="L716" s="300"/>
      <c r="M716" s="300"/>
      <c r="N716" s="300"/>
      <c r="O716" s="300"/>
      <c r="P716" s="300"/>
      <c r="Q716" s="300"/>
      <c r="R716" s="300"/>
      <c r="S716" s="300"/>
      <c r="T716" s="300"/>
      <c r="U716" s="300"/>
      <c r="V716" s="300"/>
      <c r="W716" s="300"/>
      <c r="X716" s="300"/>
      <c r="Y716" s="300"/>
      <c r="Z716" s="300"/>
      <c r="AA716" s="300"/>
    </row>
    <row r="717" spans="1:27" ht="15.5" x14ac:dyDescent="0.35">
      <c r="A717" s="300"/>
      <c r="B717" s="300"/>
      <c r="C717" s="300"/>
      <c r="D717" s="300"/>
      <c r="E717" s="300"/>
      <c r="F717" s="300"/>
      <c r="G717" s="300"/>
      <c r="H717" s="300"/>
      <c r="I717" s="300"/>
      <c r="J717" s="300"/>
      <c r="K717" s="300"/>
      <c r="L717" s="300"/>
      <c r="M717" s="300"/>
      <c r="N717" s="300"/>
      <c r="O717" s="300"/>
      <c r="P717" s="300"/>
      <c r="Q717" s="300"/>
      <c r="R717" s="300"/>
      <c r="S717" s="300"/>
      <c r="T717" s="300"/>
      <c r="U717" s="300"/>
      <c r="V717" s="300"/>
      <c r="W717" s="300"/>
      <c r="X717" s="300"/>
      <c r="Y717" s="300"/>
      <c r="Z717" s="300"/>
      <c r="AA717" s="300"/>
    </row>
    <row r="718" spans="1:27" ht="15.5" x14ac:dyDescent="0.35">
      <c r="A718" s="300"/>
      <c r="B718" s="300"/>
      <c r="C718" s="300"/>
      <c r="D718" s="300"/>
      <c r="E718" s="300"/>
      <c r="F718" s="300"/>
      <c r="G718" s="300"/>
      <c r="H718" s="300"/>
      <c r="I718" s="300"/>
      <c r="J718" s="300"/>
      <c r="K718" s="300"/>
      <c r="L718" s="300"/>
      <c r="M718" s="300"/>
      <c r="N718" s="300"/>
      <c r="O718" s="300"/>
      <c r="P718" s="300"/>
      <c r="Q718" s="300"/>
      <c r="R718" s="300"/>
      <c r="S718" s="300"/>
      <c r="T718" s="300"/>
      <c r="U718" s="300"/>
      <c r="V718" s="300"/>
      <c r="W718" s="300"/>
      <c r="X718" s="300"/>
      <c r="Y718" s="300"/>
      <c r="Z718" s="300"/>
      <c r="AA718" s="300"/>
    </row>
    <row r="719" spans="1:27" ht="15.5" x14ac:dyDescent="0.35">
      <c r="A719" s="300"/>
      <c r="B719" s="300"/>
      <c r="C719" s="300"/>
      <c r="D719" s="300"/>
      <c r="E719" s="300"/>
      <c r="F719" s="300"/>
      <c r="G719" s="300"/>
      <c r="H719" s="300"/>
      <c r="I719" s="300"/>
      <c r="J719" s="300"/>
      <c r="K719" s="300"/>
      <c r="L719" s="300"/>
      <c r="M719" s="300"/>
      <c r="N719" s="300"/>
      <c r="O719" s="300"/>
      <c r="P719" s="300"/>
      <c r="Q719" s="300"/>
      <c r="R719" s="300"/>
      <c r="S719" s="300"/>
      <c r="T719" s="300"/>
      <c r="U719" s="300"/>
      <c r="V719" s="300"/>
      <c r="W719" s="300"/>
      <c r="X719" s="300"/>
      <c r="Y719" s="300"/>
      <c r="Z719" s="300"/>
      <c r="AA719" s="300"/>
    </row>
    <row r="720" spans="1:27" ht="15.5" x14ac:dyDescent="0.35">
      <c r="A720" s="300"/>
      <c r="B720" s="300"/>
      <c r="C720" s="300"/>
      <c r="D720" s="300"/>
      <c r="E720" s="300"/>
      <c r="F720" s="300"/>
      <c r="G720" s="300"/>
      <c r="H720" s="300"/>
      <c r="I720" s="300"/>
      <c r="J720" s="300"/>
      <c r="K720" s="300"/>
      <c r="L720" s="300"/>
      <c r="M720" s="300"/>
      <c r="N720" s="300"/>
      <c r="O720" s="300"/>
      <c r="P720" s="300"/>
      <c r="Q720" s="300"/>
      <c r="R720" s="300"/>
      <c r="S720" s="300"/>
      <c r="T720" s="300"/>
      <c r="U720" s="300"/>
      <c r="V720" s="300"/>
      <c r="W720" s="300"/>
      <c r="X720" s="300"/>
      <c r="Y720" s="300"/>
      <c r="Z720" s="300"/>
      <c r="AA720" s="300"/>
    </row>
    <row r="721" spans="1:27" ht="15.5" x14ac:dyDescent="0.35">
      <c r="A721" s="300"/>
      <c r="B721" s="300"/>
      <c r="C721" s="300"/>
      <c r="D721" s="300"/>
      <c r="E721" s="300"/>
      <c r="F721" s="300"/>
      <c r="G721" s="300"/>
      <c r="H721" s="300"/>
      <c r="I721" s="300"/>
      <c r="J721" s="300"/>
      <c r="K721" s="300"/>
      <c r="L721" s="300"/>
      <c r="M721" s="300"/>
      <c r="N721" s="300"/>
      <c r="O721" s="300"/>
      <c r="P721" s="300"/>
      <c r="Q721" s="300"/>
      <c r="R721" s="300"/>
      <c r="S721" s="300"/>
      <c r="T721" s="300"/>
      <c r="U721" s="300"/>
      <c r="V721" s="300"/>
      <c r="W721" s="300"/>
      <c r="X721" s="300"/>
      <c r="Y721" s="300"/>
      <c r="Z721" s="300"/>
      <c r="AA721" s="300"/>
    </row>
    <row r="722" spans="1:27" ht="15.5" x14ac:dyDescent="0.35">
      <c r="A722" s="300"/>
      <c r="B722" s="300"/>
      <c r="C722" s="300"/>
      <c r="D722" s="300"/>
      <c r="E722" s="300"/>
      <c r="F722" s="300"/>
      <c r="G722" s="300"/>
      <c r="H722" s="300"/>
      <c r="I722" s="300"/>
      <c r="J722" s="300"/>
      <c r="K722" s="300"/>
      <c r="L722" s="300"/>
      <c r="M722" s="300"/>
      <c r="N722" s="300"/>
      <c r="O722" s="300"/>
      <c r="P722" s="300"/>
      <c r="Q722" s="300"/>
      <c r="R722" s="300"/>
      <c r="S722" s="300"/>
      <c r="T722" s="300"/>
      <c r="U722" s="300"/>
      <c r="V722" s="300"/>
      <c r="W722" s="300"/>
      <c r="X722" s="300"/>
      <c r="Y722" s="300"/>
      <c r="Z722" s="300"/>
      <c r="AA722" s="300"/>
    </row>
    <row r="723" spans="1:27" ht="15.5" x14ac:dyDescent="0.35">
      <c r="A723" s="300"/>
      <c r="B723" s="300"/>
      <c r="C723" s="300"/>
      <c r="D723" s="300"/>
      <c r="E723" s="300"/>
      <c r="F723" s="300"/>
      <c r="G723" s="300"/>
      <c r="H723" s="300"/>
      <c r="I723" s="300"/>
      <c r="J723" s="300"/>
      <c r="K723" s="300"/>
      <c r="L723" s="300"/>
      <c r="M723" s="300"/>
      <c r="N723" s="300"/>
      <c r="O723" s="300"/>
      <c r="P723" s="300"/>
      <c r="Q723" s="300"/>
      <c r="R723" s="300"/>
      <c r="S723" s="300"/>
      <c r="T723" s="300"/>
      <c r="U723" s="300"/>
      <c r="V723" s="300"/>
      <c r="W723" s="300"/>
      <c r="X723" s="300"/>
      <c r="Y723" s="300"/>
      <c r="Z723" s="300"/>
      <c r="AA723" s="300"/>
    </row>
    <row r="724" spans="1:27" ht="15.5" x14ac:dyDescent="0.35">
      <c r="A724" s="300"/>
      <c r="B724" s="300"/>
      <c r="C724" s="300"/>
      <c r="D724" s="300"/>
      <c r="E724" s="300"/>
      <c r="F724" s="300"/>
      <c r="G724" s="300"/>
      <c r="H724" s="300"/>
      <c r="I724" s="300"/>
      <c r="J724" s="300"/>
      <c r="K724" s="300"/>
      <c r="L724" s="300"/>
      <c r="M724" s="300"/>
      <c r="N724" s="300"/>
      <c r="O724" s="300"/>
      <c r="P724" s="300"/>
      <c r="Q724" s="300"/>
      <c r="R724" s="300"/>
      <c r="S724" s="300"/>
      <c r="T724" s="300"/>
      <c r="U724" s="300"/>
      <c r="V724" s="300"/>
      <c r="W724" s="300"/>
      <c r="X724" s="300"/>
      <c r="Y724" s="300"/>
      <c r="Z724" s="300"/>
      <c r="AA724" s="300"/>
    </row>
    <row r="725" spans="1:27" ht="15.5" x14ac:dyDescent="0.35">
      <c r="A725" s="300"/>
      <c r="B725" s="300"/>
      <c r="C725" s="300"/>
      <c r="D725" s="300"/>
      <c r="E725" s="300"/>
      <c r="F725" s="300"/>
      <c r="G725" s="300"/>
      <c r="H725" s="300"/>
      <c r="I725" s="300"/>
      <c r="J725" s="300"/>
      <c r="K725" s="300"/>
      <c r="L725" s="300"/>
      <c r="M725" s="300"/>
      <c r="N725" s="300"/>
      <c r="O725" s="300"/>
      <c r="P725" s="300"/>
      <c r="Q725" s="300"/>
      <c r="R725" s="300"/>
      <c r="S725" s="300"/>
      <c r="T725" s="300"/>
      <c r="U725" s="300"/>
      <c r="V725" s="300"/>
      <c r="W725" s="300"/>
      <c r="X725" s="300"/>
      <c r="Y725" s="300"/>
      <c r="Z725" s="300"/>
      <c r="AA725" s="300"/>
    </row>
    <row r="726" spans="1:27" ht="15.5" x14ac:dyDescent="0.35">
      <c r="A726" s="300"/>
      <c r="B726" s="300"/>
      <c r="C726" s="300"/>
      <c r="D726" s="300"/>
      <c r="E726" s="300"/>
      <c r="F726" s="300"/>
      <c r="G726" s="300"/>
      <c r="H726" s="300"/>
      <c r="I726" s="300"/>
      <c r="J726" s="300"/>
      <c r="K726" s="300"/>
      <c r="L726" s="300"/>
      <c r="M726" s="300"/>
      <c r="N726" s="300"/>
      <c r="O726" s="300"/>
      <c r="P726" s="300"/>
      <c r="Q726" s="300"/>
      <c r="R726" s="300"/>
      <c r="S726" s="300"/>
      <c r="T726" s="300"/>
      <c r="U726" s="300"/>
      <c r="V726" s="300"/>
      <c r="W726" s="300"/>
      <c r="X726" s="300"/>
      <c r="Y726" s="300"/>
      <c r="Z726" s="300"/>
      <c r="AA726" s="300"/>
    </row>
    <row r="727" spans="1:27" ht="15.5" x14ac:dyDescent="0.35">
      <c r="A727" s="300"/>
      <c r="B727" s="300"/>
      <c r="C727" s="300"/>
      <c r="D727" s="300"/>
      <c r="E727" s="300"/>
      <c r="F727" s="300"/>
      <c r="G727" s="300"/>
      <c r="H727" s="300"/>
      <c r="I727" s="300"/>
      <c r="J727" s="300"/>
      <c r="K727" s="300"/>
      <c r="L727" s="300"/>
      <c r="M727" s="300"/>
      <c r="N727" s="300"/>
      <c r="O727" s="300"/>
      <c r="P727" s="300"/>
      <c r="Q727" s="300"/>
      <c r="R727" s="300"/>
      <c r="S727" s="300"/>
      <c r="T727" s="300"/>
      <c r="U727" s="300"/>
      <c r="V727" s="300"/>
      <c r="W727" s="300"/>
      <c r="X727" s="300"/>
      <c r="Y727" s="300"/>
      <c r="Z727" s="300"/>
      <c r="AA727" s="300"/>
    </row>
    <row r="728" spans="1:27" ht="15.5" x14ac:dyDescent="0.35">
      <c r="A728" s="300"/>
      <c r="B728" s="300"/>
      <c r="C728" s="300"/>
      <c r="D728" s="300"/>
      <c r="E728" s="300"/>
      <c r="F728" s="300"/>
      <c r="G728" s="300"/>
      <c r="H728" s="300"/>
      <c r="I728" s="300"/>
      <c r="J728" s="300"/>
      <c r="K728" s="300"/>
      <c r="L728" s="300"/>
      <c r="M728" s="300"/>
      <c r="N728" s="300"/>
      <c r="O728" s="300"/>
      <c r="P728" s="300"/>
      <c r="Q728" s="300"/>
      <c r="R728" s="300"/>
      <c r="S728" s="300"/>
      <c r="T728" s="300"/>
      <c r="U728" s="300"/>
      <c r="V728" s="300"/>
      <c r="W728" s="300"/>
      <c r="X728" s="300"/>
      <c r="Y728" s="300"/>
      <c r="Z728" s="300"/>
      <c r="AA728" s="300"/>
    </row>
    <row r="729" spans="1:27" ht="15.5" x14ac:dyDescent="0.35">
      <c r="A729" s="300"/>
      <c r="B729" s="300"/>
      <c r="C729" s="300"/>
      <c r="D729" s="300"/>
      <c r="E729" s="300"/>
      <c r="F729" s="300"/>
      <c r="G729" s="300"/>
      <c r="H729" s="300"/>
      <c r="I729" s="300"/>
      <c r="J729" s="300"/>
      <c r="K729" s="300"/>
      <c r="L729" s="300"/>
      <c r="M729" s="300"/>
      <c r="N729" s="300"/>
      <c r="O729" s="300"/>
      <c r="P729" s="300"/>
      <c r="Q729" s="300"/>
      <c r="R729" s="300"/>
      <c r="S729" s="300"/>
      <c r="T729" s="300"/>
      <c r="U729" s="300"/>
      <c r="V729" s="300"/>
      <c r="W729" s="300"/>
      <c r="X729" s="300"/>
      <c r="Y729" s="300"/>
      <c r="Z729" s="300"/>
      <c r="AA729" s="300"/>
    </row>
    <row r="730" spans="1:27" ht="15.5" x14ac:dyDescent="0.35">
      <c r="A730" s="300"/>
      <c r="B730" s="300"/>
      <c r="C730" s="300"/>
      <c r="D730" s="300"/>
      <c r="E730" s="300"/>
      <c r="F730" s="300"/>
      <c r="G730" s="300"/>
      <c r="H730" s="300"/>
      <c r="I730" s="300"/>
      <c r="J730" s="300"/>
      <c r="K730" s="300"/>
      <c r="L730" s="300"/>
      <c r="M730" s="300"/>
      <c r="N730" s="300"/>
      <c r="O730" s="300"/>
      <c r="P730" s="300"/>
      <c r="Q730" s="300"/>
      <c r="R730" s="300"/>
      <c r="S730" s="300"/>
      <c r="T730" s="300"/>
      <c r="U730" s="300"/>
      <c r="V730" s="300"/>
      <c r="W730" s="300"/>
      <c r="X730" s="300"/>
      <c r="Y730" s="300"/>
      <c r="Z730" s="300"/>
      <c r="AA730" s="300"/>
    </row>
    <row r="731" spans="1:27" ht="15.5" x14ac:dyDescent="0.35">
      <c r="A731" s="300"/>
      <c r="B731" s="300"/>
      <c r="C731" s="300"/>
      <c r="D731" s="300"/>
      <c r="E731" s="300"/>
      <c r="F731" s="300"/>
      <c r="G731" s="300"/>
      <c r="H731" s="300"/>
      <c r="I731" s="300"/>
      <c r="J731" s="300"/>
      <c r="K731" s="300"/>
      <c r="L731" s="300"/>
      <c r="M731" s="300"/>
      <c r="N731" s="300"/>
      <c r="O731" s="300"/>
      <c r="P731" s="300"/>
      <c r="Q731" s="300"/>
      <c r="R731" s="300"/>
      <c r="S731" s="300"/>
      <c r="T731" s="300"/>
      <c r="U731" s="300"/>
      <c r="V731" s="300"/>
      <c r="W731" s="300"/>
      <c r="X731" s="300"/>
      <c r="Y731" s="300"/>
      <c r="Z731" s="300"/>
      <c r="AA731" s="300"/>
    </row>
    <row r="732" spans="1:27" ht="15.5" x14ac:dyDescent="0.35">
      <c r="A732" s="300"/>
      <c r="B732" s="300"/>
      <c r="C732" s="300"/>
      <c r="D732" s="300"/>
      <c r="E732" s="300"/>
      <c r="F732" s="300"/>
      <c r="G732" s="300"/>
      <c r="H732" s="300"/>
      <c r="I732" s="300"/>
      <c r="J732" s="300"/>
      <c r="K732" s="300"/>
      <c r="L732" s="300"/>
      <c r="M732" s="300"/>
      <c r="N732" s="300"/>
      <c r="O732" s="300"/>
      <c r="P732" s="300"/>
      <c r="Q732" s="300"/>
      <c r="R732" s="300"/>
      <c r="S732" s="300"/>
      <c r="T732" s="300"/>
      <c r="U732" s="300"/>
      <c r="V732" s="300"/>
      <c r="W732" s="300"/>
      <c r="X732" s="300"/>
      <c r="Y732" s="300"/>
      <c r="Z732" s="300"/>
      <c r="AA732" s="300"/>
    </row>
    <row r="733" spans="1:27" ht="15.5" x14ac:dyDescent="0.35">
      <c r="A733" s="300"/>
      <c r="B733" s="300"/>
      <c r="C733" s="300"/>
      <c r="D733" s="300"/>
      <c r="E733" s="300"/>
      <c r="F733" s="300"/>
      <c r="G733" s="300"/>
      <c r="H733" s="300"/>
      <c r="I733" s="300"/>
      <c r="J733" s="300"/>
      <c r="K733" s="300"/>
      <c r="L733" s="300"/>
      <c r="M733" s="300"/>
      <c r="N733" s="300"/>
      <c r="O733" s="300"/>
      <c r="P733" s="300"/>
      <c r="Q733" s="300"/>
      <c r="R733" s="300"/>
      <c r="S733" s="300"/>
      <c r="T733" s="300"/>
      <c r="U733" s="300"/>
      <c r="V733" s="300"/>
      <c r="W733" s="300"/>
      <c r="X733" s="300"/>
      <c r="Y733" s="300"/>
      <c r="Z733" s="300"/>
      <c r="AA733" s="300"/>
    </row>
    <row r="734" spans="1:27" ht="15.5" x14ac:dyDescent="0.35">
      <c r="A734" s="300"/>
      <c r="B734" s="300"/>
      <c r="C734" s="300"/>
      <c r="D734" s="300"/>
      <c r="E734" s="300"/>
      <c r="F734" s="300"/>
      <c r="G734" s="300"/>
      <c r="H734" s="300"/>
      <c r="I734" s="300"/>
      <c r="J734" s="300"/>
      <c r="K734" s="300"/>
      <c r="L734" s="300"/>
      <c r="M734" s="300"/>
      <c r="N734" s="300"/>
      <c r="O734" s="300"/>
      <c r="P734" s="300"/>
      <c r="Q734" s="300"/>
      <c r="R734" s="300"/>
      <c r="S734" s="300"/>
      <c r="T734" s="300"/>
      <c r="U734" s="300"/>
      <c r="V734" s="300"/>
      <c r="W734" s="300"/>
      <c r="X734" s="300"/>
      <c r="Y734" s="300"/>
      <c r="Z734" s="300"/>
      <c r="AA734" s="300"/>
    </row>
    <row r="735" spans="1:27" ht="15.5" x14ac:dyDescent="0.35">
      <c r="A735" s="300"/>
      <c r="B735" s="300"/>
      <c r="C735" s="300"/>
      <c r="D735" s="300"/>
      <c r="E735" s="300"/>
      <c r="F735" s="300"/>
      <c r="G735" s="300"/>
      <c r="H735" s="300"/>
      <c r="I735" s="300"/>
      <c r="J735" s="300"/>
      <c r="K735" s="300"/>
      <c r="L735" s="300"/>
      <c r="M735" s="300"/>
      <c r="N735" s="300"/>
      <c r="O735" s="300"/>
      <c r="P735" s="300"/>
      <c r="Q735" s="300"/>
      <c r="R735" s="300"/>
      <c r="S735" s="300"/>
      <c r="T735" s="300"/>
      <c r="U735" s="300"/>
      <c r="V735" s="300"/>
      <c r="W735" s="300"/>
      <c r="X735" s="300"/>
      <c r="Y735" s="300"/>
      <c r="Z735" s="300"/>
      <c r="AA735" s="300"/>
    </row>
    <row r="736" spans="1:27" ht="15.5" x14ac:dyDescent="0.35">
      <c r="A736" s="300"/>
      <c r="B736" s="300"/>
      <c r="C736" s="300"/>
      <c r="D736" s="300"/>
      <c r="E736" s="300"/>
      <c r="F736" s="300"/>
      <c r="G736" s="300"/>
      <c r="H736" s="300"/>
      <c r="I736" s="300"/>
      <c r="J736" s="300"/>
      <c r="K736" s="300"/>
      <c r="L736" s="300"/>
      <c r="M736" s="300"/>
      <c r="N736" s="300"/>
      <c r="O736" s="300"/>
      <c r="P736" s="300"/>
      <c r="Q736" s="300"/>
      <c r="R736" s="300"/>
      <c r="S736" s="300"/>
      <c r="T736" s="300"/>
      <c r="U736" s="300"/>
      <c r="V736" s="300"/>
      <c r="W736" s="300"/>
      <c r="X736" s="300"/>
      <c r="Y736" s="300"/>
      <c r="Z736" s="300"/>
      <c r="AA736" s="300"/>
    </row>
    <row r="737" spans="1:27" ht="15.5" x14ac:dyDescent="0.35">
      <c r="A737" s="300"/>
      <c r="B737" s="300"/>
      <c r="C737" s="300"/>
      <c r="D737" s="300"/>
      <c r="E737" s="300"/>
      <c r="F737" s="300"/>
      <c r="G737" s="300"/>
      <c r="H737" s="300"/>
      <c r="I737" s="300"/>
      <c r="J737" s="300"/>
      <c r="K737" s="300"/>
      <c r="L737" s="300"/>
      <c r="M737" s="300"/>
      <c r="N737" s="300"/>
      <c r="O737" s="300"/>
      <c r="P737" s="300"/>
      <c r="Q737" s="300"/>
      <c r="R737" s="300"/>
      <c r="S737" s="300"/>
      <c r="T737" s="300"/>
      <c r="U737" s="300"/>
      <c r="V737" s="300"/>
      <c r="W737" s="300"/>
      <c r="X737" s="300"/>
      <c r="Y737" s="300"/>
      <c r="Z737" s="300"/>
      <c r="AA737" s="300"/>
    </row>
    <row r="738" spans="1:27" ht="15.5" x14ac:dyDescent="0.35">
      <c r="A738" s="300"/>
      <c r="B738" s="300"/>
      <c r="C738" s="300"/>
      <c r="D738" s="300"/>
      <c r="E738" s="300"/>
      <c r="F738" s="300"/>
      <c r="G738" s="300"/>
      <c r="H738" s="300"/>
      <c r="I738" s="300"/>
      <c r="J738" s="300"/>
      <c r="K738" s="300"/>
      <c r="L738" s="300"/>
      <c r="M738" s="300"/>
      <c r="N738" s="300"/>
      <c r="O738" s="300"/>
      <c r="P738" s="300"/>
      <c r="Q738" s="300"/>
      <c r="R738" s="300"/>
      <c r="S738" s="300"/>
      <c r="T738" s="300"/>
      <c r="U738" s="300"/>
      <c r="V738" s="300"/>
      <c r="W738" s="300"/>
      <c r="X738" s="300"/>
      <c r="Y738" s="300"/>
      <c r="Z738" s="300"/>
      <c r="AA738" s="300"/>
    </row>
    <row r="739" spans="1:27" ht="15.5" x14ac:dyDescent="0.35">
      <c r="A739" s="300"/>
      <c r="B739" s="300"/>
      <c r="C739" s="300"/>
      <c r="D739" s="300"/>
      <c r="E739" s="300"/>
      <c r="F739" s="300"/>
      <c r="G739" s="300"/>
      <c r="H739" s="300"/>
      <c r="I739" s="300"/>
      <c r="J739" s="300"/>
      <c r="K739" s="300"/>
      <c r="L739" s="300"/>
      <c r="M739" s="300"/>
      <c r="N739" s="300"/>
      <c r="O739" s="300"/>
      <c r="P739" s="300"/>
      <c r="Q739" s="300"/>
      <c r="R739" s="300"/>
      <c r="S739" s="300"/>
      <c r="T739" s="300"/>
      <c r="U739" s="300"/>
      <c r="V739" s="300"/>
      <c r="W739" s="300"/>
      <c r="X739" s="300"/>
      <c r="Y739" s="300"/>
      <c r="Z739" s="300"/>
      <c r="AA739" s="300"/>
    </row>
    <row r="740" spans="1:27" ht="15.5" x14ac:dyDescent="0.35">
      <c r="A740" s="300"/>
      <c r="B740" s="300"/>
      <c r="C740" s="300"/>
      <c r="D740" s="300"/>
      <c r="E740" s="300"/>
      <c r="F740" s="300"/>
      <c r="G740" s="300"/>
      <c r="H740" s="300"/>
      <c r="I740" s="300"/>
      <c r="J740" s="300"/>
      <c r="K740" s="300"/>
      <c r="L740" s="300"/>
      <c r="M740" s="300"/>
      <c r="N740" s="300"/>
      <c r="O740" s="300"/>
      <c r="P740" s="300"/>
      <c r="Q740" s="300"/>
      <c r="R740" s="300"/>
      <c r="S740" s="300"/>
      <c r="T740" s="300"/>
      <c r="U740" s="300"/>
      <c r="V740" s="300"/>
      <c r="W740" s="300"/>
      <c r="X740" s="300"/>
      <c r="Y740" s="300"/>
      <c r="Z740" s="300"/>
      <c r="AA740" s="300"/>
    </row>
    <row r="741" spans="1:27" ht="15.5" x14ac:dyDescent="0.35">
      <c r="A741" s="300"/>
      <c r="B741" s="300"/>
      <c r="C741" s="300"/>
      <c r="D741" s="300"/>
      <c r="E741" s="300"/>
      <c r="F741" s="300"/>
      <c r="G741" s="300"/>
      <c r="H741" s="300"/>
      <c r="I741" s="300"/>
      <c r="J741" s="300"/>
      <c r="K741" s="300"/>
      <c r="L741" s="300"/>
      <c r="M741" s="300"/>
      <c r="N741" s="300"/>
      <c r="O741" s="300"/>
      <c r="P741" s="300"/>
      <c r="Q741" s="300"/>
      <c r="R741" s="300"/>
      <c r="S741" s="300"/>
      <c r="T741" s="300"/>
      <c r="U741" s="300"/>
      <c r="V741" s="300"/>
      <c r="W741" s="300"/>
      <c r="X741" s="300"/>
      <c r="Y741" s="300"/>
      <c r="Z741" s="300"/>
      <c r="AA741" s="300"/>
    </row>
    <row r="742" spans="1:27" ht="15.5" x14ac:dyDescent="0.35">
      <c r="A742" s="300"/>
      <c r="B742" s="300"/>
      <c r="C742" s="300"/>
      <c r="D742" s="300"/>
      <c r="E742" s="300"/>
      <c r="F742" s="300"/>
      <c r="G742" s="300"/>
      <c r="H742" s="300"/>
      <c r="I742" s="300"/>
      <c r="J742" s="300"/>
      <c r="K742" s="300"/>
      <c r="L742" s="300"/>
      <c r="M742" s="300"/>
      <c r="N742" s="300"/>
      <c r="O742" s="300"/>
      <c r="P742" s="300"/>
      <c r="Q742" s="300"/>
      <c r="R742" s="300"/>
      <c r="S742" s="300"/>
      <c r="T742" s="300"/>
      <c r="U742" s="300"/>
      <c r="V742" s="300"/>
      <c r="W742" s="300"/>
      <c r="X742" s="300"/>
      <c r="Y742" s="300"/>
      <c r="Z742" s="300"/>
      <c r="AA742" s="300"/>
    </row>
    <row r="743" spans="1:27" ht="15.5" x14ac:dyDescent="0.35">
      <c r="A743" s="300"/>
      <c r="B743" s="300"/>
      <c r="C743" s="300"/>
      <c r="D743" s="300"/>
      <c r="E743" s="300"/>
      <c r="F743" s="300"/>
      <c r="G743" s="300"/>
      <c r="H743" s="300"/>
      <c r="I743" s="300"/>
      <c r="J743" s="300"/>
      <c r="K743" s="300"/>
      <c r="L743" s="300"/>
      <c r="M743" s="300"/>
      <c r="N743" s="300"/>
      <c r="O743" s="300"/>
      <c r="P743" s="300"/>
      <c r="Q743" s="300"/>
      <c r="R743" s="300"/>
      <c r="S743" s="300"/>
      <c r="T743" s="300"/>
      <c r="U743" s="300"/>
      <c r="V743" s="300"/>
      <c r="W743" s="300"/>
      <c r="X743" s="300"/>
      <c r="Y743" s="300"/>
      <c r="Z743" s="300"/>
      <c r="AA743" s="300"/>
    </row>
    <row r="744" spans="1:27" ht="15.5" x14ac:dyDescent="0.35">
      <c r="A744" s="300"/>
      <c r="B744" s="300"/>
      <c r="C744" s="300"/>
      <c r="D744" s="300"/>
      <c r="E744" s="300"/>
      <c r="F744" s="300"/>
      <c r="G744" s="300"/>
      <c r="H744" s="300"/>
      <c r="I744" s="300"/>
      <c r="J744" s="300"/>
      <c r="K744" s="300"/>
      <c r="L744" s="300"/>
      <c r="M744" s="300"/>
      <c r="N744" s="300"/>
      <c r="O744" s="300"/>
      <c r="P744" s="300"/>
      <c r="Q744" s="300"/>
      <c r="R744" s="300"/>
      <c r="S744" s="300"/>
      <c r="T744" s="300"/>
      <c r="U744" s="300"/>
      <c r="V744" s="300"/>
      <c r="W744" s="300"/>
      <c r="X744" s="300"/>
      <c r="Y744" s="300"/>
      <c r="Z744" s="300"/>
      <c r="AA744" s="300"/>
    </row>
    <row r="745" spans="1:27" ht="15.5" x14ac:dyDescent="0.35">
      <c r="A745" s="300"/>
      <c r="B745" s="300"/>
      <c r="C745" s="300"/>
      <c r="D745" s="300"/>
      <c r="E745" s="300"/>
      <c r="F745" s="300"/>
      <c r="G745" s="300"/>
      <c r="H745" s="300"/>
      <c r="I745" s="300"/>
      <c r="J745" s="300"/>
      <c r="K745" s="300"/>
      <c r="L745" s="300"/>
      <c r="M745" s="300"/>
      <c r="N745" s="300"/>
      <c r="O745" s="300"/>
      <c r="P745" s="300"/>
      <c r="Q745" s="300"/>
      <c r="R745" s="300"/>
      <c r="S745" s="300"/>
      <c r="T745" s="300"/>
      <c r="U745" s="300"/>
      <c r="V745" s="300"/>
      <c r="W745" s="300"/>
      <c r="X745" s="300"/>
      <c r="Y745" s="300"/>
      <c r="Z745" s="300"/>
      <c r="AA745" s="300"/>
    </row>
    <row r="746" spans="1:27" ht="15.5" x14ac:dyDescent="0.35">
      <c r="A746" s="300"/>
      <c r="B746" s="300"/>
      <c r="C746" s="300"/>
      <c r="D746" s="300"/>
      <c r="E746" s="300"/>
      <c r="F746" s="300"/>
      <c r="G746" s="300"/>
      <c r="H746" s="300"/>
      <c r="I746" s="300"/>
      <c r="J746" s="300"/>
      <c r="K746" s="300"/>
      <c r="L746" s="300"/>
      <c r="M746" s="300"/>
      <c r="N746" s="300"/>
      <c r="O746" s="300"/>
      <c r="P746" s="300"/>
      <c r="Q746" s="300"/>
      <c r="R746" s="300"/>
      <c r="S746" s="300"/>
      <c r="T746" s="300"/>
      <c r="U746" s="300"/>
      <c r="V746" s="300"/>
      <c r="W746" s="300"/>
      <c r="X746" s="300"/>
      <c r="Y746" s="300"/>
      <c r="Z746" s="300"/>
      <c r="AA746" s="300"/>
    </row>
    <row r="747" spans="1:27" ht="15.5" x14ac:dyDescent="0.35">
      <c r="A747" s="300"/>
      <c r="B747" s="300"/>
      <c r="C747" s="300"/>
      <c r="D747" s="300"/>
      <c r="E747" s="300"/>
      <c r="F747" s="300"/>
      <c r="G747" s="300"/>
      <c r="H747" s="300"/>
      <c r="I747" s="300"/>
      <c r="J747" s="300"/>
      <c r="K747" s="300"/>
      <c r="L747" s="300"/>
      <c r="M747" s="300"/>
      <c r="N747" s="300"/>
      <c r="O747" s="300"/>
      <c r="P747" s="300"/>
      <c r="Q747" s="300"/>
      <c r="R747" s="300"/>
      <c r="S747" s="300"/>
      <c r="T747" s="300"/>
      <c r="U747" s="300"/>
      <c r="V747" s="300"/>
      <c r="W747" s="300"/>
      <c r="X747" s="300"/>
      <c r="Y747" s="300"/>
      <c r="Z747" s="300"/>
      <c r="AA747" s="300"/>
    </row>
    <row r="748" spans="1:27" ht="15.5" x14ac:dyDescent="0.35">
      <c r="A748" s="300"/>
      <c r="B748" s="300"/>
      <c r="C748" s="300"/>
      <c r="D748" s="300"/>
      <c r="E748" s="300"/>
      <c r="F748" s="300"/>
      <c r="G748" s="300"/>
      <c r="H748" s="300"/>
      <c r="I748" s="300"/>
      <c r="J748" s="300"/>
      <c r="K748" s="300"/>
      <c r="L748" s="300"/>
      <c r="M748" s="300"/>
      <c r="N748" s="300"/>
      <c r="O748" s="300"/>
      <c r="P748" s="300"/>
      <c r="Q748" s="300"/>
      <c r="R748" s="300"/>
      <c r="S748" s="300"/>
      <c r="T748" s="300"/>
      <c r="U748" s="300"/>
      <c r="V748" s="300"/>
      <c r="W748" s="300"/>
      <c r="X748" s="300"/>
      <c r="Y748" s="300"/>
      <c r="Z748" s="300"/>
      <c r="AA748" s="300"/>
    </row>
    <row r="749" spans="1:27" ht="15.5" x14ac:dyDescent="0.35">
      <c r="A749" s="300"/>
      <c r="B749" s="300"/>
      <c r="C749" s="300"/>
      <c r="D749" s="300"/>
      <c r="E749" s="300"/>
      <c r="F749" s="300"/>
      <c r="G749" s="300"/>
      <c r="H749" s="300"/>
      <c r="I749" s="300"/>
      <c r="J749" s="300"/>
      <c r="K749" s="300"/>
      <c r="L749" s="300"/>
      <c r="M749" s="300"/>
      <c r="N749" s="300"/>
      <c r="O749" s="300"/>
      <c r="P749" s="300"/>
      <c r="Q749" s="300"/>
      <c r="R749" s="300"/>
      <c r="S749" s="300"/>
      <c r="T749" s="300"/>
      <c r="U749" s="300"/>
      <c r="V749" s="300"/>
      <c r="W749" s="300"/>
      <c r="X749" s="300"/>
      <c r="Y749" s="300"/>
      <c r="Z749" s="300"/>
      <c r="AA749" s="300"/>
    </row>
    <row r="750" spans="1:27" ht="15.5" x14ac:dyDescent="0.35">
      <c r="A750" s="300"/>
      <c r="B750" s="300"/>
      <c r="C750" s="300"/>
      <c r="D750" s="300"/>
      <c r="E750" s="300"/>
      <c r="F750" s="300"/>
      <c r="G750" s="300"/>
      <c r="H750" s="300"/>
      <c r="I750" s="300"/>
      <c r="J750" s="300"/>
      <c r="K750" s="300"/>
      <c r="L750" s="300"/>
      <c r="M750" s="300"/>
      <c r="N750" s="300"/>
      <c r="O750" s="300"/>
      <c r="P750" s="300"/>
      <c r="Q750" s="300"/>
      <c r="R750" s="300"/>
      <c r="S750" s="300"/>
      <c r="T750" s="300"/>
      <c r="U750" s="300"/>
      <c r="V750" s="300"/>
      <c r="W750" s="300"/>
      <c r="X750" s="300"/>
      <c r="Y750" s="300"/>
      <c r="Z750" s="300"/>
      <c r="AA750" s="300"/>
    </row>
    <row r="751" spans="1:27" ht="15.5" x14ac:dyDescent="0.35">
      <c r="A751" s="300"/>
      <c r="B751" s="300"/>
      <c r="C751" s="300"/>
      <c r="D751" s="300"/>
      <c r="E751" s="300"/>
      <c r="F751" s="300"/>
      <c r="G751" s="300"/>
      <c r="H751" s="300"/>
      <c r="I751" s="300"/>
      <c r="J751" s="300"/>
      <c r="K751" s="300"/>
      <c r="L751" s="300"/>
      <c r="M751" s="300"/>
      <c r="N751" s="300"/>
      <c r="O751" s="300"/>
      <c r="P751" s="300"/>
      <c r="Q751" s="300"/>
      <c r="R751" s="300"/>
      <c r="S751" s="300"/>
      <c r="T751" s="300"/>
      <c r="U751" s="300"/>
      <c r="V751" s="300"/>
      <c r="W751" s="300"/>
      <c r="X751" s="300"/>
      <c r="Y751" s="300"/>
      <c r="Z751" s="300"/>
      <c r="AA751" s="300"/>
    </row>
    <row r="752" spans="1:27" ht="15.5" x14ac:dyDescent="0.35">
      <c r="A752" s="300"/>
      <c r="B752" s="300"/>
      <c r="C752" s="300"/>
      <c r="D752" s="300"/>
      <c r="E752" s="300"/>
      <c r="F752" s="300"/>
      <c r="G752" s="300"/>
      <c r="H752" s="300"/>
      <c r="I752" s="300"/>
      <c r="J752" s="300"/>
      <c r="K752" s="300"/>
      <c r="L752" s="300"/>
      <c r="M752" s="300"/>
      <c r="N752" s="300"/>
      <c r="O752" s="300"/>
      <c r="P752" s="300"/>
      <c r="Q752" s="300"/>
      <c r="R752" s="300"/>
      <c r="S752" s="300"/>
      <c r="T752" s="300"/>
      <c r="U752" s="300"/>
      <c r="V752" s="300"/>
      <c r="W752" s="300"/>
      <c r="X752" s="300"/>
      <c r="Y752" s="300"/>
      <c r="Z752" s="300"/>
      <c r="AA752" s="300"/>
    </row>
    <row r="753" spans="1:27" ht="15.5" x14ac:dyDescent="0.35">
      <c r="A753" s="300"/>
      <c r="B753" s="300"/>
      <c r="C753" s="300"/>
      <c r="D753" s="300"/>
      <c r="E753" s="300"/>
      <c r="F753" s="300"/>
      <c r="G753" s="300"/>
      <c r="H753" s="300"/>
      <c r="I753" s="300"/>
      <c r="J753" s="300"/>
      <c r="K753" s="300"/>
      <c r="L753" s="300"/>
      <c r="M753" s="300"/>
      <c r="N753" s="300"/>
      <c r="O753" s="300"/>
      <c r="P753" s="300"/>
      <c r="Q753" s="300"/>
      <c r="R753" s="300"/>
      <c r="S753" s="300"/>
      <c r="T753" s="300"/>
      <c r="U753" s="300"/>
      <c r="V753" s="300"/>
      <c r="W753" s="300"/>
      <c r="X753" s="300"/>
      <c r="Y753" s="300"/>
      <c r="Z753" s="300"/>
      <c r="AA753" s="300"/>
    </row>
    <row r="754" spans="1:27" ht="15.5" x14ac:dyDescent="0.35">
      <c r="A754" s="300"/>
      <c r="B754" s="300"/>
      <c r="C754" s="300"/>
      <c r="D754" s="300"/>
      <c r="E754" s="300"/>
      <c r="F754" s="300"/>
      <c r="G754" s="300"/>
      <c r="H754" s="300"/>
      <c r="I754" s="300"/>
      <c r="J754" s="300"/>
      <c r="K754" s="300"/>
      <c r="L754" s="300"/>
      <c r="M754" s="300"/>
      <c r="N754" s="300"/>
      <c r="O754" s="300"/>
      <c r="P754" s="300"/>
      <c r="Q754" s="300"/>
      <c r="R754" s="300"/>
      <c r="S754" s="300"/>
      <c r="T754" s="300"/>
      <c r="U754" s="300"/>
      <c r="V754" s="300"/>
      <c r="W754" s="300"/>
      <c r="X754" s="300"/>
      <c r="Y754" s="300"/>
      <c r="Z754" s="300"/>
      <c r="AA754" s="300"/>
    </row>
    <row r="755" spans="1:27" ht="15.5" x14ac:dyDescent="0.35">
      <c r="A755" s="300"/>
      <c r="B755" s="300"/>
      <c r="C755" s="300"/>
      <c r="D755" s="300"/>
      <c r="E755" s="300"/>
      <c r="F755" s="300"/>
      <c r="G755" s="300"/>
      <c r="H755" s="300"/>
      <c r="I755" s="300"/>
      <c r="J755" s="300"/>
      <c r="K755" s="300"/>
      <c r="L755" s="300"/>
      <c r="M755" s="300"/>
      <c r="N755" s="300"/>
      <c r="O755" s="300"/>
      <c r="P755" s="300"/>
      <c r="Q755" s="300"/>
      <c r="R755" s="300"/>
      <c r="S755" s="300"/>
      <c r="T755" s="300"/>
      <c r="U755" s="300"/>
      <c r="V755" s="300"/>
      <c r="W755" s="300"/>
      <c r="X755" s="300"/>
      <c r="Y755" s="300"/>
      <c r="Z755" s="300"/>
      <c r="AA755" s="300"/>
    </row>
    <row r="756" spans="1:27" ht="15.5" x14ac:dyDescent="0.35">
      <c r="A756" s="300"/>
      <c r="B756" s="300"/>
      <c r="C756" s="300"/>
      <c r="D756" s="300"/>
      <c r="E756" s="300"/>
      <c r="F756" s="300"/>
      <c r="G756" s="300"/>
      <c r="H756" s="300"/>
      <c r="I756" s="300"/>
      <c r="J756" s="300"/>
      <c r="K756" s="300"/>
      <c r="L756" s="300"/>
      <c r="M756" s="300"/>
      <c r="N756" s="300"/>
      <c r="O756" s="300"/>
      <c r="P756" s="300"/>
      <c r="Q756" s="300"/>
      <c r="R756" s="300"/>
      <c r="S756" s="300"/>
      <c r="T756" s="300"/>
      <c r="U756" s="300"/>
      <c r="V756" s="300"/>
      <c r="W756" s="300"/>
      <c r="X756" s="300"/>
      <c r="Y756" s="300"/>
      <c r="Z756" s="300"/>
      <c r="AA756" s="300"/>
    </row>
    <row r="757" spans="1:27" ht="15.5" x14ac:dyDescent="0.35">
      <c r="A757" s="300"/>
      <c r="B757" s="300"/>
      <c r="C757" s="300"/>
      <c r="D757" s="300"/>
      <c r="E757" s="300"/>
      <c r="F757" s="300"/>
      <c r="G757" s="300"/>
      <c r="H757" s="300"/>
      <c r="I757" s="300"/>
      <c r="J757" s="300"/>
      <c r="K757" s="300"/>
      <c r="L757" s="300"/>
      <c r="M757" s="300"/>
      <c r="N757" s="300"/>
      <c r="O757" s="300"/>
      <c r="P757" s="300"/>
      <c r="Q757" s="300"/>
      <c r="R757" s="300"/>
      <c r="S757" s="300"/>
      <c r="T757" s="300"/>
      <c r="U757" s="300"/>
      <c r="V757" s="300"/>
      <c r="W757" s="300"/>
      <c r="X757" s="300"/>
      <c r="Y757" s="300"/>
      <c r="Z757" s="300"/>
      <c r="AA757" s="300"/>
    </row>
    <row r="758" spans="1:27" ht="15.5" x14ac:dyDescent="0.35">
      <c r="A758" s="300"/>
      <c r="B758" s="300"/>
      <c r="C758" s="300"/>
      <c r="D758" s="300"/>
      <c r="E758" s="300"/>
      <c r="F758" s="300"/>
      <c r="G758" s="300"/>
      <c r="H758" s="300"/>
      <c r="I758" s="300"/>
      <c r="J758" s="300"/>
      <c r="K758" s="300"/>
      <c r="L758" s="300"/>
      <c r="M758" s="300"/>
      <c r="N758" s="300"/>
      <c r="O758" s="300"/>
      <c r="P758" s="300"/>
      <c r="Q758" s="300"/>
      <c r="R758" s="300"/>
      <c r="S758" s="300"/>
      <c r="T758" s="300"/>
      <c r="U758" s="300"/>
      <c r="V758" s="300"/>
      <c r="W758" s="300"/>
      <c r="X758" s="300"/>
      <c r="Y758" s="300"/>
      <c r="Z758" s="300"/>
      <c r="AA758" s="300"/>
    </row>
    <row r="759" spans="1:27" ht="15.5" x14ac:dyDescent="0.35">
      <c r="A759" s="300"/>
      <c r="B759" s="300"/>
      <c r="C759" s="300"/>
      <c r="D759" s="300"/>
      <c r="E759" s="300"/>
      <c r="F759" s="300"/>
      <c r="G759" s="300"/>
      <c r="H759" s="300"/>
      <c r="I759" s="300"/>
      <c r="J759" s="300"/>
      <c r="K759" s="300"/>
      <c r="L759" s="300"/>
      <c r="M759" s="300"/>
      <c r="N759" s="300"/>
      <c r="O759" s="300"/>
      <c r="P759" s="300"/>
      <c r="Q759" s="300"/>
      <c r="R759" s="300"/>
      <c r="S759" s="300"/>
      <c r="T759" s="300"/>
      <c r="U759" s="300"/>
      <c r="V759" s="300"/>
      <c r="W759" s="300"/>
      <c r="X759" s="300"/>
      <c r="Y759" s="300"/>
      <c r="Z759" s="300"/>
      <c r="AA759" s="300"/>
    </row>
    <row r="760" spans="1:27" ht="15.5" x14ac:dyDescent="0.35">
      <c r="A760" s="300"/>
      <c r="B760" s="300"/>
      <c r="C760" s="300"/>
      <c r="D760" s="300"/>
      <c r="E760" s="300"/>
      <c r="F760" s="300"/>
      <c r="G760" s="300"/>
      <c r="H760" s="300"/>
      <c r="I760" s="300"/>
      <c r="J760" s="300"/>
      <c r="K760" s="300"/>
      <c r="L760" s="300"/>
      <c r="M760" s="300"/>
      <c r="N760" s="300"/>
      <c r="O760" s="300"/>
      <c r="P760" s="300"/>
      <c r="Q760" s="300"/>
      <c r="R760" s="300"/>
      <c r="S760" s="300"/>
      <c r="T760" s="300"/>
      <c r="U760" s="300"/>
      <c r="V760" s="300"/>
      <c r="W760" s="300"/>
      <c r="X760" s="300"/>
      <c r="Y760" s="300"/>
      <c r="Z760" s="300"/>
      <c r="AA760" s="300"/>
    </row>
    <row r="761" spans="1:27" ht="15.5" x14ac:dyDescent="0.35">
      <c r="A761" s="300"/>
      <c r="B761" s="300"/>
      <c r="C761" s="300"/>
      <c r="D761" s="300"/>
      <c r="E761" s="300"/>
      <c r="F761" s="300"/>
      <c r="G761" s="300"/>
      <c r="H761" s="300"/>
      <c r="I761" s="300"/>
      <c r="J761" s="300"/>
      <c r="K761" s="300"/>
      <c r="L761" s="300"/>
      <c r="M761" s="300"/>
      <c r="N761" s="300"/>
      <c r="O761" s="300"/>
      <c r="P761" s="300"/>
      <c r="Q761" s="300"/>
      <c r="R761" s="300"/>
      <c r="S761" s="300"/>
      <c r="T761" s="300"/>
      <c r="U761" s="300"/>
      <c r="V761" s="300"/>
      <c r="W761" s="300"/>
      <c r="X761" s="300"/>
      <c r="Y761" s="300"/>
      <c r="Z761" s="300"/>
      <c r="AA761" s="300"/>
    </row>
    <row r="762" spans="1:27" ht="15.5" x14ac:dyDescent="0.35">
      <c r="A762" s="300"/>
      <c r="B762" s="300"/>
      <c r="C762" s="300"/>
      <c r="D762" s="300"/>
      <c r="E762" s="300"/>
      <c r="F762" s="300"/>
      <c r="G762" s="300"/>
      <c r="H762" s="300"/>
      <c r="I762" s="300"/>
      <c r="J762" s="300"/>
      <c r="K762" s="300"/>
      <c r="L762" s="300"/>
      <c r="M762" s="300"/>
      <c r="N762" s="300"/>
      <c r="O762" s="300"/>
      <c r="P762" s="300"/>
      <c r="Q762" s="300"/>
      <c r="R762" s="300"/>
      <c r="S762" s="300"/>
      <c r="T762" s="300"/>
      <c r="U762" s="300"/>
      <c r="V762" s="300"/>
      <c r="W762" s="300"/>
      <c r="X762" s="300"/>
      <c r="Y762" s="300"/>
      <c r="Z762" s="300"/>
      <c r="AA762" s="300"/>
    </row>
    <row r="763" spans="1:27" ht="15.5" x14ac:dyDescent="0.35">
      <c r="A763" s="300"/>
      <c r="B763" s="300"/>
      <c r="C763" s="300"/>
      <c r="D763" s="300"/>
      <c r="E763" s="300"/>
      <c r="F763" s="300"/>
      <c r="G763" s="300"/>
      <c r="H763" s="300"/>
      <c r="I763" s="300"/>
      <c r="J763" s="300"/>
      <c r="K763" s="300"/>
      <c r="L763" s="300"/>
      <c r="M763" s="300"/>
      <c r="N763" s="300"/>
      <c r="O763" s="300"/>
      <c r="P763" s="300"/>
      <c r="Q763" s="300"/>
      <c r="R763" s="300"/>
      <c r="S763" s="300"/>
      <c r="T763" s="300"/>
      <c r="U763" s="300"/>
      <c r="V763" s="300"/>
      <c r="W763" s="300"/>
      <c r="X763" s="300"/>
      <c r="Y763" s="300"/>
      <c r="Z763" s="300"/>
      <c r="AA763" s="300"/>
    </row>
    <row r="764" spans="1:27" ht="15.5" x14ac:dyDescent="0.35">
      <c r="A764" s="300"/>
      <c r="B764" s="300"/>
      <c r="C764" s="300"/>
      <c r="D764" s="300"/>
      <c r="E764" s="300"/>
      <c r="F764" s="300"/>
      <c r="G764" s="300"/>
      <c r="H764" s="300"/>
      <c r="I764" s="300"/>
      <c r="J764" s="300"/>
      <c r="K764" s="300"/>
      <c r="L764" s="300"/>
      <c r="M764" s="300"/>
      <c r="N764" s="300"/>
      <c r="O764" s="300"/>
      <c r="P764" s="300"/>
      <c r="Q764" s="300"/>
      <c r="R764" s="300"/>
      <c r="S764" s="300"/>
      <c r="T764" s="300"/>
      <c r="U764" s="300"/>
      <c r="V764" s="300"/>
      <c r="W764" s="300"/>
      <c r="X764" s="300"/>
      <c r="Y764" s="300"/>
      <c r="Z764" s="300"/>
      <c r="AA764" s="300"/>
    </row>
    <row r="765" spans="1:27" ht="15.5" x14ac:dyDescent="0.35">
      <c r="A765" s="300"/>
      <c r="B765" s="300"/>
      <c r="C765" s="300"/>
      <c r="D765" s="300"/>
      <c r="E765" s="300"/>
      <c r="F765" s="300"/>
      <c r="G765" s="300"/>
      <c r="H765" s="300"/>
      <c r="I765" s="300"/>
      <c r="J765" s="300"/>
      <c r="K765" s="300"/>
      <c r="L765" s="300"/>
      <c r="M765" s="300"/>
      <c r="N765" s="300"/>
      <c r="O765" s="300"/>
      <c r="P765" s="300"/>
      <c r="Q765" s="300"/>
      <c r="R765" s="300"/>
      <c r="S765" s="300"/>
      <c r="T765" s="300"/>
      <c r="U765" s="300"/>
      <c r="V765" s="300"/>
      <c r="W765" s="300"/>
      <c r="X765" s="300"/>
      <c r="Y765" s="300"/>
      <c r="Z765" s="300"/>
      <c r="AA765" s="300"/>
    </row>
    <row r="766" spans="1:27" ht="15.5" x14ac:dyDescent="0.35">
      <c r="A766" s="300"/>
      <c r="B766" s="300"/>
      <c r="C766" s="300"/>
      <c r="D766" s="300"/>
      <c r="E766" s="300"/>
      <c r="F766" s="300"/>
      <c r="G766" s="300"/>
      <c r="H766" s="300"/>
      <c r="I766" s="300"/>
      <c r="J766" s="300"/>
      <c r="K766" s="300"/>
      <c r="L766" s="300"/>
      <c r="M766" s="300"/>
      <c r="N766" s="300"/>
      <c r="O766" s="300"/>
      <c r="P766" s="300"/>
      <c r="Q766" s="300"/>
      <c r="R766" s="300"/>
      <c r="S766" s="300"/>
      <c r="T766" s="300"/>
      <c r="U766" s="300"/>
      <c r="V766" s="300"/>
      <c r="W766" s="300"/>
      <c r="X766" s="300"/>
      <c r="Y766" s="300"/>
      <c r="Z766" s="300"/>
      <c r="AA766" s="300"/>
    </row>
    <row r="767" spans="1:27" ht="15.5" x14ac:dyDescent="0.35">
      <c r="A767" s="300"/>
      <c r="B767" s="300"/>
      <c r="C767" s="300"/>
      <c r="D767" s="300"/>
      <c r="E767" s="300"/>
      <c r="F767" s="300"/>
      <c r="G767" s="300"/>
      <c r="H767" s="300"/>
      <c r="I767" s="300"/>
      <c r="J767" s="300"/>
      <c r="K767" s="300"/>
      <c r="L767" s="300"/>
      <c r="M767" s="300"/>
      <c r="N767" s="300"/>
      <c r="O767" s="300"/>
      <c r="P767" s="300"/>
      <c r="Q767" s="300"/>
      <c r="R767" s="300"/>
      <c r="S767" s="300"/>
      <c r="T767" s="300"/>
      <c r="U767" s="300"/>
      <c r="V767" s="300"/>
      <c r="W767" s="300"/>
      <c r="X767" s="300"/>
      <c r="Y767" s="300"/>
      <c r="Z767" s="300"/>
      <c r="AA767" s="300"/>
    </row>
    <row r="768" spans="1:27" ht="15.5" x14ac:dyDescent="0.35">
      <c r="A768" s="300"/>
      <c r="B768" s="300"/>
      <c r="C768" s="300"/>
      <c r="D768" s="300"/>
      <c r="E768" s="300"/>
      <c r="F768" s="300"/>
      <c r="G768" s="300"/>
      <c r="H768" s="300"/>
      <c r="I768" s="300"/>
      <c r="J768" s="300"/>
      <c r="K768" s="300"/>
      <c r="L768" s="300"/>
      <c r="M768" s="300"/>
      <c r="N768" s="300"/>
      <c r="O768" s="300"/>
      <c r="P768" s="300"/>
      <c r="Q768" s="300"/>
      <c r="R768" s="300"/>
      <c r="S768" s="300"/>
      <c r="T768" s="300"/>
      <c r="U768" s="300"/>
      <c r="V768" s="300"/>
      <c r="W768" s="300"/>
      <c r="X768" s="300"/>
      <c r="Y768" s="300"/>
      <c r="Z768" s="300"/>
      <c r="AA768" s="300"/>
    </row>
    <row r="769" spans="1:27" ht="15.5" x14ac:dyDescent="0.35">
      <c r="A769" s="300"/>
      <c r="B769" s="300"/>
      <c r="C769" s="300"/>
      <c r="D769" s="300"/>
      <c r="E769" s="300"/>
      <c r="F769" s="300"/>
      <c r="G769" s="300"/>
      <c r="H769" s="300"/>
      <c r="I769" s="300"/>
      <c r="J769" s="300"/>
      <c r="K769" s="300"/>
      <c r="L769" s="300"/>
      <c r="M769" s="300"/>
      <c r="N769" s="300"/>
      <c r="O769" s="300"/>
      <c r="P769" s="300"/>
      <c r="Q769" s="300"/>
      <c r="R769" s="300"/>
      <c r="S769" s="300"/>
      <c r="T769" s="300"/>
      <c r="U769" s="300"/>
      <c r="V769" s="300"/>
      <c r="W769" s="300"/>
      <c r="X769" s="300"/>
      <c r="Y769" s="300"/>
      <c r="Z769" s="300"/>
      <c r="AA769" s="300"/>
    </row>
    <row r="770" spans="1:27" ht="15.5" x14ac:dyDescent="0.35">
      <c r="A770" s="300"/>
      <c r="B770" s="300"/>
      <c r="C770" s="300"/>
      <c r="D770" s="300"/>
      <c r="E770" s="300"/>
      <c r="F770" s="300"/>
      <c r="G770" s="300"/>
      <c r="H770" s="300"/>
      <c r="I770" s="300"/>
      <c r="J770" s="300"/>
      <c r="K770" s="300"/>
      <c r="L770" s="300"/>
      <c r="M770" s="300"/>
      <c r="N770" s="300"/>
      <c r="O770" s="300"/>
      <c r="P770" s="300"/>
      <c r="Q770" s="300"/>
      <c r="R770" s="300"/>
      <c r="S770" s="300"/>
      <c r="T770" s="300"/>
      <c r="U770" s="300"/>
      <c r="V770" s="300"/>
      <c r="W770" s="300"/>
      <c r="X770" s="300"/>
      <c r="Y770" s="300"/>
      <c r="Z770" s="300"/>
      <c r="AA770" s="300"/>
    </row>
    <row r="771" spans="1:27" ht="15.5" x14ac:dyDescent="0.35">
      <c r="A771" s="300"/>
      <c r="B771" s="300"/>
      <c r="C771" s="300"/>
      <c r="D771" s="300"/>
      <c r="E771" s="300"/>
      <c r="F771" s="300"/>
      <c r="G771" s="300"/>
      <c r="H771" s="300"/>
      <c r="I771" s="300"/>
      <c r="J771" s="300"/>
      <c r="K771" s="300"/>
      <c r="L771" s="300"/>
      <c r="M771" s="300"/>
      <c r="N771" s="300"/>
      <c r="O771" s="300"/>
      <c r="P771" s="300"/>
      <c r="Q771" s="300"/>
      <c r="R771" s="300"/>
      <c r="S771" s="300"/>
      <c r="T771" s="300"/>
      <c r="U771" s="300"/>
      <c r="V771" s="300"/>
      <c r="W771" s="300"/>
      <c r="X771" s="300"/>
      <c r="Y771" s="300"/>
      <c r="Z771" s="300"/>
      <c r="AA771" s="300"/>
    </row>
    <row r="772" spans="1:27" ht="15.5" x14ac:dyDescent="0.35">
      <c r="A772" s="300"/>
      <c r="B772" s="300"/>
      <c r="C772" s="300"/>
      <c r="D772" s="300"/>
      <c r="E772" s="300"/>
      <c r="F772" s="300"/>
      <c r="G772" s="300"/>
      <c r="H772" s="300"/>
      <c r="I772" s="300"/>
      <c r="J772" s="300"/>
      <c r="K772" s="300"/>
      <c r="L772" s="300"/>
      <c r="M772" s="300"/>
      <c r="N772" s="300"/>
      <c r="O772" s="300"/>
      <c r="P772" s="300"/>
      <c r="Q772" s="300"/>
      <c r="R772" s="300"/>
      <c r="S772" s="300"/>
      <c r="T772" s="300"/>
      <c r="U772" s="300"/>
      <c r="V772" s="300"/>
      <c r="W772" s="300"/>
      <c r="X772" s="300"/>
      <c r="Y772" s="300"/>
      <c r="Z772" s="300"/>
      <c r="AA772" s="300"/>
    </row>
    <row r="773" spans="1:27" ht="15.5" x14ac:dyDescent="0.35">
      <c r="A773" s="300"/>
      <c r="B773" s="300"/>
      <c r="C773" s="300"/>
      <c r="D773" s="300"/>
      <c r="E773" s="300"/>
      <c r="F773" s="300"/>
      <c r="G773" s="300"/>
      <c r="H773" s="300"/>
      <c r="I773" s="300"/>
      <c r="J773" s="300"/>
      <c r="K773" s="300"/>
      <c r="L773" s="300"/>
      <c r="M773" s="300"/>
      <c r="N773" s="300"/>
      <c r="O773" s="300"/>
      <c r="P773" s="300"/>
      <c r="Q773" s="300"/>
      <c r="R773" s="300"/>
      <c r="S773" s="300"/>
      <c r="T773" s="300"/>
      <c r="U773" s="300"/>
      <c r="V773" s="300"/>
      <c r="W773" s="300"/>
      <c r="X773" s="300"/>
      <c r="Y773" s="300"/>
      <c r="Z773" s="300"/>
      <c r="AA773" s="300"/>
    </row>
    <row r="774" spans="1:27" ht="15.5" x14ac:dyDescent="0.35">
      <c r="A774" s="300"/>
      <c r="B774" s="300"/>
      <c r="C774" s="300"/>
      <c r="D774" s="300"/>
      <c r="E774" s="300"/>
      <c r="F774" s="300"/>
      <c r="G774" s="300"/>
      <c r="H774" s="300"/>
      <c r="I774" s="300"/>
      <c r="J774" s="300"/>
      <c r="K774" s="300"/>
      <c r="L774" s="300"/>
      <c r="M774" s="300"/>
      <c r="N774" s="300"/>
      <c r="O774" s="300"/>
      <c r="P774" s="300"/>
      <c r="Q774" s="300"/>
      <c r="R774" s="300"/>
      <c r="S774" s="300"/>
      <c r="T774" s="300"/>
      <c r="U774" s="300"/>
      <c r="V774" s="300"/>
      <c r="W774" s="300"/>
      <c r="X774" s="300"/>
      <c r="Y774" s="300"/>
      <c r="Z774" s="300"/>
      <c r="AA774" s="300"/>
    </row>
    <row r="775" spans="1:27" ht="15.5" x14ac:dyDescent="0.35">
      <c r="A775" s="300"/>
      <c r="B775" s="300"/>
      <c r="C775" s="300"/>
      <c r="D775" s="300"/>
      <c r="E775" s="300"/>
      <c r="F775" s="300"/>
      <c r="G775" s="300"/>
      <c r="H775" s="300"/>
      <c r="I775" s="300"/>
      <c r="J775" s="300"/>
      <c r="K775" s="300"/>
      <c r="L775" s="300"/>
      <c r="M775" s="300"/>
      <c r="N775" s="300"/>
      <c r="O775" s="300"/>
      <c r="P775" s="300"/>
      <c r="Q775" s="300"/>
      <c r="R775" s="300"/>
      <c r="S775" s="300"/>
      <c r="T775" s="300"/>
      <c r="U775" s="300"/>
      <c r="V775" s="300"/>
      <c r="W775" s="300"/>
      <c r="X775" s="300"/>
      <c r="Y775" s="300"/>
      <c r="Z775" s="300"/>
      <c r="AA775" s="300"/>
    </row>
    <row r="776" spans="1:27" ht="15.5" x14ac:dyDescent="0.35">
      <c r="A776" s="300"/>
      <c r="B776" s="300"/>
      <c r="C776" s="300"/>
      <c r="D776" s="300"/>
      <c r="E776" s="300"/>
      <c r="F776" s="300"/>
      <c r="G776" s="300"/>
      <c r="H776" s="300"/>
      <c r="I776" s="300"/>
      <c r="J776" s="300"/>
      <c r="K776" s="300"/>
      <c r="L776" s="300"/>
      <c r="M776" s="300"/>
      <c r="N776" s="300"/>
      <c r="O776" s="300"/>
      <c r="P776" s="300"/>
      <c r="Q776" s="300"/>
      <c r="R776" s="300"/>
      <c r="S776" s="300"/>
      <c r="T776" s="300"/>
      <c r="U776" s="300"/>
      <c r="V776" s="300"/>
      <c r="W776" s="300"/>
      <c r="X776" s="300"/>
      <c r="Y776" s="300"/>
      <c r="Z776" s="300"/>
      <c r="AA776" s="300"/>
    </row>
    <row r="777" spans="1:27" ht="15.5" x14ac:dyDescent="0.35">
      <c r="A777" s="300"/>
      <c r="B777" s="300"/>
      <c r="C777" s="300"/>
      <c r="D777" s="300"/>
      <c r="E777" s="300"/>
      <c r="F777" s="300"/>
      <c r="G777" s="300"/>
      <c r="H777" s="300"/>
      <c r="I777" s="300"/>
      <c r="J777" s="300"/>
      <c r="K777" s="300"/>
      <c r="L777" s="300"/>
      <c r="M777" s="300"/>
      <c r="N777" s="300"/>
      <c r="O777" s="300"/>
      <c r="P777" s="300"/>
      <c r="Q777" s="300"/>
      <c r="R777" s="300"/>
      <c r="S777" s="300"/>
      <c r="T777" s="300"/>
      <c r="U777" s="300"/>
      <c r="V777" s="300"/>
      <c r="W777" s="300"/>
      <c r="X777" s="300"/>
      <c r="Y777" s="300"/>
      <c r="Z777" s="300"/>
      <c r="AA777" s="300"/>
    </row>
    <row r="778" spans="1:27" ht="15.5" x14ac:dyDescent="0.35">
      <c r="A778" s="300"/>
      <c r="B778" s="300"/>
      <c r="C778" s="300"/>
      <c r="D778" s="300"/>
      <c r="E778" s="300"/>
      <c r="F778" s="300"/>
      <c r="G778" s="300"/>
      <c r="H778" s="300"/>
      <c r="I778" s="300"/>
      <c r="J778" s="300"/>
      <c r="K778" s="300"/>
      <c r="L778" s="300"/>
      <c r="M778" s="300"/>
      <c r="N778" s="300"/>
      <c r="O778" s="300"/>
      <c r="P778" s="300"/>
      <c r="Q778" s="300"/>
      <c r="R778" s="300"/>
      <c r="S778" s="300"/>
      <c r="T778" s="300"/>
      <c r="U778" s="300"/>
      <c r="V778" s="300"/>
      <c r="W778" s="300"/>
      <c r="X778" s="300"/>
      <c r="Y778" s="300"/>
      <c r="Z778" s="300"/>
      <c r="AA778" s="300"/>
    </row>
    <row r="779" spans="1:27" ht="15.5" x14ac:dyDescent="0.35">
      <c r="A779" s="300"/>
      <c r="B779" s="300"/>
      <c r="C779" s="300"/>
      <c r="D779" s="300"/>
      <c r="E779" s="300"/>
      <c r="F779" s="300"/>
      <c r="G779" s="300"/>
      <c r="H779" s="300"/>
      <c r="I779" s="300"/>
      <c r="J779" s="300"/>
      <c r="K779" s="300"/>
      <c r="L779" s="300"/>
      <c r="M779" s="300"/>
      <c r="N779" s="300"/>
      <c r="O779" s="300"/>
      <c r="P779" s="300"/>
      <c r="Q779" s="300"/>
      <c r="R779" s="300"/>
      <c r="S779" s="300"/>
      <c r="T779" s="300"/>
      <c r="U779" s="300"/>
      <c r="V779" s="300"/>
      <c r="W779" s="300"/>
      <c r="X779" s="300"/>
      <c r="Y779" s="300"/>
      <c r="Z779" s="300"/>
      <c r="AA779" s="300"/>
    </row>
    <row r="780" spans="1:27" ht="15.5" x14ac:dyDescent="0.35">
      <c r="A780" s="300"/>
      <c r="B780" s="300"/>
      <c r="C780" s="300"/>
      <c r="D780" s="300"/>
      <c r="E780" s="300"/>
      <c r="F780" s="300"/>
      <c r="G780" s="300"/>
      <c r="H780" s="300"/>
      <c r="I780" s="300"/>
      <c r="J780" s="300"/>
      <c r="K780" s="300"/>
      <c r="L780" s="300"/>
      <c r="M780" s="300"/>
      <c r="N780" s="300"/>
      <c r="O780" s="300"/>
      <c r="P780" s="300"/>
      <c r="Q780" s="300"/>
      <c r="R780" s="300"/>
      <c r="S780" s="300"/>
      <c r="T780" s="300"/>
      <c r="U780" s="300"/>
      <c r="V780" s="300"/>
      <c r="W780" s="300"/>
      <c r="X780" s="300"/>
      <c r="Y780" s="300"/>
      <c r="Z780" s="300"/>
      <c r="AA780" s="300"/>
    </row>
    <row r="781" spans="1:27" ht="15.5" x14ac:dyDescent="0.35">
      <c r="A781" s="300"/>
      <c r="B781" s="300"/>
      <c r="C781" s="300"/>
      <c r="D781" s="300"/>
      <c r="E781" s="300"/>
      <c r="F781" s="300"/>
      <c r="G781" s="300"/>
      <c r="H781" s="300"/>
      <c r="I781" s="300"/>
      <c r="J781" s="300"/>
      <c r="K781" s="300"/>
      <c r="L781" s="300"/>
      <c r="M781" s="300"/>
      <c r="N781" s="300"/>
      <c r="O781" s="300"/>
      <c r="P781" s="300"/>
      <c r="Q781" s="300"/>
      <c r="R781" s="300"/>
      <c r="S781" s="300"/>
      <c r="T781" s="300"/>
      <c r="U781" s="300"/>
      <c r="V781" s="300"/>
      <c r="W781" s="300"/>
      <c r="X781" s="300"/>
      <c r="Y781" s="300"/>
      <c r="Z781" s="300"/>
      <c r="AA781" s="300"/>
    </row>
    <row r="782" spans="1:27" ht="15.5" x14ac:dyDescent="0.35">
      <c r="A782" s="300"/>
      <c r="B782" s="300"/>
      <c r="C782" s="300"/>
      <c r="D782" s="300"/>
      <c r="E782" s="300"/>
      <c r="F782" s="300"/>
      <c r="G782" s="300"/>
      <c r="H782" s="300"/>
      <c r="I782" s="300"/>
      <c r="J782" s="300"/>
      <c r="K782" s="300"/>
      <c r="L782" s="300"/>
      <c r="M782" s="300"/>
      <c r="N782" s="300"/>
      <c r="O782" s="300"/>
      <c r="P782" s="300"/>
      <c r="Q782" s="300"/>
      <c r="R782" s="300"/>
      <c r="S782" s="300"/>
      <c r="T782" s="300"/>
      <c r="U782" s="300"/>
      <c r="V782" s="300"/>
      <c r="W782" s="300"/>
      <c r="X782" s="300"/>
      <c r="Y782" s="300"/>
      <c r="Z782" s="300"/>
      <c r="AA782" s="300"/>
    </row>
    <row r="783" spans="1:27" ht="15.5" x14ac:dyDescent="0.35">
      <c r="A783" s="300"/>
      <c r="B783" s="300"/>
      <c r="C783" s="300"/>
      <c r="D783" s="300"/>
      <c r="E783" s="300"/>
      <c r="F783" s="300"/>
      <c r="G783" s="300"/>
      <c r="H783" s="300"/>
      <c r="I783" s="300"/>
      <c r="J783" s="300"/>
      <c r="K783" s="300"/>
      <c r="L783" s="300"/>
      <c r="M783" s="300"/>
      <c r="N783" s="300"/>
      <c r="O783" s="300"/>
      <c r="P783" s="300"/>
      <c r="Q783" s="300"/>
      <c r="R783" s="300"/>
      <c r="S783" s="300"/>
      <c r="T783" s="300"/>
      <c r="U783" s="300"/>
      <c r="V783" s="300"/>
      <c r="W783" s="300"/>
      <c r="X783" s="300"/>
      <c r="Y783" s="300"/>
      <c r="Z783" s="300"/>
      <c r="AA783" s="300"/>
    </row>
    <row r="784" spans="1:27" ht="15.5" x14ac:dyDescent="0.35">
      <c r="A784" s="300"/>
      <c r="B784" s="300"/>
      <c r="C784" s="300"/>
      <c r="D784" s="300"/>
      <c r="E784" s="300"/>
      <c r="F784" s="300"/>
      <c r="G784" s="300"/>
      <c r="H784" s="300"/>
      <c r="I784" s="300"/>
      <c r="J784" s="300"/>
      <c r="K784" s="300"/>
      <c r="L784" s="300"/>
      <c r="M784" s="300"/>
      <c r="N784" s="300"/>
      <c r="O784" s="300"/>
      <c r="P784" s="300"/>
      <c r="Q784" s="300"/>
      <c r="R784" s="300"/>
      <c r="S784" s="300"/>
      <c r="T784" s="300"/>
      <c r="U784" s="300"/>
      <c r="V784" s="300"/>
      <c r="W784" s="300"/>
      <c r="X784" s="300"/>
      <c r="Y784" s="300"/>
      <c r="Z784" s="300"/>
      <c r="AA784" s="300"/>
    </row>
    <row r="785" spans="1:27" ht="15.5" x14ac:dyDescent="0.35">
      <c r="A785" s="300"/>
      <c r="B785" s="300"/>
      <c r="C785" s="300"/>
      <c r="D785" s="300"/>
      <c r="E785" s="300"/>
      <c r="F785" s="300"/>
      <c r="G785" s="300"/>
      <c r="H785" s="300"/>
      <c r="I785" s="300"/>
      <c r="J785" s="300"/>
      <c r="K785" s="300"/>
      <c r="L785" s="300"/>
      <c r="M785" s="300"/>
      <c r="N785" s="300"/>
      <c r="O785" s="300"/>
      <c r="P785" s="300"/>
      <c r="Q785" s="300"/>
      <c r="R785" s="300"/>
      <c r="S785" s="300"/>
      <c r="T785" s="300"/>
      <c r="U785" s="300"/>
      <c r="V785" s="300"/>
      <c r="W785" s="300"/>
      <c r="X785" s="300"/>
      <c r="Y785" s="300"/>
      <c r="Z785" s="300"/>
      <c r="AA785" s="300"/>
    </row>
    <row r="786" spans="1:27" ht="15.5" x14ac:dyDescent="0.35">
      <c r="A786" s="300"/>
      <c r="B786" s="300"/>
      <c r="C786" s="300"/>
      <c r="D786" s="300"/>
      <c r="E786" s="300"/>
      <c r="F786" s="300"/>
      <c r="G786" s="300"/>
      <c r="H786" s="300"/>
      <c r="I786" s="300"/>
      <c r="J786" s="300"/>
      <c r="K786" s="300"/>
      <c r="L786" s="300"/>
      <c r="M786" s="300"/>
      <c r="N786" s="300"/>
      <c r="O786" s="300"/>
      <c r="P786" s="300"/>
      <c r="Q786" s="300"/>
      <c r="R786" s="300"/>
      <c r="S786" s="300"/>
      <c r="T786" s="300"/>
      <c r="U786" s="300"/>
      <c r="V786" s="300"/>
      <c r="W786" s="300"/>
      <c r="X786" s="300"/>
      <c r="Y786" s="300"/>
      <c r="Z786" s="300"/>
      <c r="AA786" s="300"/>
    </row>
    <row r="787" spans="1:27" ht="15.5" x14ac:dyDescent="0.35">
      <c r="A787" s="300"/>
      <c r="B787" s="300"/>
      <c r="C787" s="300"/>
      <c r="D787" s="300"/>
      <c r="E787" s="300"/>
      <c r="F787" s="300"/>
      <c r="G787" s="300"/>
      <c r="H787" s="300"/>
      <c r="I787" s="300"/>
      <c r="J787" s="300"/>
      <c r="K787" s="300"/>
      <c r="L787" s="300"/>
      <c r="M787" s="300"/>
      <c r="N787" s="300"/>
      <c r="O787" s="300"/>
      <c r="P787" s="300"/>
      <c r="Q787" s="300"/>
      <c r="R787" s="300"/>
      <c r="S787" s="300"/>
      <c r="T787" s="300"/>
      <c r="U787" s="300"/>
      <c r="V787" s="300"/>
      <c r="W787" s="300"/>
      <c r="X787" s="300"/>
      <c r="Y787" s="300"/>
      <c r="Z787" s="300"/>
      <c r="AA787" s="300"/>
    </row>
    <row r="788" spans="1:27" ht="15.5" x14ac:dyDescent="0.35">
      <c r="A788" s="300"/>
      <c r="B788" s="300"/>
      <c r="C788" s="300"/>
      <c r="D788" s="300"/>
      <c r="E788" s="300"/>
      <c r="F788" s="300"/>
      <c r="G788" s="300"/>
      <c r="H788" s="300"/>
      <c r="I788" s="300"/>
      <c r="J788" s="300"/>
      <c r="K788" s="300"/>
      <c r="L788" s="300"/>
      <c r="M788" s="300"/>
      <c r="N788" s="300"/>
      <c r="O788" s="300"/>
      <c r="P788" s="300"/>
      <c r="Q788" s="300"/>
      <c r="R788" s="300"/>
      <c r="S788" s="300"/>
      <c r="T788" s="300"/>
      <c r="U788" s="300"/>
      <c r="V788" s="300"/>
      <c r="W788" s="300"/>
      <c r="X788" s="300"/>
      <c r="Y788" s="300"/>
      <c r="Z788" s="300"/>
      <c r="AA788" s="300"/>
    </row>
    <row r="789" spans="1:27" ht="15.5" x14ac:dyDescent="0.35">
      <c r="A789" s="300"/>
      <c r="B789" s="300"/>
      <c r="C789" s="300"/>
      <c r="D789" s="300"/>
      <c r="E789" s="300"/>
      <c r="F789" s="300"/>
      <c r="G789" s="300"/>
      <c r="H789" s="300"/>
      <c r="I789" s="300"/>
      <c r="J789" s="300"/>
      <c r="K789" s="300"/>
      <c r="L789" s="300"/>
      <c r="M789" s="300"/>
      <c r="N789" s="300"/>
      <c r="O789" s="300"/>
      <c r="P789" s="300"/>
      <c r="Q789" s="300"/>
      <c r="R789" s="300"/>
      <c r="S789" s="300"/>
      <c r="T789" s="300"/>
      <c r="U789" s="300"/>
      <c r="V789" s="300"/>
      <c r="W789" s="300"/>
      <c r="X789" s="300"/>
      <c r="Y789" s="300"/>
      <c r="Z789" s="300"/>
      <c r="AA789" s="300"/>
    </row>
    <row r="790" spans="1:27" ht="15.5" x14ac:dyDescent="0.35">
      <c r="A790" s="300"/>
      <c r="B790" s="300"/>
      <c r="C790" s="300"/>
      <c r="D790" s="300"/>
      <c r="E790" s="300"/>
      <c r="F790" s="300"/>
      <c r="G790" s="300"/>
      <c r="H790" s="300"/>
      <c r="I790" s="300"/>
      <c r="J790" s="300"/>
      <c r="K790" s="300"/>
      <c r="L790" s="300"/>
      <c r="M790" s="300"/>
      <c r="N790" s="300"/>
      <c r="O790" s="300"/>
      <c r="P790" s="300"/>
      <c r="Q790" s="300"/>
      <c r="R790" s="300"/>
      <c r="S790" s="300"/>
      <c r="T790" s="300"/>
      <c r="U790" s="300"/>
      <c r="V790" s="300"/>
      <c r="W790" s="300"/>
      <c r="X790" s="300"/>
      <c r="Y790" s="300"/>
      <c r="Z790" s="300"/>
      <c r="AA790" s="300"/>
    </row>
    <row r="791" spans="1:27" ht="15.5" x14ac:dyDescent="0.35">
      <c r="A791" s="300"/>
      <c r="B791" s="300"/>
      <c r="C791" s="300"/>
      <c r="D791" s="300"/>
      <c r="E791" s="300"/>
      <c r="F791" s="300"/>
      <c r="G791" s="300"/>
      <c r="H791" s="300"/>
      <c r="I791" s="300"/>
      <c r="J791" s="300"/>
      <c r="K791" s="300"/>
      <c r="L791" s="300"/>
      <c r="M791" s="300"/>
      <c r="N791" s="300"/>
      <c r="O791" s="300"/>
      <c r="P791" s="300"/>
      <c r="Q791" s="300"/>
      <c r="R791" s="300"/>
      <c r="S791" s="300"/>
      <c r="T791" s="300"/>
      <c r="U791" s="300"/>
      <c r="V791" s="300"/>
      <c r="W791" s="300"/>
      <c r="X791" s="300"/>
      <c r="Y791" s="300"/>
      <c r="Z791" s="300"/>
      <c r="AA791" s="300"/>
    </row>
    <row r="792" spans="1:27" ht="15.5" x14ac:dyDescent="0.35">
      <c r="A792" s="300"/>
      <c r="B792" s="300"/>
      <c r="C792" s="300"/>
      <c r="D792" s="300"/>
      <c r="E792" s="300"/>
      <c r="F792" s="300"/>
      <c r="G792" s="300"/>
      <c r="H792" s="300"/>
      <c r="I792" s="300"/>
      <c r="J792" s="300"/>
      <c r="K792" s="300"/>
      <c r="L792" s="300"/>
      <c r="M792" s="300"/>
      <c r="N792" s="300"/>
      <c r="O792" s="300"/>
      <c r="P792" s="300"/>
      <c r="Q792" s="300"/>
      <c r="R792" s="300"/>
      <c r="S792" s="300"/>
      <c r="T792" s="300"/>
      <c r="U792" s="300"/>
      <c r="V792" s="300"/>
      <c r="W792" s="300"/>
      <c r="X792" s="300"/>
      <c r="Y792" s="300"/>
      <c r="Z792" s="300"/>
      <c r="AA792" s="300"/>
    </row>
    <row r="793" spans="1:27" ht="15.5" x14ac:dyDescent="0.35">
      <c r="A793" s="300"/>
      <c r="B793" s="300"/>
      <c r="C793" s="300"/>
      <c r="D793" s="300"/>
      <c r="E793" s="300"/>
      <c r="F793" s="300"/>
      <c r="G793" s="300"/>
      <c r="H793" s="300"/>
      <c r="I793" s="300"/>
      <c r="J793" s="300"/>
      <c r="K793" s="300"/>
      <c r="L793" s="300"/>
      <c r="M793" s="300"/>
      <c r="N793" s="300"/>
      <c r="O793" s="300"/>
      <c r="P793" s="300"/>
      <c r="Q793" s="300"/>
      <c r="R793" s="300"/>
      <c r="S793" s="300"/>
      <c r="T793" s="300"/>
      <c r="U793" s="300"/>
      <c r="V793" s="300"/>
      <c r="W793" s="300"/>
      <c r="X793" s="300"/>
      <c r="Y793" s="300"/>
      <c r="Z793" s="300"/>
      <c r="AA793" s="300"/>
    </row>
    <row r="794" spans="1:27" ht="15.5" x14ac:dyDescent="0.35">
      <c r="A794" s="300"/>
      <c r="B794" s="300"/>
      <c r="C794" s="300"/>
      <c r="D794" s="300"/>
      <c r="E794" s="300"/>
      <c r="F794" s="300"/>
      <c r="G794" s="300"/>
      <c r="H794" s="300"/>
      <c r="I794" s="300"/>
      <c r="J794" s="300"/>
      <c r="K794" s="300"/>
      <c r="L794" s="300"/>
      <c r="M794" s="300"/>
      <c r="N794" s="300"/>
      <c r="O794" s="300"/>
      <c r="P794" s="300"/>
      <c r="Q794" s="300"/>
      <c r="R794" s="300"/>
      <c r="S794" s="300"/>
      <c r="T794" s="300"/>
      <c r="U794" s="300"/>
      <c r="V794" s="300"/>
      <c r="W794" s="300"/>
      <c r="X794" s="300"/>
      <c r="Y794" s="300"/>
      <c r="Z794" s="300"/>
      <c r="AA794" s="300"/>
    </row>
    <row r="795" spans="1:27" ht="15.5" x14ac:dyDescent="0.35">
      <c r="A795" s="300"/>
      <c r="B795" s="300"/>
      <c r="C795" s="300"/>
      <c r="D795" s="300"/>
      <c r="E795" s="300"/>
      <c r="F795" s="300"/>
      <c r="G795" s="300"/>
      <c r="H795" s="300"/>
      <c r="I795" s="300"/>
      <c r="J795" s="300"/>
      <c r="K795" s="300"/>
      <c r="L795" s="300"/>
      <c r="M795" s="300"/>
      <c r="N795" s="300"/>
      <c r="O795" s="300"/>
      <c r="P795" s="300"/>
      <c r="Q795" s="300"/>
      <c r="R795" s="300"/>
      <c r="S795" s="300"/>
      <c r="T795" s="300"/>
      <c r="U795" s="300"/>
      <c r="V795" s="300"/>
      <c r="W795" s="300"/>
      <c r="X795" s="300"/>
      <c r="Y795" s="300"/>
      <c r="Z795" s="300"/>
      <c r="AA795" s="300"/>
    </row>
    <row r="796" spans="1:27" ht="15.5" x14ac:dyDescent="0.35">
      <c r="A796" s="300"/>
      <c r="B796" s="300"/>
      <c r="C796" s="300"/>
      <c r="D796" s="300"/>
      <c r="E796" s="300"/>
      <c r="F796" s="300"/>
      <c r="G796" s="300"/>
      <c r="H796" s="300"/>
      <c r="I796" s="300"/>
      <c r="J796" s="300"/>
      <c r="K796" s="300"/>
      <c r="L796" s="300"/>
      <c r="M796" s="300"/>
      <c r="N796" s="300"/>
      <c r="O796" s="300"/>
      <c r="P796" s="300"/>
      <c r="Q796" s="300"/>
      <c r="R796" s="300"/>
      <c r="S796" s="300"/>
      <c r="T796" s="300"/>
      <c r="U796" s="300"/>
      <c r="V796" s="300"/>
      <c r="W796" s="300"/>
      <c r="X796" s="300"/>
      <c r="Y796" s="300"/>
      <c r="Z796" s="300"/>
      <c r="AA796" s="300"/>
    </row>
    <row r="797" spans="1:27" ht="15.5" x14ac:dyDescent="0.35">
      <c r="A797" s="300"/>
      <c r="B797" s="300"/>
      <c r="C797" s="300"/>
      <c r="D797" s="300"/>
      <c r="E797" s="300"/>
      <c r="F797" s="300"/>
      <c r="G797" s="300"/>
      <c r="H797" s="300"/>
      <c r="I797" s="300"/>
      <c r="J797" s="300"/>
      <c r="K797" s="300"/>
      <c r="L797" s="300"/>
      <c r="M797" s="300"/>
      <c r="N797" s="300"/>
      <c r="O797" s="300"/>
      <c r="P797" s="300"/>
      <c r="Q797" s="300"/>
      <c r="R797" s="300"/>
      <c r="S797" s="300"/>
      <c r="T797" s="300"/>
      <c r="U797" s="300"/>
      <c r="V797" s="300"/>
      <c r="W797" s="300"/>
      <c r="X797" s="300"/>
      <c r="Y797" s="300"/>
      <c r="Z797" s="300"/>
      <c r="AA797" s="300"/>
    </row>
    <row r="798" spans="1:27" ht="15.5" x14ac:dyDescent="0.35">
      <c r="A798" s="300"/>
      <c r="B798" s="300"/>
      <c r="C798" s="300"/>
      <c r="D798" s="300"/>
      <c r="E798" s="300"/>
      <c r="F798" s="300"/>
      <c r="G798" s="300"/>
      <c r="H798" s="300"/>
      <c r="I798" s="300"/>
      <c r="J798" s="300"/>
      <c r="K798" s="300"/>
      <c r="L798" s="300"/>
      <c r="M798" s="300"/>
      <c r="N798" s="300"/>
      <c r="O798" s="300"/>
      <c r="P798" s="300"/>
      <c r="Q798" s="300"/>
      <c r="R798" s="300"/>
      <c r="S798" s="300"/>
      <c r="T798" s="300"/>
      <c r="U798" s="300"/>
      <c r="V798" s="300"/>
      <c r="W798" s="300"/>
      <c r="X798" s="300"/>
      <c r="Y798" s="300"/>
      <c r="Z798" s="300"/>
      <c r="AA798" s="300"/>
    </row>
    <row r="799" spans="1:27" ht="15.5" x14ac:dyDescent="0.35">
      <c r="A799" s="300"/>
      <c r="B799" s="300"/>
      <c r="C799" s="300"/>
      <c r="D799" s="300"/>
      <c r="E799" s="300"/>
      <c r="F799" s="300"/>
      <c r="G799" s="300"/>
      <c r="H799" s="300"/>
      <c r="I799" s="300"/>
      <c r="J799" s="300"/>
      <c r="K799" s="300"/>
      <c r="L799" s="300"/>
      <c r="M799" s="300"/>
      <c r="N799" s="300"/>
      <c r="O799" s="300"/>
      <c r="P799" s="300"/>
      <c r="Q799" s="300"/>
      <c r="R799" s="300"/>
      <c r="S799" s="300"/>
      <c r="T799" s="300"/>
      <c r="U799" s="300"/>
      <c r="V799" s="300"/>
      <c r="W799" s="300"/>
      <c r="X799" s="300"/>
      <c r="Y799" s="300"/>
      <c r="Z799" s="300"/>
      <c r="AA799" s="300"/>
    </row>
    <row r="800" spans="1:27" ht="15.5" x14ac:dyDescent="0.35">
      <c r="A800" s="300"/>
      <c r="B800" s="300"/>
      <c r="C800" s="300"/>
      <c r="D800" s="300"/>
      <c r="E800" s="300"/>
      <c r="F800" s="300"/>
      <c r="G800" s="300"/>
      <c r="H800" s="300"/>
      <c r="I800" s="300"/>
      <c r="J800" s="300"/>
      <c r="K800" s="300"/>
      <c r="L800" s="300"/>
      <c r="M800" s="300"/>
      <c r="N800" s="300"/>
      <c r="O800" s="300"/>
      <c r="P800" s="300"/>
      <c r="Q800" s="300"/>
      <c r="R800" s="300"/>
      <c r="S800" s="300"/>
      <c r="T800" s="300"/>
      <c r="U800" s="300"/>
      <c r="V800" s="300"/>
      <c r="W800" s="300"/>
      <c r="X800" s="300"/>
      <c r="Y800" s="300"/>
      <c r="Z800" s="300"/>
      <c r="AA800" s="300"/>
    </row>
    <row r="801" spans="1:27" ht="15.5" x14ac:dyDescent="0.35">
      <c r="A801" s="300"/>
      <c r="B801" s="300"/>
      <c r="C801" s="300"/>
      <c r="D801" s="300"/>
      <c r="E801" s="300"/>
      <c r="F801" s="300"/>
      <c r="G801" s="300"/>
      <c r="H801" s="300"/>
      <c r="I801" s="300"/>
      <c r="J801" s="300"/>
      <c r="K801" s="300"/>
      <c r="L801" s="300"/>
      <c r="M801" s="300"/>
      <c r="N801" s="300"/>
      <c r="O801" s="300"/>
      <c r="P801" s="300"/>
      <c r="Q801" s="300"/>
      <c r="R801" s="300"/>
      <c r="S801" s="300"/>
      <c r="T801" s="300"/>
      <c r="U801" s="300"/>
      <c r="V801" s="300"/>
      <c r="W801" s="300"/>
      <c r="X801" s="300"/>
      <c r="Y801" s="300"/>
      <c r="Z801" s="300"/>
      <c r="AA801" s="300"/>
    </row>
    <row r="802" spans="1:27" ht="15.5" x14ac:dyDescent="0.35">
      <c r="A802" s="300"/>
      <c r="B802" s="300"/>
      <c r="C802" s="300"/>
      <c r="D802" s="300"/>
      <c r="E802" s="300"/>
      <c r="F802" s="300"/>
      <c r="G802" s="300"/>
      <c r="H802" s="300"/>
      <c r="I802" s="300"/>
      <c r="J802" s="300"/>
      <c r="K802" s="300"/>
      <c r="L802" s="300"/>
      <c r="M802" s="300"/>
      <c r="N802" s="300"/>
      <c r="O802" s="300"/>
      <c r="P802" s="300"/>
      <c r="Q802" s="300"/>
      <c r="R802" s="300"/>
      <c r="S802" s="300"/>
      <c r="T802" s="300"/>
      <c r="U802" s="300"/>
      <c r="V802" s="300"/>
      <c r="W802" s="300"/>
      <c r="X802" s="300"/>
      <c r="Y802" s="300"/>
      <c r="Z802" s="300"/>
      <c r="AA802" s="300"/>
    </row>
    <row r="803" spans="1:27" ht="15.5" x14ac:dyDescent="0.35">
      <c r="A803" s="300"/>
      <c r="B803" s="300"/>
      <c r="C803" s="300"/>
      <c r="D803" s="300"/>
      <c r="E803" s="300"/>
      <c r="F803" s="300"/>
      <c r="G803" s="300"/>
      <c r="H803" s="300"/>
      <c r="I803" s="300"/>
      <c r="J803" s="300"/>
      <c r="K803" s="300"/>
      <c r="L803" s="300"/>
      <c r="M803" s="300"/>
      <c r="N803" s="300"/>
      <c r="O803" s="300"/>
      <c r="P803" s="300"/>
      <c r="Q803" s="300"/>
      <c r="R803" s="300"/>
      <c r="S803" s="300"/>
      <c r="T803" s="300"/>
      <c r="U803" s="300"/>
      <c r="V803" s="300"/>
      <c r="W803" s="300"/>
      <c r="X803" s="300"/>
      <c r="Y803" s="300"/>
      <c r="Z803" s="300"/>
      <c r="AA803" s="300"/>
    </row>
    <row r="804" spans="1:27" ht="15.5" x14ac:dyDescent="0.35">
      <c r="A804" s="300"/>
      <c r="B804" s="300"/>
      <c r="C804" s="300"/>
      <c r="D804" s="300"/>
      <c r="E804" s="300"/>
      <c r="F804" s="300"/>
      <c r="G804" s="300"/>
      <c r="H804" s="300"/>
      <c r="I804" s="300"/>
      <c r="J804" s="300"/>
      <c r="K804" s="300"/>
      <c r="L804" s="300"/>
      <c r="M804" s="300"/>
      <c r="N804" s="300"/>
      <c r="O804" s="300"/>
      <c r="P804" s="300"/>
      <c r="Q804" s="300"/>
      <c r="R804" s="300"/>
      <c r="S804" s="300"/>
      <c r="T804" s="300"/>
      <c r="U804" s="300"/>
      <c r="V804" s="300"/>
      <c r="W804" s="300"/>
      <c r="X804" s="300"/>
      <c r="Y804" s="300"/>
      <c r="Z804" s="300"/>
      <c r="AA804" s="300"/>
    </row>
    <row r="805" spans="1:27" ht="15.5" x14ac:dyDescent="0.35">
      <c r="A805" s="300"/>
      <c r="B805" s="300"/>
      <c r="C805" s="300"/>
      <c r="D805" s="300"/>
      <c r="E805" s="300"/>
      <c r="F805" s="300"/>
      <c r="G805" s="300"/>
      <c r="H805" s="300"/>
      <c r="I805" s="300"/>
      <c r="J805" s="300"/>
      <c r="K805" s="300"/>
      <c r="L805" s="300"/>
      <c r="M805" s="300"/>
      <c r="N805" s="300"/>
      <c r="O805" s="300"/>
      <c r="P805" s="300"/>
      <c r="Q805" s="300"/>
      <c r="R805" s="300"/>
      <c r="S805" s="300"/>
      <c r="T805" s="300"/>
      <c r="U805" s="300"/>
      <c r="V805" s="300"/>
      <c r="W805" s="300"/>
      <c r="X805" s="300"/>
      <c r="Y805" s="300"/>
      <c r="Z805" s="300"/>
      <c r="AA805" s="300"/>
    </row>
    <row r="806" spans="1:27" ht="15.5" x14ac:dyDescent="0.35">
      <c r="A806" s="300"/>
      <c r="B806" s="300"/>
      <c r="C806" s="300"/>
      <c r="D806" s="300"/>
      <c r="E806" s="300"/>
      <c r="F806" s="300"/>
      <c r="G806" s="300"/>
      <c r="H806" s="300"/>
      <c r="I806" s="300"/>
      <c r="J806" s="300"/>
      <c r="K806" s="300"/>
      <c r="L806" s="300"/>
      <c r="M806" s="300"/>
      <c r="N806" s="300"/>
      <c r="O806" s="300"/>
      <c r="P806" s="300"/>
      <c r="Q806" s="300"/>
      <c r="R806" s="300"/>
      <c r="S806" s="300"/>
      <c r="T806" s="300"/>
      <c r="U806" s="300"/>
      <c r="V806" s="300"/>
      <c r="W806" s="300"/>
      <c r="X806" s="300"/>
      <c r="Y806" s="300"/>
      <c r="Z806" s="300"/>
      <c r="AA806" s="300"/>
    </row>
    <row r="807" spans="1:27" ht="15.5" x14ac:dyDescent="0.35">
      <c r="A807" s="300"/>
      <c r="B807" s="300"/>
      <c r="C807" s="300"/>
      <c r="D807" s="300"/>
      <c r="E807" s="300"/>
      <c r="F807" s="300"/>
      <c r="G807" s="300"/>
      <c r="H807" s="300"/>
      <c r="I807" s="300"/>
      <c r="J807" s="300"/>
      <c r="K807" s="300"/>
      <c r="L807" s="300"/>
      <c r="M807" s="300"/>
      <c r="N807" s="300"/>
      <c r="O807" s="300"/>
      <c r="P807" s="300"/>
      <c r="Q807" s="300"/>
      <c r="R807" s="300"/>
      <c r="S807" s="300"/>
      <c r="T807" s="300"/>
      <c r="U807" s="300"/>
      <c r="V807" s="300"/>
      <c r="W807" s="300"/>
      <c r="X807" s="300"/>
      <c r="Y807" s="300"/>
      <c r="Z807" s="300"/>
      <c r="AA807" s="300"/>
    </row>
    <row r="808" spans="1:27" ht="15.5" x14ac:dyDescent="0.35">
      <c r="A808" s="300"/>
      <c r="B808" s="300"/>
      <c r="C808" s="300"/>
      <c r="D808" s="300"/>
      <c r="E808" s="300"/>
      <c r="F808" s="300"/>
      <c r="G808" s="300"/>
      <c r="H808" s="300"/>
      <c r="I808" s="300"/>
      <c r="J808" s="300"/>
      <c r="K808" s="300"/>
      <c r="L808" s="300"/>
      <c r="M808" s="300"/>
      <c r="N808" s="300"/>
      <c r="O808" s="300"/>
      <c r="P808" s="300"/>
      <c r="Q808" s="300"/>
      <c r="R808" s="300"/>
      <c r="S808" s="300"/>
      <c r="T808" s="300"/>
      <c r="U808" s="300"/>
      <c r="V808" s="300"/>
      <c r="W808" s="300"/>
      <c r="X808" s="300"/>
      <c r="Y808" s="300"/>
      <c r="Z808" s="300"/>
      <c r="AA808" s="300"/>
    </row>
    <row r="809" spans="1:27" ht="15.5" x14ac:dyDescent="0.35">
      <c r="A809" s="300"/>
      <c r="B809" s="300"/>
      <c r="C809" s="300"/>
      <c r="D809" s="300"/>
      <c r="E809" s="300"/>
      <c r="F809" s="300"/>
      <c r="G809" s="300"/>
      <c r="H809" s="300"/>
      <c r="I809" s="300"/>
      <c r="J809" s="300"/>
      <c r="K809" s="300"/>
      <c r="L809" s="300"/>
      <c r="M809" s="300"/>
      <c r="N809" s="300"/>
      <c r="O809" s="300"/>
      <c r="P809" s="300"/>
      <c r="Q809" s="300"/>
      <c r="R809" s="300"/>
      <c r="S809" s="300"/>
      <c r="T809" s="300"/>
      <c r="U809" s="300"/>
      <c r="V809" s="300"/>
      <c r="W809" s="300"/>
      <c r="X809" s="300"/>
      <c r="Y809" s="300"/>
      <c r="Z809" s="300"/>
      <c r="AA809" s="300"/>
    </row>
    <row r="810" spans="1:27" ht="15.5" x14ac:dyDescent="0.35">
      <c r="A810" s="300"/>
      <c r="B810" s="300"/>
      <c r="C810" s="300"/>
      <c r="D810" s="300"/>
      <c r="E810" s="300"/>
      <c r="F810" s="300"/>
      <c r="G810" s="300"/>
      <c r="H810" s="300"/>
      <c r="I810" s="300"/>
      <c r="J810" s="300"/>
      <c r="K810" s="300"/>
      <c r="L810" s="300"/>
      <c r="M810" s="300"/>
      <c r="N810" s="300"/>
      <c r="O810" s="300"/>
      <c r="P810" s="300"/>
      <c r="Q810" s="300"/>
      <c r="R810" s="300"/>
      <c r="S810" s="300"/>
      <c r="T810" s="300"/>
      <c r="U810" s="300"/>
      <c r="V810" s="300"/>
      <c r="W810" s="300"/>
      <c r="X810" s="300"/>
      <c r="Y810" s="300"/>
      <c r="Z810" s="300"/>
      <c r="AA810" s="300"/>
    </row>
    <row r="811" spans="1:27" ht="15.5" x14ac:dyDescent="0.35">
      <c r="A811" s="300"/>
      <c r="B811" s="300"/>
      <c r="C811" s="300"/>
      <c r="D811" s="300"/>
      <c r="E811" s="300"/>
      <c r="F811" s="300"/>
      <c r="G811" s="300"/>
      <c r="H811" s="300"/>
      <c r="I811" s="300"/>
      <c r="J811" s="300"/>
      <c r="K811" s="300"/>
      <c r="L811" s="300"/>
      <c r="M811" s="300"/>
      <c r="N811" s="300"/>
      <c r="O811" s="300"/>
      <c r="P811" s="300"/>
      <c r="Q811" s="300"/>
      <c r="R811" s="300"/>
      <c r="S811" s="300"/>
      <c r="T811" s="300"/>
      <c r="U811" s="300"/>
      <c r="V811" s="300"/>
      <c r="W811" s="300"/>
      <c r="X811" s="300"/>
      <c r="Y811" s="300"/>
      <c r="Z811" s="300"/>
      <c r="AA811" s="300"/>
    </row>
    <row r="812" spans="1:27" ht="15.5" x14ac:dyDescent="0.35">
      <c r="A812" s="300"/>
      <c r="B812" s="300"/>
      <c r="C812" s="300"/>
      <c r="D812" s="300"/>
      <c r="E812" s="300"/>
      <c r="F812" s="300"/>
      <c r="G812" s="300"/>
      <c r="H812" s="300"/>
      <c r="I812" s="300"/>
      <c r="J812" s="300"/>
      <c r="K812" s="300"/>
      <c r="L812" s="300"/>
      <c r="M812" s="300"/>
      <c r="N812" s="300"/>
      <c r="O812" s="300"/>
      <c r="P812" s="300"/>
      <c r="Q812" s="300"/>
      <c r="R812" s="300"/>
      <c r="S812" s="300"/>
      <c r="T812" s="300"/>
      <c r="U812" s="300"/>
      <c r="V812" s="300"/>
      <c r="W812" s="300"/>
      <c r="X812" s="300"/>
      <c r="Y812" s="300"/>
      <c r="Z812" s="300"/>
      <c r="AA812" s="300"/>
    </row>
    <row r="813" spans="1:27" ht="15.5" x14ac:dyDescent="0.35">
      <c r="A813" s="300"/>
      <c r="B813" s="300"/>
      <c r="C813" s="300"/>
      <c r="D813" s="300"/>
      <c r="E813" s="300"/>
      <c r="F813" s="300"/>
      <c r="G813" s="300"/>
      <c r="H813" s="300"/>
      <c r="I813" s="300"/>
      <c r="J813" s="300"/>
      <c r="K813" s="300"/>
      <c r="L813" s="300"/>
      <c r="M813" s="300"/>
      <c r="N813" s="300"/>
      <c r="O813" s="300"/>
      <c r="P813" s="300"/>
      <c r="Q813" s="300"/>
      <c r="R813" s="300"/>
      <c r="S813" s="300"/>
      <c r="T813" s="300"/>
      <c r="U813" s="300"/>
      <c r="V813" s="300"/>
      <c r="W813" s="300"/>
      <c r="X813" s="300"/>
      <c r="Y813" s="300"/>
      <c r="Z813" s="300"/>
      <c r="AA813" s="300"/>
    </row>
    <row r="814" spans="1:27" ht="15.5" x14ac:dyDescent="0.35">
      <c r="A814" s="300"/>
      <c r="B814" s="300"/>
      <c r="C814" s="300"/>
      <c r="D814" s="300"/>
      <c r="E814" s="300"/>
      <c r="F814" s="300"/>
      <c r="G814" s="300"/>
      <c r="H814" s="300"/>
      <c r="I814" s="300"/>
      <c r="J814" s="300"/>
      <c r="K814" s="300"/>
      <c r="L814" s="300"/>
      <c r="M814" s="300"/>
      <c r="N814" s="300"/>
      <c r="O814" s="300"/>
      <c r="P814" s="300"/>
      <c r="Q814" s="300"/>
      <c r="R814" s="300"/>
      <c r="S814" s="300"/>
      <c r="T814" s="300"/>
      <c r="U814" s="300"/>
      <c r="V814" s="300"/>
      <c r="W814" s="300"/>
      <c r="X814" s="300"/>
      <c r="Y814" s="300"/>
      <c r="Z814" s="300"/>
      <c r="AA814" s="300"/>
    </row>
    <row r="815" spans="1:27" ht="15.5" x14ac:dyDescent="0.35">
      <c r="A815" s="300"/>
      <c r="B815" s="300"/>
      <c r="C815" s="300"/>
      <c r="D815" s="300"/>
      <c r="E815" s="300"/>
      <c r="F815" s="300"/>
      <c r="G815" s="300"/>
      <c r="H815" s="300"/>
      <c r="I815" s="300"/>
      <c r="J815" s="300"/>
      <c r="K815" s="300"/>
      <c r="L815" s="300"/>
      <c r="M815" s="300"/>
      <c r="N815" s="300"/>
      <c r="O815" s="300"/>
      <c r="P815" s="300"/>
      <c r="Q815" s="300"/>
      <c r="R815" s="300"/>
      <c r="S815" s="300"/>
      <c r="T815" s="300"/>
      <c r="U815" s="300"/>
      <c r="V815" s="300"/>
      <c r="W815" s="300"/>
      <c r="X815" s="300"/>
      <c r="Y815" s="300"/>
      <c r="Z815" s="300"/>
      <c r="AA815" s="300"/>
    </row>
    <row r="816" spans="1:27" ht="15.5" x14ac:dyDescent="0.35">
      <c r="A816" s="300"/>
      <c r="B816" s="300"/>
      <c r="C816" s="300"/>
      <c r="D816" s="300"/>
      <c r="E816" s="300"/>
      <c r="F816" s="300"/>
      <c r="G816" s="300"/>
      <c r="H816" s="300"/>
      <c r="I816" s="300"/>
      <c r="J816" s="300"/>
      <c r="K816" s="300"/>
      <c r="L816" s="300"/>
      <c r="M816" s="300"/>
      <c r="N816" s="300"/>
      <c r="O816" s="300"/>
      <c r="P816" s="300"/>
      <c r="Q816" s="300"/>
      <c r="R816" s="300"/>
      <c r="S816" s="300"/>
      <c r="T816" s="300"/>
      <c r="U816" s="300"/>
      <c r="V816" s="300"/>
      <c r="W816" s="300"/>
      <c r="X816" s="300"/>
      <c r="Y816" s="300"/>
      <c r="Z816" s="300"/>
      <c r="AA816" s="300"/>
    </row>
    <row r="817" spans="1:27" ht="15.5" x14ac:dyDescent="0.35">
      <c r="A817" s="300"/>
      <c r="B817" s="300"/>
      <c r="C817" s="300"/>
      <c r="D817" s="300"/>
      <c r="E817" s="300"/>
      <c r="F817" s="300"/>
      <c r="G817" s="300"/>
      <c r="H817" s="300"/>
      <c r="I817" s="300"/>
      <c r="J817" s="300"/>
      <c r="K817" s="300"/>
      <c r="L817" s="300"/>
      <c r="M817" s="300"/>
      <c r="N817" s="300"/>
      <c r="O817" s="300"/>
      <c r="P817" s="300"/>
      <c r="Q817" s="300"/>
      <c r="R817" s="300"/>
      <c r="S817" s="300"/>
      <c r="T817" s="300"/>
      <c r="U817" s="300"/>
      <c r="V817" s="300"/>
      <c r="W817" s="300"/>
      <c r="X817" s="300"/>
      <c r="Y817" s="300"/>
      <c r="Z817" s="300"/>
      <c r="AA817" s="300"/>
    </row>
    <row r="818" spans="1:27" ht="15.5" x14ac:dyDescent="0.35">
      <c r="A818" s="300"/>
      <c r="B818" s="300"/>
      <c r="C818" s="300"/>
      <c r="D818" s="300"/>
      <c r="E818" s="300"/>
      <c r="F818" s="300"/>
      <c r="G818" s="300"/>
      <c r="H818" s="300"/>
      <c r="I818" s="300"/>
      <c r="J818" s="300"/>
      <c r="K818" s="300"/>
      <c r="L818" s="300"/>
      <c r="M818" s="300"/>
      <c r="N818" s="300"/>
      <c r="O818" s="300"/>
      <c r="P818" s="300"/>
      <c r="Q818" s="300"/>
      <c r="R818" s="300"/>
      <c r="S818" s="300"/>
      <c r="T818" s="300"/>
      <c r="U818" s="300"/>
      <c r="V818" s="300"/>
      <c r="W818" s="300"/>
      <c r="X818" s="300"/>
      <c r="Y818" s="300"/>
      <c r="Z818" s="300"/>
      <c r="AA818" s="300"/>
    </row>
    <row r="819" spans="1:27" ht="15.5" x14ac:dyDescent="0.35">
      <c r="A819" s="300"/>
      <c r="B819" s="300"/>
      <c r="C819" s="300"/>
      <c r="D819" s="300"/>
      <c r="E819" s="300"/>
      <c r="F819" s="300"/>
      <c r="G819" s="300"/>
      <c r="H819" s="300"/>
      <c r="I819" s="300"/>
      <c r="J819" s="300"/>
      <c r="K819" s="300"/>
      <c r="L819" s="300"/>
      <c r="M819" s="300"/>
      <c r="N819" s="300"/>
      <c r="O819" s="300"/>
      <c r="P819" s="300"/>
      <c r="Q819" s="300"/>
      <c r="R819" s="300"/>
      <c r="S819" s="300"/>
      <c r="T819" s="300"/>
      <c r="U819" s="300"/>
      <c r="V819" s="300"/>
      <c r="W819" s="300"/>
      <c r="X819" s="300"/>
      <c r="Y819" s="300"/>
      <c r="Z819" s="300"/>
      <c r="AA819" s="300"/>
    </row>
    <row r="820" spans="1:27" ht="15.5" x14ac:dyDescent="0.35">
      <c r="A820" s="300"/>
      <c r="B820" s="300"/>
      <c r="C820" s="300"/>
      <c r="D820" s="300"/>
      <c r="E820" s="300"/>
      <c r="F820" s="300"/>
      <c r="G820" s="300"/>
      <c r="H820" s="300"/>
      <c r="I820" s="300"/>
      <c r="J820" s="300"/>
      <c r="K820" s="300"/>
      <c r="L820" s="300"/>
      <c r="M820" s="300"/>
      <c r="N820" s="300"/>
      <c r="O820" s="300"/>
      <c r="P820" s="300"/>
      <c r="Q820" s="300"/>
      <c r="R820" s="300"/>
      <c r="S820" s="300"/>
      <c r="T820" s="300"/>
      <c r="U820" s="300"/>
      <c r="V820" s="300"/>
      <c r="W820" s="300"/>
      <c r="X820" s="300"/>
      <c r="Y820" s="300"/>
      <c r="Z820" s="300"/>
      <c r="AA820" s="300"/>
    </row>
    <row r="821" spans="1:27" ht="15.5" x14ac:dyDescent="0.35">
      <c r="A821" s="300"/>
      <c r="B821" s="300"/>
      <c r="C821" s="300"/>
      <c r="D821" s="300"/>
      <c r="E821" s="300"/>
      <c r="F821" s="300"/>
      <c r="G821" s="300"/>
      <c r="H821" s="300"/>
      <c r="I821" s="300"/>
      <c r="J821" s="300"/>
      <c r="K821" s="300"/>
      <c r="L821" s="300"/>
      <c r="M821" s="300"/>
      <c r="N821" s="300"/>
      <c r="O821" s="300"/>
      <c r="P821" s="300"/>
      <c r="Q821" s="300"/>
      <c r="R821" s="300"/>
      <c r="S821" s="300"/>
      <c r="T821" s="300"/>
      <c r="U821" s="300"/>
      <c r="V821" s="300"/>
      <c r="W821" s="300"/>
      <c r="X821" s="300"/>
      <c r="Y821" s="300"/>
      <c r="Z821" s="300"/>
      <c r="AA821" s="300"/>
    </row>
    <row r="822" spans="1:27" ht="15.5" x14ac:dyDescent="0.35">
      <c r="A822" s="300"/>
      <c r="B822" s="300"/>
      <c r="C822" s="300"/>
      <c r="D822" s="300"/>
      <c r="E822" s="300"/>
      <c r="F822" s="300"/>
      <c r="G822" s="300"/>
      <c r="H822" s="300"/>
      <c r="I822" s="300"/>
      <c r="J822" s="300"/>
      <c r="K822" s="300"/>
      <c r="L822" s="300"/>
      <c r="M822" s="300"/>
      <c r="N822" s="300"/>
      <c r="O822" s="300"/>
      <c r="P822" s="300"/>
      <c r="Q822" s="300"/>
      <c r="R822" s="300"/>
      <c r="S822" s="300"/>
      <c r="T822" s="300"/>
      <c r="U822" s="300"/>
      <c r="V822" s="300"/>
      <c r="W822" s="300"/>
      <c r="X822" s="300"/>
      <c r="Y822" s="300"/>
      <c r="Z822" s="300"/>
      <c r="AA822" s="300"/>
    </row>
    <row r="823" spans="1:27" ht="15.5" x14ac:dyDescent="0.35">
      <c r="A823" s="300"/>
      <c r="B823" s="300"/>
      <c r="C823" s="300"/>
      <c r="D823" s="300"/>
      <c r="E823" s="300"/>
      <c r="F823" s="300"/>
      <c r="G823" s="300"/>
      <c r="H823" s="300"/>
      <c r="I823" s="300"/>
      <c r="J823" s="300"/>
      <c r="K823" s="300"/>
      <c r="L823" s="300"/>
      <c r="M823" s="300"/>
      <c r="N823" s="300"/>
      <c r="O823" s="300"/>
      <c r="P823" s="300"/>
      <c r="Q823" s="300"/>
      <c r="R823" s="300"/>
      <c r="S823" s="300"/>
      <c r="T823" s="300"/>
      <c r="U823" s="300"/>
      <c r="V823" s="300"/>
      <c r="W823" s="300"/>
      <c r="X823" s="300"/>
      <c r="Y823" s="300"/>
      <c r="Z823" s="300"/>
      <c r="AA823" s="300"/>
    </row>
    <row r="824" spans="1:27" ht="15.5" x14ac:dyDescent="0.35">
      <c r="A824" s="300"/>
      <c r="B824" s="300"/>
      <c r="C824" s="300"/>
      <c r="D824" s="300"/>
      <c r="E824" s="300"/>
      <c r="F824" s="300"/>
      <c r="G824" s="300"/>
      <c r="H824" s="300"/>
      <c r="I824" s="300"/>
      <c r="J824" s="300"/>
      <c r="K824" s="300"/>
      <c r="L824" s="300"/>
      <c r="M824" s="300"/>
      <c r="N824" s="300"/>
      <c r="O824" s="300"/>
      <c r="P824" s="300"/>
      <c r="Q824" s="300"/>
      <c r="R824" s="300"/>
      <c r="S824" s="300"/>
      <c r="T824" s="300"/>
      <c r="U824" s="300"/>
      <c r="V824" s="300"/>
      <c r="W824" s="300"/>
      <c r="X824" s="300"/>
      <c r="Y824" s="300"/>
      <c r="Z824" s="300"/>
      <c r="AA824" s="300"/>
    </row>
    <row r="825" spans="1:27" ht="15.5" x14ac:dyDescent="0.35">
      <c r="A825" s="300"/>
      <c r="B825" s="300"/>
      <c r="C825" s="300"/>
      <c r="D825" s="300"/>
      <c r="E825" s="300"/>
      <c r="F825" s="300"/>
      <c r="G825" s="300"/>
      <c r="H825" s="300"/>
      <c r="I825" s="300"/>
      <c r="J825" s="300"/>
      <c r="K825" s="300"/>
      <c r="L825" s="300"/>
      <c r="M825" s="300"/>
      <c r="N825" s="300"/>
      <c r="O825" s="300"/>
      <c r="P825" s="300"/>
      <c r="Q825" s="300"/>
      <c r="R825" s="300"/>
      <c r="S825" s="300"/>
      <c r="T825" s="300"/>
      <c r="U825" s="300"/>
      <c r="V825" s="300"/>
      <c r="W825" s="300"/>
      <c r="X825" s="300"/>
      <c r="Y825" s="300"/>
      <c r="Z825" s="300"/>
      <c r="AA825" s="300"/>
    </row>
    <row r="826" spans="1:27" ht="15.5" x14ac:dyDescent="0.35">
      <c r="A826" s="300"/>
      <c r="B826" s="300"/>
      <c r="C826" s="300"/>
      <c r="D826" s="300"/>
      <c r="E826" s="300"/>
      <c r="F826" s="300"/>
      <c r="G826" s="300"/>
      <c r="H826" s="300"/>
      <c r="I826" s="300"/>
      <c r="J826" s="300"/>
      <c r="K826" s="300"/>
      <c r="L826" s="300"/>
      <c r="M826" s="300"/>
      <c r="N826" s="300"/>
      <c r="O826" s="300"/>
      <c r="P826" s="300"/>
      <c r="Q826" s="300"/>
      <c r="R826" s="300"/>
      <c r="S826" s="300"/>
      <c r="T826" s="300"/>
      <c r="U826" s="300"/>
      <c r="V826" s="300"/>
      <c r="W826" s="300"/>
      <c r="X826" s="300"/>
      <c r="Y826" s="300"/>
      <c r="Z826" s="300"/>
      <c r="AA826" s="300"/>
    </row>
    <row r="827" spans="1:27" ht="15.5" x14ac:dyDescent="0.35">
      <c r="A827" s="300"/>
      <c r="B827" s="300"/>
      <c r="C827" s="300"/>
      <c r="D827" s="300"/>
      <c r="E827" s="300"/>
      <c r="F827" s="300"/>
      <c r="G827" s="300"/>
      <c r="H827" s="300"/>
      <c r="I827" s="300"/>
      <c r="J827" s="300"/>
      <c r="K827" s="300"/>
      <c r="L827" s="300"/>
      <c r="M827" s="300"/>
      <c r="N827" s="300"/>
      <c r="O827" s="300"/>
      <c r="P827" s="300"/>
      <c r="Q827" s="300"/>
      <c r="R827" s="300"/>
      <c r="S827" s="300"/>
      <c r="T827" s="300"/>
      <c r="U827" s="300"/>
      <c r="V827" s="300"/>
      <c r="W827" s="300"/>
      <c r="X827" s="300"/>
      <c r="Y827" s="300"/>
      <c r="Z827" s="300"/>
      <c r="AA827" s="300"/>
    </row>
    <row r="828" spans="1:27" ht="15.5" x14ac:dyDescent="0.35">
      <c r="A828" s="300"/>
      <c r="B828" s="300"/>
      <c r="C828" s="300"/>
      <c r="D828" s="300"/>
      <c r="E828" s="300"/>
      <c r="F828" s="300"/>
      <c r="G828" s="300"/>
      <c r="H828" s="300"/>
      <c r="I828" s="300"/>
      <c r="J828" s="300"/>
      <c r="K828" s="300"/>
      <c r="L828" s="300"/>
      <c r="M828" s="300"/>
      <c r="N828" s="300"/>
      <c r="O828" s="300"/>
      <c r="P828" s="300"/>
      <c r="Q828" s="300"/>
      <c r="R828" s="300"/>
      <c r="S828" s="300"/>
      <c r="T828" s="300"/>
      <c r="U828" s="300"/>
      <c r="V828" s="300"/>
      <c r="W828" s="300"/>
      <c r="X828" s="300"/>
      <c r="Y828" s="300"/>
      <c r="Z828" s="300"/>
      <c r="AA828" s="300"/>
    </row>
    <row r="829" spans="1:27" ht="15.5" x14ac:dyDescent="0.35">
      <c r="A829" s="300"/>
      <c r="B829" s="300"/>
      <c r="C829" s="300"/>
      <c r="D829" s="300"/>
      <c r="E829" s="300"/>
      <c r="F829" s="300"/>
      <c r="G829" s="300"/>
      <c r="H829" s="300"/>
      <c r="I829" s="300"/>
      <c r="J829" s="300"/>
      <c r="K829" s="300"/>
      <c r="L829" s="300"/>
      <c r="M829" s="300"/>
      <c r="N829" s="300"/>
      <c r="O829" s="300"/>
      <c r="P829" s="300"/>
      <c r="Q829" s="300"/>
      <c r="R829" s="300"/>
      <c r="S829" s="300"/>
      <c r="T829" s="300"/>
      <c r="U829" s="300"/>
      <c r="V829" s="300"/>
      <c r="W829" s="300"/>
      <c r="X829" s="300"/>
      <c r="Y829" s="300"/>
      <c r="Z829" s="300"/>
      <c r="AA829" s="300"/>
    </row>
    <row r="830" spans="1:27" ht="15.5" x14ac:dyDescent="0.35">
      <c r="A830" s="300"/>
      <c r="B830" s="300"/>
      <c r="C830" s="300"/>
      <c r="D830" s="300"/>
      <c r="E830" s="300"/>
      <c r="F830" s="300"/>
      <c r="G830" s="300"/>
      <c r="H830" s="300"/>
      <c r="I830" s="300"/>
      <c r="J830" s="300"/>
      <c r="K830" s="300"/>
      <c r="L830" s="300"/>
      <c r="M830" s="300"/>
      <c r="N830" s="300"/>
      <c r="O830" s="300"/>
      <c r="P830" s="300"/>
      <c r="Q830" s="300"/>
      <c r="R830" s="300"/>
      <c r="S830" s="300"/>
      <c r="T830" s="300"/>
      <c r="U830" s="300"/>
      <c r="V830" s="300"/>
      <c r="W830" s="300"/>
      <c r="X830" s="300"/>
      <c r="Y830" s="300"/>
      <c r="Z830" s="300"/>
      <c r="AA830" s="300"/>
    </row>
    <row r="831" spans="1:27" ht="15.5" x14ac:dyDescent="0.35">
      <c r="A831" s="300"/>
      <c r="B831" s="300"/>
      <c r="C831" s="300"/>
      <c r="D831" s="300"/>
      <c r="E831" s="300"/>
      <c r="F831" s="300"/>
      <c r="G831" s="300"/>
      <c r="H831" s="300"/>
      <c r="I831" s="300"/>
      <c r="J831" s="300"/>
      <c r="K831" s="300"/>
      <c r="L831" s="300"/>
      <c r="M831" s="300"/>
      <c r="N831" s="300"/>
      <c r="O831" s="300"/>
      <c r="P831" s="300"/>
      <c r="Q831" s="300"/>
      <c r="R831" s="300"/>
      <c r="S831" s="300"/>
      <c r="T831" s="300"/>
      <c r="U831" s="300"/>
      <c r="V831" s="300"/>
      <c r="W831" s="300"/>
      <c r="X831" s="300"/>
      <c r="Y831" s="300"/>
      <c r="Z831" s="300"/>
      <c r="AA831" s="300"/>
    </row>
    <row r="832" spans="1:27" ht="15.5" x14ac:dyDescent="0.35">
      <c r="A832" s="300"/>
      <c r="B832" s="300"/>
      <c r="C832" s="300"/>
      <c r="D832" s="300"/>
      <c r="E832" s="300"/>
      <c r="F832" s="300"/>
      <c r="G832" s="300"/>
      <c r="H832" s="300"/>
      <c r="I832" s="300"/>
      <c r="J832" s="300"/>
      <c r="K832" s="300"/>
      <c r="L832" s="300"/>
      <c r="M832" s="300"/>
      <c r="N832" s="300"/>
      <c r="O832" s="300"/>
      <c r="P832" s="300"/>
      <c r="Q832" s="300"/>
      <c r="R832" s="300"/>
      <c r="S832" s="300"/>
      <c r="T832" s="300"/>
      <c r="U832" s="300"/>
      <c r="V832" s="300"/>
      <c r="W832" s="300"/>
      <c r="X832" s="300"/>
      <c r="Y832" s="300"/>
      <c r="Z832" s="300"/>
      <c r="AA832" s="300"/>
    </row>
    <row r="833" spans="1:27" ht="15.5" x14ac:dyDescent="0.35">
      <c r="A833" s="300"/>
      <c r="B833" s="300"/>
      <c r="C833" s="300"/>
      <c r="D833" s="300"/>
      <c r="E833" s="300"/>
      <c r="F833" s="300"/>
      <c r="G833" s="300"/>
      <c r="H833" s="300"/>
      <c r="I833" s="300"/>
      <c r="J833" s="300"/>
      <c r="K833" s="300"/>
      <c r="L833" s="300"/>
      <c r="M833" s="300"/>
      <c r="N833" s="300"/>
      <c r="O833" s="300"/>
      <c r="P833" s="300"/>
      <c r="Q833" s="300"/>
      <c r="R833" s="300"/>
      <c r="S833" s="300"/>
      <c r="T833" s="300"/>
      <c r="U833" s="300"/>
      <c r="V833" s="300"/>
      <c r="W833" s="300"/>
      <c r="X833" s="300"/>
      <c r="Y833" s="300"/>
      <c r="Z833" s="300"/>
      <c r="AA833" s="300"/>
    </row>
    <row r="834" spans="1:27" ht="15.5" x14ac:dyDescent="0.35">
      <c r="A834" s="300"/>
      <c r="B834" s="300"/>
      <c r="C834" s="300"/>
      <c r="D834" s="300"/>
      <c r="E834" s="300"/>
      <c r="F834" s="300"/>
      <c r="G834" s="300"/>
      <c r="H834" s="300"/>
      <c r="I834" s="300"/>
      <c r="J834" s="300"/>
      <c r="K834" s="300"/>
      <c r="L834" s="300"/>
      <c r="M834" s="300"/>
      <c r="N834" s="300"/>
      <c r="O834" s="300"/>
      <c r="P834" s="300"/>
      <c r="Q834" s="300"/>
      <c r="R834" s="300"/>
      <c r="S834" s="300"/>
      <c r="T834" s="300"/>
      <c r="U834" s="300"/>
      <c r="V834" s="300"/>
      <c r="W834" s="300"/>
      <c r="X834" s="300"/>
      <c r="Y834" s="300"/>
      <c r="Z834" s="300"/>
      <c r="AA834" s="300"/>
    </row>
    <row r="835" spans="1:27" ht="15.5" x14ac:dyDescent="0.35">
      <c r="A835" s="300"/>
      <c r="B835" s="300"/>
      <c r="C835" s="300"/>
      <c r="D835" s="300"/>
      <c r="E835" s="300"/>
      <c r="F835" s="300"/>
      <c r="G835" s="300"/>
      <c r="H835" s="300"/>
      <c r="I835" s="300"/>
      <c r="J835" s="300"/>
      <c r="K835" s="300"/>
      <c r="L835" s="300"/>
      <c r="M835" s="300"/>
      <c r="N835" s="300"/>
      <c r="O835" s="300"/>
      <c r="P835" s="300"/>
      <c r="Q835" s="300"/>
      <c r="R835" s="300"/>
      <c r="S835" s="300"/>
      <c r="T835" s="300"/>
      <c r="U835" s="300"/>
      <c r="V835" s="300"/>
      <c r="W835" s="300"/>
      <c r="X835" s="300"/>
      <c r="Y835" s="300"/>
      <c r="Z835" s="300"/>
      <c r="AA835" s="300"/>
    </row>
    <row r="836" spans="1:27" ht="15.5" x14ac:dyDescent="0.35">
      <c r="A836" s="300"/>
      <c r="B836" s="300"/>
      <c r="C836" s="300"/>
      <c r="D836" s="300"/>
      <c r="E836" s="300"/>
      <c r="F836" s="300"/>
      <c r="G836" s="300"/>
      <c r="H836" s="300"/>
      <c r="I836" s="300"/>
      <c r="J836" s="300"/>
      <c r="K836" s="300"/>
      <c r="L836" s="300"/>
      <c r="M836" s="300"/>
      <c r="N836" s="300"/>
      <c r="O836" s="300"/>
      <c r="P836" s="300"/>
      <c r="Q836" s="300"/>
      <c r="R836" s="300"/>
      <c r="S836" s="300"/>
      <c r="T836" s="300"/>
      <c r="U836" s="300"/>
      <c r="V836" s="300"/>
      <c r="W836" s="300"/>
      <c r="X836" s="300"/>
      <c r="Y836" s="300"/>
      <c r="Z836" s="300"/>
      <c r="AA836" s="300"/>
    </row>
    <row r="837" spans="1:27" ht="15.5" x14ac:dyDescent="0.35">
      <c r="A837" s="300"/>
      <c r="B837" s="300"/>
      <c r="C837" s="300"/>
      <c r="D837" s="300"/>
      <c r="E837" s="300"/>
      <c r="F837" s="300"/>
      <c r="G837" s="300"/>
      <c r="H837" s="300"/>
      <c r="I837" s="300"/>
      <c r="J837" s="300"/>
      <c r="K837" s="300"/>
      <c r="L837" s="300"/>
      <c r="M837" s="300"/>
      <c r="N837" s="300"/>
      <c r="O837" s="300"/>
      <c r="P837" s="300"/>
      <c r="Q837" s="300"/>
      <c r="R837" s="300"/>
      <c r="S837" s="300"/>
      <c r="T837" s="300"/>
      <c r="U837" s="300"/>
      <c r="V837" s="300"/>
      <c r="W837" s="300"/>
      <c r="X837" s="300"/>
      <c r="Y837" s="300"/>
      <c r="Z837" s="300"/>
      <c r="AA837" s="300"/>
    </row>
    <row r="838" spans="1:27" ht="15.5" x14ac:dyDescent="0.35">
      <c r="A838" s="300"/>
      <c r="B838" s="300"/>
      <c r="C838" s="300"/>
      <c r="D838" s="300"/>
      <c r="E838" s="300"/>
      <c r="F838" s="300"/>
      <c r="G838" s="300"/>
      <c r="H838" s="300"/>
      <c r="I838" s="300"/>
      <c r="J838" s="300"/>
      <c r="K838" s="300"/>
      <c r="L838" s="300"/>
      <c r="M838" s="300"/>
      <c r="N838" s="300"/>
      <c r="O838" s="300"/>
      <c r="P838" s="300"/>
      <c r="Q838" s="300"/>
      <c r="R838" s="300"/>
      <c r="S838" s="300"/>
      <c r="T838" s="300"/>
      <c r="U838" s="300"/>
      <c r="V838" s="300"/>
      <c r="W838" s="300"/>
      <c r="X838" s="300"/>
      <c r="Y838" s="300"/>
      <c r="Z838" s="300"/>
      <c r="AA838" s="300"/>
    </row>
    <row r="839" spans="1:27" ht="15.5" x14ac:dyDescent="0.35">
      <c r="A839" s="300"/>
      <c r="B839" s="300"/>
      <c r="C839" s="300"/>
      <c r="D839" s="300"/>
      <c r="E839" s="300"/>
      <c r="F839" s="300"/>
      <c r="G839" s="300"/>
      <c r="H839" s="300"/>
      <c r="I839" s="300"/>
      <c r="J839" s="300"/>
      <c r="K839" s="300"/>
      <c r="L839" s="300"/>
      <c r="M839" s="300"/>
      <c r="N839" s="300"/>
      <c r="O839" s="300"/>
      <c r="P839" s="300"/>
      <c r="Q839" s="300"/>
      <c r="R839" s="300"/>
      <c r="S839" s="300"/>
      <c r="T839" s="300"/>
      <c r="U839" s="300"/>
      <c r="V839" s="300"/>
      <c r="W839" s="300"/>
      <c r="X839" s="300"/>
      <c r="Y839" s="300"/>
      <c r="Z839" s="300"/>
      <c r="AA839" s="300"/>
    </row>
    <row r="840" spans="1:27" ht="15.5" x14ac:dyDescent="0.35">
      <c r="A840" s="300"/>
      <c r="B840" s="300"/>
      <c r="C840" s="300"/>
      <c r="D840" s="300"/>
      <c r="E840" s="300"/>
      <c r="F840" s="300"/>
      <c r="G840" s="300"/>
      <c r="H840" s="300"/>
      <c r="I840" s="300"/>
      <c r="J840" s="300"/>
      <c r="K840" s="300"/>
      <c r="L840" s="300"/>
      <c r="M840" s="300"/>
      <c r="N840" s="300"/>
      <c r="O840" s="300"/>
      <c r="P840" s="300"/>
      <c r="Q840" s="300"/>
      <c r="R840" s="300"/>
      <c r="S840" s="300"/>
      <c r="T840" s="300"/>
      <c r="U840" s="300"/>
      <c r="V840" s="300"/>
      <c r="W840" s="300"/>
      <c r="X840" s="300"/>
      <c r="Y840" s="300"/>
      <c r="Z840" s="300"/>
      <c r="AA840" s="300"/>
    </row>
    <row r="841" spans="1:27" ht="15.5" x14ac:dyDescent="0.35">
      <c r="A841" s="300"/>
      <c r="B841" s="300"/>
      <c r="C841" s="300"/>
      <c r="D841" s="300"/>
      <c r="E841" s="300"/>
      <c r="F841" s="300"/>
      <c r="G841" s="300"/>
      <c r="H841" s="300"/>
      <c r="I841" s="300"/>
      <c r="J841" s="300"/>
      <c r="K841" s="300"/>
      <c r="L841" s="300"/>
      <c r="M841" s="300"/>
      <c r="N841" s="300"/>
      <c r="O841" s="300"/>
      <c r="P841" s="300"/>
      <c r="Q841" s="300"/>
      <c r="R841" s="300"/>
      <c r="S841" s="300"/>
      <c r="T841" s="300"/>
      <c r="U841" s="300"/>
      <c r="V841" s="300"/>
      <c r="W841" s="300"/>
      <c r="X841" s="300"/>
      <c r="Y841" s="300"/>
      <c r="Z841" s="300"/>
      <c r="AA841" s="300"/>
    </row>
    <row r="842" spans="1:27" ht="15.5" x14ac:dyDescent="0.35">
      <c r="A842" s="300"/>
      <c r="B842" s="300"/>
      <c r="C842" s="300"/>
      <c r="D842" s="300"/>
      <c r="E842" s="300"/>
      <c r="F842" s="300"/>
      <c r="G842" s="300"/>
      <c r="H842" s="300"/>
      <c r="I842" s="300"/>
      <c r="J842" s="300"/>
      <c r="K842" s="300"/>
      <c r="L842" s="300"/>
      <c r="M842" s="300"/>
      <c r="N842" s="300"/>
      <c r="O842" s="300"/>
      <c r="P842" s="300"/>
      <c r="Q842" s="300"/>
      <c r="R842" s="300"/>
      <c r="S842" s="300"/>
      <c r="T842" s="300"/>
      <c r="U842" s="300"/>
      <c r="V842" s="300"/>
      <c r="W842" s="300"/>
      <c r="X842" s="300"/>
      <c r="Y842" s="300"/>
      <c r="Z842" s="300"/>
      <c r="AA842" s="300"/>
    </row>
    <row r="843" spans="1:27" ht="15.5" x14ac:dyDescent="0.35">
      <c r="A843" s="300"/>
      <c r="B843" s="300"/>
      <c r="C843" s="300"/>
      <c r="D843" s="300"/>
      <c r="E843" s="300"/>
      <c r="F843" s="300"/>
      <c r="G843" s="300"/>
      <c r="H843" s="300"/>
      <c r="I843" s="300"/>
      <c r="J843" s="300"/>
      <c r="K843" s="300"/>
      <c r="L843" s="300"/>
      <c r="M843" s="300"/>
      <c r="N843" s="300"/>
      <c r="O843" s="300"/>
      <c r="P843" s="300"/>
      <c r="Q843" s="300"/>
      <c r="R843" s="300"/>
      <c r="S843" s="300"/>
      <c r="T843" s="300"/>
      <c r="U843" s="300"/>
      <c r="V843" s="300"/>
      <c r="W843" s="300"/>
      <c r="X843" s="300"/>
      <c r="Y843" s="300"/>
      <c r="Z843" s="300"/>
      <c r="AA843" s="300"/>
    </row>
    <row r="844" spans="1:27" ht="15.5" x14ac:dyDescent="0.35">
      <c r="A844" s="300"/>
      <c r="B844" s="300"/>
      <c r="C844" s="300"/>
      <c r="D844" s="300"/>
      <c r="E844" s="300"/>
      <c r="F844" s="300"/>
      <c r="G844" s="300"/>
      <c r="H844" s="300"/>
      <c r="I844" s="300"/>
      <c r="J844" s="300"/>
      <c r="K844" s="300"/>
      <c r="L844" s="300"/>
      <c r="M844" s="300"/>
      <c r="N844" s="300"/>
      <c r="O844" s="300"/>
      <c r="P844" s="300"/>
      <c r="Q844" s="300"/>
      <c r="R844" s="300"/>
      <c r="S844" s="300"/>
      <c r="T844" s="300"/>
      <c r="U844" s="300"/>
      <c r="V844" s="300"/>
      <c r="W844" s="300"/>
      <c r="X844" s="300"/>
      <c r="Y844" s="300"/>
      <c r="Z844" s="300"/>
      <c r="AA844" s="300"/>
    </row>
    <row r="845" spans="1:27" ht="15.5" x14ac:dyDescent="0.35">
      <c r="A845" s="300"/>
      <c r="B845" s="300"/>
      <c r="C845" s="300"/>
      <c r="D845" s="300"/>
      <c r="E845" s="300"/>
      <c r="F845" s="300"/>
      <c r="G845" s="300"/>
      <c r="H845" s="300"/>
      <c r="I845" s="300"/>
      <c r="J845" s="300"/>
      <c r="K845" s="300"/>
      <c r="L845" s="300"/>
      <c r="M845" s="300"/>
      <c r="N845" s="300"/>
      <c r="O845" s="300"/>
      <c r="P845" s="300"/>
      <c r="Q845" s="300"/>
      <c r="R845" s="300"/>
      <c r="S845" s="300"/>
      <c r="T845" s="300"/>
      <c r="U845" s="300"/>
      <c r="V845" s="300"/>
      <c r="W845" s="300"/>
      <c r="X845" s="300"/>
      <c r="Y845" s="300"/>
      <c r="Z845" s="300"/>
      <c r="AA845" s="300"/>
    </row>
    <row r="846" spans="1:27" ht="15.5" x14ac:dyDescent="0.35">
      <c r="A846" s="300"/>
      <c r="B846" s="300"/>
      <c r="C846" s="300"/>
      <c r="D846" s="300"/>
      <c r="E846" s="300"/>
      <c r="F846" s="300"/>
      <c r="G846" s="300"/>
      <c r="H846" s="300"/>
      <c r="I846" s="300"/>
      <c r="J846" s="300"/>
      <c r="K846" s="300"/>
      <c r="L846" s="300"/>
      <c r="M846" s="300"/>
      <c r="N846" s="300"/>
      <c r="O846" s="300"/>
      <c r="P846" s="300"/>
      <c r="Q846" s="300"/>
      <c r="R846" s="300"/>
      <c r="S846" s="300"/>
      <c r="T846" s="300"/>
      <c r="U846" s="300"/>
      <c r="V846" s="300"/>
      <c r="W846" s="300"/>
      <c r="X846" s="300"/>
      <c r="Y846" s="300"/>
      <c r="Z846" s="300"/>
      <c r="AA846" s="300"/>
    </row>
    <row r="847" spans="1:27" ht="15.5" x14ac:dyDescent="0.35">
      <c r="A847" s="300"/>
      <c r="B847" s="300"/>
      <c r="C847" s="300"/>
      <c r="D847" s="300"/>
      <c r="E847" s="300"/>
      <c r="F847" s="300"/>
      <c r="G847" s="300"/>
      <c r="H847" s="300"/>
      <c r="I847" s="300"/>
      <c r="J847" s="300"/>
      <c r="K847" s="300"/>
      <c r="L847" s="300"/>
      <c r="M847" s="300"/>
      <c r="N847" s="300"/>
      <c r="O847" s="300"/>
      <c r="P847" s="300"/>
      <c r="Q847" s="300"/>
      <c r="R847" s="300"/>
      <c r="S847" s="300"/>
      <c r="T847" s="300"/>
      <c r="U847" s="300"/>
      <c r="V847" s="300"/>
      <c r="W847" s="300"/>
      <c r="X847" s="300"/>
      <c r="Y847" s="300"/>
      <c r="Z847" s="300"/>
      <c r="AA847" s="300"/>
    </row>
    <row r="848" spans="1:27" ht="15.5" x14ac:dyDescent="0.35">
      <c r="A848" s="300"/>
      <c r="B848" s="300"/>
      <c r="C848" s="300"/>
      <c r="D848" s="300"/>
      <c r="E848" s="300"/>
      <c r="F848" s="300"/>
      <c r="G848" s="300"/>
      <c r="H848" s="300"/>
      <c r="I848" s="300"/>
      <c r="J848" s="300"/>
      <c r="K848" s="300"/>
      <c r="L848" s="300"/>
      <c r="M848" s="300"/>
      <c r="N848" s="300"/>
      <c r="O848" s="300"/>
      <c r="P848" s="300"/>
      <c r="Q848" s="300"/>
      <c r="R848" s="300"/>
      <c r="S848" s="300"/>
      <c r="T848" s="300"/>
      <c r="U848" s="300"/>
      <c r="V848" s="300"/>
      <c r="W848" s="300"/>
      <c r="X848" s="300"/>
      <c r="Y848" s="300"/>
      <c r="Z848" s="300"/>
      <c r="AA848" s="300"/>
    </row>
    <row r="849" spans="1:27" ht="15.5" x14ac:dyDescent="0.35">
      <c r="A849" s="300"/>
      <c r="B849" s="300"/>
      <c r="C849" s="300"/>
      <c r="D849" s="300"/>
      <c r="E849" s="300"/>
      <c r="F849" s="300"/>
      <c r="G849" s="300"/>
      <c r="H849" s="300"/>
      <c r="I849" s="300"/>
      <c r="J849" s="300"/>
      <c r="K849" s="300"/>
      <c r="L849" s="300"/>
      <c r="M849" s="300"/>
      <c r="N849" s="300"/>
      <c r="O849" s="300"/>
      <c r="P849" s="300"/>
      <c r="Q849" s="300"/>
      <c r="R849" s="300"/>
      <c r="S849" s="300"/>
      <c r="T849" s="300"/>
      <c r="U849" s="300"/>
      <c r="V849" s="300"/>
      <c r="W849" s="300"/>
      <c r="X849" s="300"/>
      <c r="Y849" s="300"/>
      <c r="Z849" s="300"/>
      <c r="AA849" s="300"/>
    </row>
    <row r="850" spans="1:27" ht="15.5" x14ac:dyDescent="0.35">
      <c r="A850" s="300"/>
      <c r="B850" s="300"/>
      <c r="C850" s="300"/>
      <c r="D850" s="300"/>
      <c r="E850" s="300"/>
      <c r="F850" s="300"/>
      <c r="G850" s="300"/>
      <c r="H850" s="300"/>
      <c r="I850" s="300"/>
      <c r="J850" s="300"/>
      <c r="K850" s="300"/>
      <c r="L850" s="300"/>
      <c r="M850" s="300"/>
      <c r="N850" s="300"/>
      <c r="O850" s="300"/>
      <c r="P850" s="300"/>
      <c r="Q850" s="300"/>
      <c r="R850" s="300"/>
      <c r="S850" s="300"/>
      <c r="T850" s="300"/>
      <c r="U850" s="300"/>
      <c r="V850" s="300"/>
      <c r="W850" s="300"/>
      <c r="X850" s="300"/>
      <c r="Y850" s="300"/>
      <c r="Z850" s="300"/>
      <c r="AA850" s="300"/>
    </row>
    <row r="851" spans="1:27" ht="15.5" x14ac:dyDescent="0.35">
      <c r="A851" s="300"/>
      <c r="B851" s="300"/>
      <c r="C851" s="300"/>
      <c r="D851" s="300"/>
      <c r="E851" s="300"/>
      <c r="F851" s="300"/>
      <c r="G851" s="300"/>
      <c r="H851" s="300"/>
      <c r="I851" s="300"/>
      <c r="J851" s="300"/>
      <c r="K851" s="300"/>
      <c r="L851" s="300"/>
      <c r="M851" s="300"/>
      <c r="N851" s="300"/>
      <c r="O851" s="300"/>
      <c r="P851" s="300"/>
      <c r="Q851" s="300"/>
      <c r="R851" s="300"/>
      <c r="S851" s="300"/>
      <c r="T851" s="300"/>
      <c r="U851" s="300"/>
      <c r="V851" s="300"/>
      <c r="W851" s="300"/>
      <c r="X851" s="300"/>
      <c r="Y851" s="300"/>
      <c r="Z851" s="300"/>
      <c r="AA851" s="300"/>
    </row>
    <row r="852" spans="1:27" ht="15.5" x14ac:dyDescent="0.35">
      <c r="A852" s="300"/>
      <c r="B852" s="300"/>
      <c r="C852" s="300"/>
      <c r="D852" s="300"/>
      <c r="E852" s="300"/>
      <c r="F852" s="300"/>
      <c r="G852" s="300"/>
      <c r="H852" s="300"/>
      <c r="I852" s="300"/>
      <c r="J852" s="300"/>
      <c r="K852" s="300"/>
      <c r="L852" s="300"/>
      <c r="M852" s="300"/>
      <c r="N852" s="300"/>
      <c r="O852" s="300"/>
      <c r="P852" s="300"/>
      <c r="Q852" s="300"/>
      <c r="R852" s="300"/>
      <c r="S852" s="300"/>
      <c r="T852" s="300"/>
      <c r="U852" s="300"/>
      <c r="V852" s="300"/>
      <c r="W852" s="300"/>
      <c r="X852" s="300"/>
      <c r="Y852" s="300"/>
      <c r="Z852" s="300"/>
      <c r="AA852" s="300"/>
    </row>
    <row r="853" spans="1:27" ht="15.5" x14ac:dyDescent="0.35">
      <c r="A853" s="300"/>
      <c r="B853" s="300"/>
      <c r="C853" s="300"/>
      <c r="D853" s="300"/>
      <c r="E853" s="300"/>
      <c r="F853" s="300"/>
      <c r="G853" s="300"/>
      <c r="H853" s="300"/>
      <c r="I853" s="300"/>
      <c r="J853" s="300"/>
      <c r="K853" s="300"/>
      <c r="L853" s="300"/>
      <c r="M853" s="300"/>
      <c r="N853" s="300"/>
      <c r="O853" s="300"/>
      <c r="P853" s="300"/>
      <c r="Q853" s="300"/>
      <c r="R853" s="300"/>
      <c r="S853" s="300"/>
      <c r="T853" s="300"/>
      <c r="U853" s="300"/>
      <c r="V853" s="300"/>
      <c r="W853" s="300"/>
      <c r="X853" s="300"/>
      <c r="Y853" s="300"/>
      <c r="Z853" s="300"/>
      <c r="AA853" s="300"/>
    </row>
    <row r="854" spans="1:27" ht="15.5" x14ac:dyDescent="0.35">
      <c r="A854" s="300"/>
      <c r="B854" s="300"/>
      <c r="C854" s="300"/>
      <c r="D854" s="300"/>
      <c r="E854" s="300"/>
      <c r="F854" s="300"/>
      <c r="G854" s="300"/>
      <c r="H854" s="300"/>
      <c r="I854" s="300"/>
      <c r="J854" s="300"/>
      <c r="K854" s="300"/>
      <c r="L854" s="300"/>
      <c r="M854" s="300"/>
      <c r="N854" s="300"/>
      <c r="O854" s="300"/>
      <c r="P854" s="300"/>
      <c r="Q854" s="300"/>
      <c r="R854" s="300"/>
      <c r="S854" s="300"/>
      <c r="T854" s="300"/>
      <c r="U854" s="300"/>
      <c r="V854" s="300"/>
      <c r="W854" s="300"/>
      <c r="X854" s="300"/>
      <c r="Y854" s="300"/>
      <c r="Z854" s="300"/>
      <c r="AA854" s="300"/>
    </row>
    <row r="855" spans="1:27" ht="15.5" x14ac:dyDescent="0.35">
      <c r="A855" s="300"/>
      <c r="B855" s="300"/>
      <c r="C855" s="300"/>
      <c r="D855" s="300"/>
      <c r="E855" s="300"/>
      <c r="F855" s="300"/>
      <c r="G855" s="300"/>
      <c r="H855" s="300"/>
      <c r="I855" s="300"/>
      <c r="J855" s="300"/>
      <c r="K855" s="300"/>
      <c r="L855" s="300"/>
      <c r="M855" s="300"/>
      <c r="N855" s="300"/>
      <c r="O855" s="300"/>
      <c r="P855" s="300"/>
      <c r="Q855" s="300"/>
      <c r="R855" s="300"/>
      <c r="S855" s="300"/>
      <c r="T855" s="300"/>
      <c r="U855" s="300"/>
      <c r="V855" s="300"/>
      <c r="W855" s="300"/>
      <c r="X855" s="300"/>
      <c r="Y855" s="300"/>
      <c r="Z855" s="300"/>
      <c r="AA855" s="300"/>
    </row>
    <row r="856" spans="1:27" ht="15.5" x14ac:dyDescent="0.35">
      <c r="A856" s="300"/>
      <c r="B856" s="300"/>
      <c r="C856" s="300"/>
      <c r="D856" s="300"/>
      <c r="E856" s="300"/>
      <c r="F856" s="300"/>
      <c r="G856" s="300"/>
      <c r="H856" s="300"/>
      <c r="I856" s="300"/>
      <c r="J856" s="300"/>
      <c r="K856" s="300"/>
      <c r="L856" s="300"/>
      <c r="M856" s="300"/>
      <c r="N856" s="300"/>
      <c r="O856" s="300"/>
      <c r="P856" s="300"/>
      <c r="Q856" s="300"/>
      <c r="R856" s="300"/>
      <c r="S856" s="300"/>
      <c r="T856" s="300"/>
      <c r="U856" s="300"/>
      <c r="V856" s="300"/>
      <c r="W856" s="300"/>
      <c r="X856" s="300"/>
      <c r="Y856" s="300"/>
      <c r="Z856" s="300"/>
      <c r="AA856" s="300"/>
    </row>
    <row r="857" spans="1:27" ht="15.5" x14ac:dyDescent="0.35">
      <c r="A857" s="300"/>
      <c r="B857" s="300"/>
      <c r="C857" s="300"/>
      <c r="D857" s="300"/>
      <c r="E857" s="300"/>
      <c r="F857" s="300"/>
      <c r="G857" s="300"/>
      <c r="H857" s="300"/>
      <c r="I857" s="300"/>
      <c r="J857" s="300"/>
      <c r="K857" s="300"/>
      <c r="L857" s="300"/>
      <c r="M857" s="300"/>
      <c r="N857" s="300"/>
      <c r="O857" s="300"/>
      <c r="P857" s="300"/>
      <c r="Q857" s="300"/>
      <c r="R857" s="300"/>
      <c r="S857" s="300"/>
      <c r="T857" s="300"/>
      <c r="U857" s="300"/>
      <c r="V857" s="300"/>
      <c r="W857" s="300"/>
      <c r="X857" s="300"/>
      <c r="Y857" s="300"/>
      <c r="Z857" s="300"/>
      <c r="AA857" s="300"/>
    </row>
    <row r="858" spans="1:27" ht="15.5" x14ac:dyDescent="0.35">
      <c r="A858" s="300"/>
      <c r="B858" s="300"/>
      <c r="C858" s="300"/>
      <c r="D858" s="300"/>
      <c r="E858" s="300"/>
      <c r="F858" s="300"/>
      <c r="G858" s="300"/>
      <c r="H858" s="300"/>
      <c r="I858" s="300"/>
      <c r="J858" s="300"/>
      <c r="K858" s="300"/>
      <c r="L858" s="300"/>
      <c r="M858" s="300"/>
      <c r="N858" s="300"/>
      <c r="O858" s="300"/>
      <c r="P858" s="300"/>
      <c r="Q858" s="300"/>
      <c r="R858" s="300"/>
      <c r="S858" s="300"/>
      <c r="T858" s="300"/>
      <c r="U858" s="300"/>
      <c r="V858" s="300"/>
      <c r="W858" s="300"/>
      <c r="X858" s="300"/>
      <c r="Y858" s="300"/>
      <c r="Z858" s="300"/>
      <c r="AA858" s="300"/>
    </row>
    <row r="859" spans="1:27" ht="15.5" x14ac:dyDescent="0.35">
      <c r="A859" s="300"/>
      <c r="B859" s="300"/>
      <c r="C859" s="300"/>
      <c r="D859" s="300"/>
      <c r="E859" s="300"/>
      <c r="F859" s="300"/>
      <c r="G859" s="300"/>
      <c r="H859" s="300"/>
      <c r="I859" s="300"/>
      <c r="J859" s="300"/>
      <c r="K859" s="300"/>
      <c r="L859" s="300"/>
      <c r="M859" s="300"/>
      <c r="N859" s="300"/>
      <c r="O859" s="300"/>
      <c r="P859" s="300"/>
      <c r="Q859" s="300"/>
      <c r="R859" s="300"/>
      <c r="S859" s="300"/>
      <c r="T859" s="300"/>
      <c r="U859" s="300"/>
      <c r="V859" s="300"/>
      <c r="W859" s="300"/>
      <c r="X859" s="300"/>
      <c r="Y859" s="300"/>
      <c r="Z859" s="300"/>
      <c r="AA859" s="300"/>
    </row>
    <row r="860" spans="1:27" ht="15.5" x14ac:dyDescent="0.35">
      <c r="A860" s="300"/>
      <c r="B860" s="300"/>
      <c r="C860" s="300"/>
      <c r="D860" s="300"/>
      <c r="E860" s="300"/>
      <c r="F860" s="300"/>
      <c r="G860" s="300"/>
      <c r="H860" s="300"/>
      <c r="I860" s="300"/>
      <c r="J860" s="300"/>
      <c r="K860" s="300"/>
      <c r="L860" s="300"/>
      <c r="M860" s="300"/>
      <c r="N860" s="300"/>
      <c r="O860" s="300"/>
      <c r="P860" s="300"/>
      <c r="Q860" s="300"/>
      <c r="R860" s="300"/>
      <c r="S860" s="300"/>
      <c r="T860" s="300"/>
      <c r="U860" s="300"/>
      <c r="V860" s="300"/>
      <c r="W860" s="300"/>
      <c r="X860" s="300"/>
      <c r="Y860" s="300"/>
      <c r="Z860" s="300"/>
      <c r="AA860" s="300"/>
    </row>
    <row r="861" spans="1:27" ht="15.5" x14ac:dyDescent="0.35">
      <c r="A861" s="300"/>
      <c r="B861" s="300"/>
      <c r="C861" s="300"/>
      <c r="D861" s="300"/>
      <c r="E861" s="300"/>
      <c r="F861" s="300"/>
      <c r="G861" s="300"/>
      <c r="H861" s="300"/>
      <c r="I861" s="300"/>
      <c r="J861" s="300"/>
      <c r="K861" s="300"/>
      <c r="L861" s="300"/>
      <c r="M861" s="300"/>
      <c r="N861" s="300"/>
      <c r="O861" s="300"/>
      <c r="P861" s="300"/>
      <c r="Q861" s="300"/>
      <c r="R861" s="300"/>
      <c r="S861" s="300"/>
      <c r="T861" s="300"/>
      <c r="U861" s="300"/>
      <c r="V861" s="300"/>
      <c r="W861" s="300"/>
      <c r="X861" s="300"/>
      <c r="Y861" s="300"/>
      <c r="Z861" s="300"/>
      <c r="AA861" s="300"/>
    </row>
    <row r="862" spans="1:27" ht="15.5" x14ac:dyDescent="0.35">
      <c r="A862" s="300"/>
      <c r="B862" s="300"/>
      <c r="C862" s="300"/>
      <c r="D862" s="300"/>
      <c r="E862" s="300"/>
      <c r="F862" s="300"/>
      <c r="G862" s="300"/>
      <c r="H862" s="300"/>
      <c r="I862" s="300"/>
      <c r="J862" s="300"/>
      <c r="K862" s="300"/>
      <c r="L862" s="300"/>
      <c r="M862" s="300"/>
      <c r="N862" s="300"/>
      <c r="O862" s="300"/>
      <c r="P862" s="300"/>
      <c r="Q862" s="300"/>
      <c r="R862" s="300"/>
      <c r="S862" s="300"/>
      <c r="T862" s="300"/>
      <c r="U862" s="300"/>
      <c r="V862" s="300"/>
      <c r="W862" s="300"/>
      <c r="X862" s="300"/>
      <c r="Y862" s="300"/>
      <c r="Z862" s="300"/>
      <c r="AA862" s="300"/>
    </row>
    <row r="863" spans="1:27" ht="15.5" x14ac:dyDescent="0.35">
      <c r="A863" s="300"/>
      <c r="B863" s="300"/>
      <c r="C863" s="300"/>
      <c r="D863" s="300"/>
      <c r="E863" s="300"/>
      <c r="F863" s="300"/>
      <c r="G863" s="300"/>
      <c r="H863" s="300"/>
      <c r="I863" s="300"/>
      <c r="J863" s="300"/>
      <c r="K863" s="300"/>
      <c r="L863" s="300"/>
      <c r="M863" s="300"/>
      <c r="N863" s="300"/>
      <c r="O863" s="300"/>
      <c r="P863" s="300"/>
      <c r="Q863" s="300"/>
      <c r="R863" s="300"/>
      <c r="S863" s="300"/>
      <c r="T863" s="300"/>
      <c r="U863" s="300"/>
      <c r="V863" s="300"/>
      <c r="W863" s="300"/>
      <c r="X863" s="300"/>
      <c r="Y863" s="300"/>
      <c r="Z863" s="300"/>
      <c r="AA863" s="300"/>
    </row>
    <row r="864" spans="1:27" ht="15.5" x14ac:dyDescent="0.35">
      <c r="A864" s="300"/>
      <c r="B864" s="300"/>
      <c r="C864" s="300"/>
      <c r="D864" s="300"/>
      <c r="E864" s="300"/>
      <c r="F864" s="300"/>
      <c r="G864" s="300"/>
      <c r="H864" s="300"/>
      <c r="I864" s="300"/>
      <c r="J864" s="300"/>
      <c r="K864" s="300"/>
      <c r="L864" s="300"/>
      <c r="M864" s="300"/>
      <c r="N864" s="300"/>
      <c r="O864" s="300"/>
      <c r="P864" s="300"/>
      <c r="Q864" s="300"/>
      <c r="R864" s="300"/>
      <c r="S864" s="300"/>
      <c r="T864" s="300"/>
      <c r="U864" s="300"/>
      <c r="V864" s="300"/>
      <c r="W864" s="300"/>
      <c r="X864" s="300"/>
      <c r="Y864" s="300"/>
      <c r="Z864" s="300"/>
      <c r="AA864" s="300"/>
    </row>
    <row r="865" spans="1:27" ht="15.5" x14ac:dyDescent="0.35">
      <c r="A865" s="300"/>
      <c r="B865" s="300"/>
      <c r="C865" s="300"/>
      <c r="D865" s="300"/>
      <c r="E865" s="300"/>
      <c r="F865" s="300"/>
      <c r="G865" s="300"/>
      <c r="H865" s="300"/>
      <c r="I865" s="300"/>
      <c r="J865" s="300"/>
      <c r="K865" s="300"/>
      <c r="L865" s="300"/>
      <c r="M865" s="300"/>
      <c r="N865" s="300"/>
      <c r="O865" s="300"/>
      <c r="P865" s="300"/>
      <c r="Q865" s="300"/>
      <c r="R865" s="300"/>
      <c r="S865" s="300"/>
      <c r="T865" s="300"/>
      <c r="U865" s="300"/>
      <c r="V865" s="300"/>
      <c r="W865" s="300"/>
      <c r="X865" s="300"/>
      <c r="Y865" s="300"/>
      <c r="Z865" s="300"/>
      <c r="AA865" s="300"/>
    </row>
    <row r="866" spans="1:27" ht="15.5" x14ac:dyDescent="0.35">
      <c r="A866" s="300"/>
      <c r="B866" s="300"/>
      <c r="C866" s="300"/>
      <c r="D866" s="300"/>
      <c r="E866" s="300"/>
      <c r="F866" s="300"/>
      <c r="G866" s="300"/>
      <c r="H866" s="300"/>
      <c r="I866" s="300"/>
      <c r="J866" s="300"/>
      <c r="K866" s="300"/>
      <c r="L866" s="300"/>
      <c r="M866" s="300"/>
      <c r="N866" s="300"/>
      <c r="O866" s="300"/>
      <c r="P866" s="300"/>
      <c r="Q866" s="300"/>
      <c r="R866" s="300"/>
      <c r="S866" s="300"/>
      <c r="T866" s="300"/>
      <c r="U866" s="300"/>
      <c r="V866" s="300"/>
      <c r="W866" s="300"/>
      <c r="X866" s="300"/>
      <c r="Y866" s="300"/>
      <c r="Z866" s="300"/>
      <c r="AA866" s="300"/>
    </row>
    <row r="867" spans="1:27" ht="15.5" x14ac:dyDescent="0.35">
      <c r="A867" s="300"/>
      <c r="B867" s="300"/>
      <c r="C867" s="300"/>
      <c r="D867" s="300"/>
      <c r="E867" s="300"/>
      <c r="F867" s="300"/>
      <c r="G867" s="300"/>
      <c r="H867" s="300"/>
      <c r="I867" s="300"/>
      <c r="J867" s="300"/>
      <c r="K867" s="300"/>
      <c r="L867" s="300"/>
      <c r="M867" s="300"/>
      <c r="N867" s="300"/>
      <c r="O867" s="300"/>
      <c r="P867" s="300"/>
      <c r="Q867" s="300"/>
      <c r="R867" s="300"/>
      <c r="S867" s="300"/>
      <c r="T867" s="300"/>
      <c r="U867" s="300"/>
      <c r="V867" s="300"/>
      <c r="W867" s="300"/>
      <c r="X867" s="300"/>
      <c r="Y867" s="300"/>
      <c r="Z867" s="300"/>
      <c r="AA867" s="300"/>
    </row>
    <row r="868" spans="1:27" ht="15.5" x14ac:dyDescent="0.35">
      <c r="A868" s="300"/>
      <c r="B868" s="300"/>
      <c r="C868" s="300"/>
      <c r="D868" s="300"/>
      <c r="E868" s="300"/>
      <c r="F868" s="300"/>
      <c r="G868" s="300"/>
      <c r="H868" s="300"/>
      <c r="I868" s="300"/>
      <c r="J868" s="300"/>
      <c r="K868" s="300"/>
      <c r="L868" s="300"/>
      <c r="M868" s="300"/>
      <c r="N868" s="300"/>
      <c r="O868" s="300"/>
      <c r="P868" s="300"/>
      <c r="Q868" s="300"/>
      <c r="R868" s="300"/>
      <c r="S868" s="300"/>
      <c r="T868" s="300"/>
      <c r="U868" s="300"/>
      <c r="V868" s="300"/>
      <c r="W868" s="300"/>
      <c r="X868" s="300"/>
      <c r="Y868" s="300"/>
      <c r="Z868" s="300"/>
      <c r="AA868" s="300"/>
    </row>
    <row r="869" spans="1:27" ht="15.5" x14ac:dyDescent="0.35">
      <c r="A869" s="300"/>
      <c r="B869" s="300"/>
      <c r="C869" s="300"/>
      <c r="D869" s="300"/>
      <c r="E869" s="300"/>
      <c r="F869" s="300"/>
      <c r="G869" s="300"/>
      <c r="H869" s="300"/>
      <c r="I869" s="300"/>
      <c r="J869" s="300"/>
      <c r="K869" s="300"/>
      <c r="L869" s="300"/>
      <c r="M869" s="300"/>
      <c r="N869" s="300"/>
      <c r="O869" s="300"/>
      <c r="P869" s="300"/>
      <c r="Q869" s="300"/>
      <c r="R869" s="300"/>
      <c r="S869" s="300"/>
      <c r="T869" s="300"/>
      <c r="U869" s="300"/>
      <c r="V869" s="300"/>
      <c r="W869" s="300"/>
      <c r="X869" s="300"/>
      <c r="Y869" s="300"/>
      <c r="Z869" s="300"/>
      <c r="AA869" s="300"/>
    </row>
    <row r="870" spans="1:27" ht="15.5" x14ac:dyDescent="0.35">
      <c r="A870" s="300"/>
      <c r="B870" s="300"/>
      <c r="C870" s="300"/>
      <c r="D870" s="300"/>
      <c r="E870" s="300"/>
      <c r="F870" s="300"/>
      <c r="G870" s="300"/>
      <c r="H870" s="300"/>
      <c r="I870" s="300"/>
      <c r="J870" s="300"/>
      <c r="K870" s="300"/>
      <c r="L870" s="300"/>
      <c r="M870" s="300"/>
      <c r="N870" s="300"/>
      <c r="O870" s="300"/>
      <c r="P870" s="300"/>
      <c r="Q870" s="300"/>
      <c r="R870" s="300"/>
      <c r="S870" s="300"/>
      <c r="T870" s="300"/>
      <c r="U870" s="300"/>
      <c r="V870" s="300"/>
      <c r="W870" s="300"/>
      <c r="X870" s="300"/>
      <c r="Y870" s="300"/>
      <c r="Z870" s="300"/>
      <c r="AA870" s="300"/>
    </row>
    <row r="871" spans="1:27" ht="15.5" x14ac:dyDescent="0.35">
      <c r="A871" s="300"/>
      <c r="B871" s="300"/>
      <c r="C871" s="300"/>
      <c r="D871" s="300"/>
      <c r="E871" s="300"/>
      <c r="F871" s="300"/>
      <c r="G871" s="300"/>
      <c r="H871" s="300"/>
      <c r="I871" s="300"/>
      <c r="J871" s="300"/>
      <c r="K871" s="300"/>
      <c r="L871" s="300"/>
      <c r="M871" s="300"/>
      <c r="N871" s="300"/>
      <c r="O871" s="300"/>
      <c r="P871" s="300"/>
      <c r="Q871" s="300"/>
      <c r="R871" s="300"/>
      <c r="S871" s="300"/>
      <c r="T871" s="300"/>
      <c r="U871" s="300"/>
      <c r="V871" s="300"/>
      <c r="W871" s="300"/>
      <c r="X871" s="300"/>
      <c r="Y871" s="300"/>
      <c r="Z871" s="300"/>
      <c r="AA871" s="300"/>
    </row>
    <row r="872" spans="1:27" ht="15.5" x14ac:dyDescent="0.35">
      <c r="A872" s="300"/>
      <c r="B872" s="300"/>
      <c r="C872" s="300"/>
      <c r="D872" s="300"/>
      <c r="E872" s="300"/>
      <c r="F872" s="300"/>
      <c r="G872" s="300"/>
      <c r="H872" s="300"/>
      <c r="I872" s="300"/>
      <c r="J872" s="300"/>
      <c r="K872" s="300"/>
      <c r="L872" s="300"/>
      <c r="M872" s="300"/>
      <c r="N872" s="300"/>
      <c r="O872" s="300"/>
      <c r="P872" s="300"/>
      <c r="Q872" s="300"/>
      <c r="R872" s="300"/>
      <c r="S872" s="300"/>
      <c r="T872" s="300"/>
      <c r="U872" s="300"/>
      <c r="V872" s="300"/>
      <c r="W872" s="300"/>
      <c r="X872" s="300"/>
      <c r="Y872" s="300"/>
      <c r="Z872" s="300"/>
      <c r="AA872" s="300"/>
    </row>
    <row r="873" spans="1:27" ht="15.5" x14ac:dyDescent="0.35">
      <c r="A873" s="300"/>
      <c r="B873" s="300"/>
      <c r="C873" s="300"/>
      <c r="D873" s="300"/>
      <c r="E873" s="300"/>
      <c r="F873" s="300"/>
      <c r="G873" s="300"/>
      <c r="H873" s="300"/>
      <c r="I873" s="300"/>
      <c r="J873" s="300"/>
      <c r="K873" s="300"/>
      <c r="L873" s="300"/>
      <c r="M873" s="300"/>
      <c r="N873" s="300"/>
      <c r="O873" s="300"/>
      <c r="P873" s="300"/>
      <c r="Q873" s="300"/>
      <c r="R873" s="300"/>
      <c r="S873" s="300"/>
      <c r="T873" s="300"/>
      <c r="U873" s="300"/>
      <c r="V873" s="300"/>
      <c r="W873" s="300"/>
      <c r="X873" s="300"/>
      <c r="Y873" s="300"/>
      <c r="Z873" s="300"/>
      <c r="AA873" s="300"/>
    </row>
    <row r="874" spans="1:27" ht="15.5" x14ac:dyDescent="0.35">
      <c r="A874" s="300"/>
      <c r="B874" s="300"/>
      <c r="C874" s="300"/>
      <c r="D874" s="300"/>
      <c r="E874" s="300"/>
      <c r="F874" s="300"/>
      <c r="G874" s="300"/>
      <c r="H874" s="300"/>
      <c r="I874" s="300"/>
      <c r="J874" s="300"/>
      <c r="K874" s="300"/>
      <c r="L874" s="300"/>
      <c r="M874" s="300"/>
      <c r="N874" s="300"/>
      <c r="O874" s="300"/>
      <c r="P874" s="300"/>
      <c r="Q874" s="300"/>
      <c r="R874" s="300"/>
      <c r="S874" s="300"/>
      <c r="T874" s="300"/>
      <c r="U874" s="300"/>
      <c r="V874" s="300"/>
      <c r="W874" s="300"/>
      <c r="X874" s="300"/>
      <c r="Y874" s="300"/>
      <c r="Z874" s="300"/>
      <c r="AA874" s="300"/>
    </row>
    <row r="875" spans="1:27" ht="15.5" x14ac:dyDescent="0.35">
      <c r="A875" s="300"/>
      <c r="B875" s="300"/>
      <c r="C875" s="300"/>
      <c r="D875" s="300"/>
      <c r="E875" s="300"/>
      <c r="F875" s="300"/>
      <c r="G875" s="300"/>
      <c r="H875" s="300"/>
      <c r="I875" s="300"/>
      <c r="J875" s="300"/>
      <c r="K875" s="300"/>
      <c r="L875" s="300"/>
      <c r="M875" s="300"/>
      <c r="N875" s="300"/>
      <c r="O875" s="300"/>
      <c r="P875" s="300"/>
      <c r="Q875" s="300"/>
      <c r="R875" s="300"/>
      <c r="S875" s="300"/>
      <c r="T875" s="300"/>
      <c r="U875" s="300"/>
      <c r="V875" s="300"/>
      <c r="W875" s="300"/>
      <c r="X875" s="300"/>
      <c r="Y875" s="300"/>
      <c r="Z875" s="300"/>
      <c r="AA875" s="300"/>
    </row>
    <row r="876" spans="1:27" ht="15.5" x14ac:dyDescent="0.35">
      <c r="A876" s="300"/>
      <c r="B876" s="300"/>
      <c r="C876" s="300"/>
      <c r="D876" s="300"/>
      <c r="E876" s="300"/>
      <c r="F876" s="300"/>
      <c r="G876" s="300"/>
      <c r="H876" s="300"/>
      <c r="I876" s="300"/>
      <c r="J876" s="300"/>
      <c r="K876" s="300"/>
      <c r="L876" s="300"/>
      <c r="M876" s="300"/>
      <c r="N876" s="300"/>
      <c r="O876" s="300"/>
      <c r="P876" s="300"/>
      <c r="Q876" s="300"/>
      <c r="R876" s="300"/>
      <c r="S876" s="300"/>
      <c r="T876" s="300"/>
      <c r="U876" s="300"/>
      <c r="V876" s="300"/>
      <c r="W876" s="300"/>
      <c r="X876" s="300"/>
      <c r="Y876" s="300"/>
      <c r="Z876" s="300"/>
      <c r="AA876" s="300"/>
    </row>
    <row r="877" spans="1:27" ht="15.5" x14ac:dyDescent="0.35">
      <c r="A877" s="300"/>
      <c r="B877" s="300"/>
      <c r="C877" s="300"/>
      <c r="D877" s="300"/>
      <c r="E877" s="300"/>
      <c r="F877" s="300"/>
      <c r="G877" s="300"/>
      <c r="H877" s="300"/>
      <c r="I877" s="300"/>
      <c r="J877" s="300"/>
      <c r="K877" s="300"/>
      <c r="L877" s="300"/>
      <c r="M877" s="300"/>
      <c r="N877" s="300"/>
      <c r="O877" s="300"/>
      <c r="P877" s="300"/>
      <c r="Q877" s="300"/>
      <c r="R877" s="300"/>
      <c r="S877" s="300"/>
      <c r="T877" s="300"/>
      <c r="U877" s="300"/>
      <c r="V877" s="300"/>
      <c r="W877" s="300"/>
      <c r="X877" s="300"/>
      <c r="Y877" s="300"/>
      <c r="Z877" s="300"/>
      <c r="AA877" s="300"/>
    </row>
    <row r="878" spans="1:27" ht="15.5" x14ac:dyDescent="0.35">
      <c r="A878" s="300"/>
      <c r="B878" s="300"/>
      <c r="C878" s="300"/>
      <c r="D878" s="300"/>
      <c r="E878" s="300"/>
      <c r="F878" s="300"/>
      <c r="G878" s="300"/>
      <c r="H878" s="300"/>
      <c r="I878" s="300"/>
      <c r="J878" s="300"/>
      <c r="K878" s="300"/>
      <c r="L878" s="300"/>
      <c r="M878" s="300"/>
      <c r="N878" s="300"/>
      <c r="O878" s="300"/>
      <c r="P878" s="300"/>
      <c r="Q878" s="300"/>
      <c r="R878" s="300"/>
      <c r="S878" s="300"/>
      <c r="T878" s="300"/>
      <c r="U878" s="300"/>
      <c r="V878" s="300"/>
      <c r="W878" s="300"/>
      <c r="X878" s="300"/>
      <c r="Y878" s="300"/>
      <c r="Z878" s="300"/>
      <c r="AA878" s="300"/>
    </row>
    <row r="879" spans="1:27" ht="15.5" x14ac:dyDescent="0.35">
      <c r="A879" s="300"/>
      <c r="B879" s="300"/>
      <c r="C879" s="300"/>
      <c r="D879" s="300"/>
      <c r="E879" s="300"/>
      <c r="F879" s="300"/>
      <c r="G879" s="300"/>
      <c r="H879" s="300"/>
      <c r="I879" s="300"/>
      <c r="J879" s="300"/>
      <c r="K879" s="300"/>
      <c r="L879" s="300"/>
      <c r="M879" s="300"/>
      <c r="N879" s="300"/>
      <c r="O879" s="300"/>
      <c r="P879" s="300"/>
      <c r="Q879" s="300"/>
      <c r="R879" s="300"/>
      <c r="S879" s="300"/>
      <c r="T879" s="300"/>
      <c r="U879" s="300"/>
      <c r="V879" s="300"/>
      <c r="W879" s="300"/>
      <c r="X879" s="300"/>
      <c r="Y879" s="300"/>
      <c r="Z879" s="300"/>
      <c r="AA879" s="300"/>
    </row>
    <row r="880" spans="1:27" ht="15.5" x14ac:dyDescent="0.35">
      <c r="A880" s="300"/>
      <c r="B880" s="300"/>
      <c r="C880" s="300"/>
      <c r="D880" s="300"/>
      <c r="E880" s="300"/>
      <c r="F880" s="300"/>
      <c r="G880" s="300"/>
      <c r="H880" s="300"/>
      <c r="I880" s="300"/>
      <c r="J880" s="300"/>
      <c r="K880" s="300"/>
      <c r="L880" s="300"/>
      <c r="M880" s="300"/>
      <c r="N880" s="300"/>
      <c r="O880" s="300"/>
      <c r="P880" s="300"/>
      <c r="Q880" s="300"/>
      <c r="R880" s="300"/>
      <c r="S880" s="300"/>
      <c r="T880" s="300"/>
      <c r="U880" s="300"/>
      <c r="V880" s="300"/>
      <c r="W880" s="300"/>
      <c r="X880" s="300"/>
      <c r="Y880" s="300"/>
      <c r="Z880" s="300"/>
      <c r="AA880" s="300"/>
    </row>
    <row r="881" spans="1:27" ht="15.5" x14ac:dyDescent="0.35">
      <c r="A881" s="300"/>
      <c r="B881" s="300"/>
      <c r="C881" s="300"/>
      <c r="D881" s="300"/>
      <c r="E881" s="300"/>
      <c r="F881" s="300"/>
      <c r="G881" s="300"/>
      <c r="H881" s="300"/>
      <c r="I881" s="300"/>
      <c r="J881" s="300"/>
      <c r="K881" s="300"/>
      <c r="L881" s="300"/>
      <c r="M881" s="300"/>
      <c r="N881" s="300"/>
      <c r="O881" s="300"/>
      <c r="P881" s="300"/>
      <c r="Q881" s="300"/>
      <c r="R881" s="300"/>
      <c r="S881" s="300"/>
      <c r="T881" s="300"/>
      <c r="U881" s="300"/>
      <c r="V881" s="300"/>
      <c r="W881" s="300"/>
      <c r="X881" s="300"/>
      <c r="Y881" s="300"/>
      <c r="Z881" s="300"/>
      <c r="AA881" s="300"/>
    </row>
    <row r="882" spans="1:27" ht="15.5" x14ac:dyDescent="0.35">
      <c r="A882" s="300"/>
      <c r="B882" s="300"/>
      <c r="C882" s="300"/>
      <c r="D882" s="300"/>
      <c r="E882" s="300"/>
      <c r="F882" s="300"/>
      <c r="G882" s="300"/>
      <c r="H882" s="300"/>
      <c r="I882" s="300"/>
      <c r="J882" s="300"/>
      <c r="K882" s="300"/>
      <c r="L882" s="300"/>
      <c r="M882" s="300"/>
      <c r="N882" s="300"/>
      <c r="O882" s="300"/>
      <c r="P882" s="300"/>
      <c r="Q882" s="300"/>
      <c r="R882" s="300"/>
      <c r="S882" s="300"/>
      <c r="T882" s="300"/>
      <c r="U882" s="300"/>
      <c r="V882" s="300"/>
      <c r="W882" s="300"/>
      <c r="X882" s="300"/>
      <c r="Y882" s="300"/>
      <c r="Z882" s="300"/>
      <c r="AA882" s="300"/>
    </row>
    <row r="883" spans="1:27" ht="15.5" x14ac:dyDescent="0.35">
      <c r="A883" s="300"/>
      <c r="B883" s="300"/>
      <c r="C883" s="300"/>
      <c r="D883" s="300"/>
      <c r="E883" s="300"/>
      <c r="F883" s="300"/>
      <c r="G883" s="300"/>
      <c r="H883" s="300"/>
      <c r="I883" s="300"/>
      <c r="J883" s="300"/>
      <c r="K883" s="300"/>
      <c r="L883" s="300"/>
      <c r="M883" s="300"/>
      <c r="N883" s="300"/>
      <c r="O883" s="300"/>
      <c r="P883" s="300"/>
      <c r="Q883" s="300"/>
      <c r="R883" s="300"/>
      <c r="S883" s="300"/>
      <c r="T883" s="300"/>
      <c r="U883" s="300"/>
      <c r="V883" s="300"/>
      <c r="W883" s="300"/>
      <c r="X883" s="300"/>
      <c r="Y883" s="300"/>
      <c r="Z883" s="300"/>
      <c r="AA883" s="300"/>
    </row>
    <row r="884" spans="1:27" ht="15.5" x14ac:dyDescent="0.35">
      <c r="A884" s="300"/>
      <c r="B884" s="300"/>
      <c r="C884" s="300"/>
      <c r="D884" s="300"/>
      <c r="E884" s="300"/>
      <c r="F884" s="300"/>
      <c r="G884" s="300"/>
      <c r="H884" s="300"/>
      <c r="I884" s="300"/>
      <c r="J884" s="300"/>
      <c r="K884" s="300"/>
      <c r="L884" s="300"/>
      <c r="M884" s="300"/>
      <c r="N884" s="300"/>
      <c r="O884" s="300"/>
      <c r="P884" s="300"/>
      <c r="Q884" s="300"/>
      <c r="R884" s="300"/>
      <c r="S884" s="300"/>
      <c r="T884" s="300"/>
      <c r="U884" s="300"/>
      <c r="V884" s="300"/>
      <c r="W884" s="300"/>
      <c r="X884" s="300"/>
      <c r="Y884" s="300"/>
      <c r="Z884" s="300"/>
      <c r="AA884" s="300"/>
    </row>
    <row r="885" spans="1:27" ht="15.5" x14ac:dyDescent="0.35">
      <c r="A885" s="300"/>
      <c r="B885" s="300"/>
      <c r="C885" s="300"/>
      <c r="D885" s="300"/>
      <c r="E885" s="300"/>
      <c r="F885" s="300"/>
      <c r="G885" s="300"/>
      <c r="H885" s="300"/>
      <c r="I885" s="300"/>
      <c r="J885" s="300"/>
      <c r="K885" s="300"/>
      <c r="L885" s="300"/>
      <c r="M885" s="300"/>
      <c r="N885" s="300"/>
      <c r="O885" s="300"/>
      <c r="P885" s="300"/>
      <c r="Q885" s="300"/>
      <c r="R885" s="300"/>
      <c r="S885" s="300"/>
      <c r="T885" s="300"/>
      <c r="U885" s="300"/>
      <c r="V885" s="300"/>
      <c r="W885" s="300"/>
      <c r="X885" s="300"/>
      <c r="Y885" s="300"/>
      <c r="Z885" s="300"/>
      <c r="AA885" s="300"/>
    </row>
    <row r="886" spans="1:27" ht="15.5" x14ac:dyDescent="0.35">
      <c r="A886" s="300"/>
      <c r="B886" s="300"/>
      <c r="C886" s="300"/>
      <c r="D886" s="300"/>
      <c r="E886" s="300"/>
      <c r="F886" s="300"/>
      <c r="G886" s="300"/>
      <c r="H886" s="300"/>
      <c r="I886" s="300"/>
      <c r="J886" s="300"/>
      <c r="K886" s="300"/>
      <c r="L886" s="300"/>
      <c r="M886" s="300"/>
      <c r="N886" s="300"/>
      <c r="O886" s="300"/>
      <c r="P886" s="300"/>
      <c r="Q886" s="300"/>
      <c r="R886" s="300"/>
      <c r="S886" s="300"/>
      <c r="T886" s="300"/>
      <c r="U886" s="300"/>
      <c r="V886" s="300"/>
      <c r="W886" s="300"/>
      <c r="X886" s="300"/>
      <c r="Y886" s="300"/>
      <c r="Z886" s="300"/>
      <c r="AA886" s="300"/>
    </row>
    <row r="887" spans="1:27" ht="15.5" x14ac:dyDescent="0.35">
      <c r="A887" s="300"/>
      <c r="B887" s="300"/>
      <c r="C887" s="300"/>
      <c r="D887" s="300"/>
      <c r="E887" s="300"/>
      <c r="F887" s="300"/>
      <c r="G887" s="300"/>
      <c r="H887" s="300"/>
      <c r="I887" s="300"/>
      <c r="J887" s="300"/>
      <c r="K887" s="300"/>
      <c r="L887" s="300"/>
      <c r="M887" s="300"/>
      <c r="N887" s="300"/>
      <c r="O887" s="300"/>
      <c r="P887" s="300"/>
      <c r="Q887" s="300"/>
      <c r="R887" s="300"/>
      <c r="S887" s="300"/>
      <c r="T887" s="300"/>
      <c r="U887" s="300"/>
      <c r="V887" s="300"/>
      <c r="W887" s="300"/>
      <c r="X887" s="300"/>
      <c r="Y887" s="300"/>
      <c r="Z887" s="300"/>
      <c r="AA887" s="300"/>
    </row>
    <row r="888" spans="1:27" ht="15.5" x14ac:dyDescent="0.35">
      <c r="A888" s="300"/>
      <c r="B888" s="300"/>
      <c r="C888" s="300"/>
      <c r="D888" s="300"/>
      <c r="E888" s="300"/>
      <c r="F888" s="300"/>
      <c r="G888" s="300"/>
      <c r="H888" s="300"/>
      <c r="I888" s="300"/>
      <c r="J888" s="300"/>
      <c r="K888" s="300"/>
      <c r="L888" s="300"/>
      <c r="M888" s="300"/>
      <c r="N888" s="300"/>
      <c r="O888" s="300"/>
      <c r="P888" s="300"/>
      <c r="Q888" s="300"/>
      <c r="R888" s="300"/>
      <c r="S888" s="300"/>
      <c r="T888" s="300"/>
      <c r="U888" s="300"/>
      <c r="V888" s="300"/>
      <c r="W888" s="300"/>
      <c r="X888" s="300"/>
      <c r="Y888" s="300"/>
      <c r="Z888" s="300"/>
      <c r="AA888" s="300"/>
    </row>
    <row r="889" spans="1:27" ht="15.5" x14ac:dyDescent="0.35">
      <c r="A889" s="300"/>
      <c r="B889" s="300"/>
      <c r="C889" s="300"/>
      <c r="D889" s="300"/>
      <c r="E889" s="300"/>
      <c r="F889" s="300"/>
      <c r="G889" s="300"/>
      <c r="H889" s="300"/>
      <c r="I889" s="300"/>
      <c r="J889" s="300"/>
      <c r="K889" s="300"/>
      <c r="L889" s="300"/>
      <c r="M889" s="300"/>
      <c r="N889" s="300"/>
      <c r="O889" s="300"/>
      <c r="P889" s="300"/>
      <c r="Q889" s="300"/>
      <c r="R889" s="300"/>
      <c r="S889" s="300"/>
      <c r="T889" s="300"/>
      <c r="U889" s="300"/>
      <c r="V889" s="300"/>
      <c r="W889" s="300"/>
      <c r="X889" s="300"/>
      <c r="Y889" s="300"/>
      <c r="Z889" s="300"/>
      <c r="AA889" s="300"/>
    </row>
    <row r="890" spans="1:27" ht="15.5" x14ac:dyDescent="0.35">
      <c r="A890" s="300"/>
      <c r="B890" s="300"/>
      <c r="C890" s="300"/>
      <c r="D890" s="300"/>
      <c r="E890" s="300"/>
      <c r="F890" s="300"/>
      <c r="G890" s="300"/>
      <c r="H890" s="300"/>
      <c r="I890" s="300"/>
      <c r="J890" s="300"/>
      <c r="K890" s="300"/>
      <c r="L890" s="300"/>
      <c r="M890" s="300"/>
      <c r="N890" s="300"/>
      <c r="O890" s="300"/>
      <c r="P890" s="300"/>
      <c r="Q890" s="300"/>
      <c r="R890" s="300"/>
      <c r="S890" s="300"/>
      <c r="T890" s="300"/>
      <c r="U890" s="300"/>
      <c r="V890" s="300"/>
      <c r="W890" s="300"/>
      <c r="X890" s="300"/>
      <c r="Y890" s="300"/>
      <c r="Z890" s="300"/>
      <c r="AA890" s="300"/>
    </row>
    <row r="891" spans="1:27" ht="15.5" x14ac:dyDescent="0.35">
      <c r="A891" s="300"/>
      <c r="B891" s="300"/>
      <c r="C891" s="300"/>
      <c r="D891" s="300"/>
      <c r="E891" s="300"/>
      <c r="F891" s="300"/>
      <c r="G891" s="300"/>
      <c r="H891" s="300"/>
      <c r="I891" s="300"/>
      <c r="J891" s="300"/>
      <c r="K891" s="300"/>
      <c r="L891" s="300"/>
      <c r="M891" s="300"/>
      <c r="N891" s="300"/>
      <c r="O891" s="300"/>
      <c r="P891" s="300"/>
      <c r="Q891" s="300"/>
      <c r="R891" s="300"/>
      <c r="S891" s="300"/>
      <c r="T891" s="300"/>
      <c r="U891" s="300"/>
      <c r="V891" s="300"/>
      <c r="W891" s="300"/>
      <c r="X891" s="300"/>
      <c r="Y891" s="300"/>
      <c r="Z891" s="300"/>
      <c r="AA891" s="300"/>
    </row>
    <row r="892" spans="1:27" ht="15.5" x14ac:dyDescent="0.35">
      <c r="A892" s="300"/>
      <c r="B892" s="300"/>
      <c r="C892" s="300"/>
      <c r="D892" s="300"/>
      <c r="E892" s="300"/>
      <c r="F892" s="300"/>
      <c r="G892" s="300"/>
      <c r="H892" s="300"/>
      <c r="I892" s="300"/>
      <c r="J892" s="300"/>
      <c r="K892" s="300"/>
      <c r="L892" s="300"/>
      <c r="M892" s="300"/>
      <c r="N892" s="300"/>
      <c r="O892" s="300"/>
      <c r="P892" s="300"/>
      <c r="Q892" s="300"/>
      <c r="R892" s="300"/>
      <c r="S892" s="300"/>
      <c r="T892" s="300"/>
      <c r="U892" s="300"/>
      <c r="V892" s="300"/>
      <c r="W892" s="300"/>
      <c r="X892" s="300"/>
      <c r="Y892" s="300"/>
      <c r="Z892" s="300"/>
      <c r="AA892" s="300"/>
    </row>
    <row r="893" spans="1:27" ht="15.5" x14ac:dyDescent="0.35">
      <c r="A893" s="300"/>
      <c r="B893" s="300"/>
      <c r="C893" s="300"/>
      <c r="D893" s="300"/>
      <c r="E893" s="300"/>
      <c r="F893" s="300"/>
      <c r="G893" s="300"/>
      <c r="H893" s="300"/>
      <c r="I893" s="300"/>
      <c r="J893" s="300"/>
      <c r="K893" s="300"/>
      <c r="L893" s="300"/>
      <c r="M893" s="300"/>
      <c r="N893" s="300"/>
      <c r="O893" s="300"/>
      <c r="P893" s="300"/>
      <c r="Q893" s="300"/>
      <c r="R893" s="300"/>
      <c r="S893" s="300"/>
      <c r="T893" s="300"/>
      <c r="U893" s="300"/>
      <c r="V893" s="300"/>
      <c r="W893" s="300"/>
      <c r="X893" s="300"/>
      <c r="Y893" s="300"/>
      <c r="Z893" s="300"/>
      <c r="AA893" s="300"/>
    </row>
    <row r="894" spans="1:27" ht="15.5" x14ac:dyDescent="0.35">
      <c r="A894" s="300"/>
      <c r="B894" s="300"/>
      <c r="C894" s="300"/>
      <c r="D894" s="300"/>
      <c r="E894" s="300"/>
      <c r="F894" s="300"/>
      <c r="G894" s="300"/>
      <c r="H894" s="300"/>
      <c r="I894" s="300"/>
      <c r="J894" s="300"/>
      <c r="K894" s="300"/>
      <c r="L894" s="300"/>
      <c r="M894" s="300"/>
      <c r="N894" s="300"/>
      <c r="O894" s="300"/>
      <c r="P894" s="300"/>
      <c r="Q894" s="300"/>
      <c r="R894" s="300"/>
      <c r="S894" s="300"/>
      <c r="T894" s="300"/>
      <c r="U894" s="300"/>
      <c r="V894" s="300"/>
      <c r="W894" s="300"/>
      <c r="X894" s="300"/>
      <c r="Y894" s="300"/>
      <c r="Z894" s="300"/>
      <c r="AA894" s="300"/>
    </row>
    <row r="895" spans="1:27" ht="15.5" x14ac:dyDescent="0.35">
      <c r="A895" s="300"/>
      <c r="B895" s="300"/>
      <c r="C895" s="300"/>
      <c r="D895" s="300"/>
      <c r="E895" s="300"/>
      <c r="F895" s="300"/>
      <c r="G895" s="300"/>
      <c r="H895" s="300"/>
      <c r="I895" s="300"/>
      <c r="J895" s="300"/>
      <c r="K895" s="300"/>
      <c r="L895" s="300"/>
      <c r="M895" s="300"/>
      <c r="N895" s="300"/>
      <c r="O895" s="300"/>
      <c r="P895" s="300"/>
      <c r="Q895" s="300"/>
      <c r="R895" s="300"/>
      <c r="S895" s="300"/>
      <c r="T895" s="300"/>
      <c r="U895" s="300"/>
      <c r="V895" s="300"/>
      <c r="W895" s="300"/>
      <c r="X895" s="300"/>
      <c r="Y895" s="300"/>
      <c r="Z895" s="300"/>
      <c r="AA895" s="300"/>
    </row>
    <row r="896" spans="1:27" ht="15.5" x14ac:dyDescent="0.35">
      <c r="A896" s="300"/>
      <c r="B896" s="300"/>
      <c r="C896" s="300"/>
      <c r="D896" s="300"/>
      <c r="E896" s="300"/>
      <c r="F896" s="300"/>
      <c r="G896" s="300"/>
      <c r="H896" s="300"/>
      <c r="I896" s="300"/>
      <c r="J896" s="300"/>
      <c r="K896" s="300"/>
      <c r="L896" s="300"/>
      <c r="M896" s="300"/>
      <c r="N896" s="300"/>
      <c r="O896" s="300"/>
      <c r="P896" s="300"/>
      <c r="Q896" s="300"/>
      <c r="R896" s="300"/>
      <c r="S896" s="300"/>
      <c r="T896" s="300"/>
      <c r="U896" s="300"/>
      <c r="V896" s="300"/>
      <c r="W896" s="300"/>
      <c r="X896" s="300"/>
      <c r="Y896" s="300"/>
      <c r="Z896" s="300"/>
      <c r="AA896" s="300"/>
    </row>
    <row r="897" spans="1:27" ht="15.5" x14ac:dyDescent="0.35">
      <c r="A897" s="300"/>
      <c r="B897" s="300"/>
      <c r="C897" s="300"/>
      <c r="D897" s="300"/>
      <c r="E897" s="300"/>
      <c r="F897" s="300"/>
      <c r="G897" s="300"/>
      <c r="H897" s="300"/>
      <c r="I897" s="300"/>
      <c r="J897" s="300"/>
      <c r="K897" s="300"/>
      <c r="L897" s="300"/>
      <c r="M897" s="300"/>
      <c r="N897" s="300"/>
      <c r="O897" s="300"/>
      <c r="P897" s="300"/>
      <c r="Q897" s="300"/>
      <c r="R897" s="300"/>
      <c r="S897" s="300"/>
      <c r="T897" s="300"/>
      <c r="U897" s="300"/>
      <c r="V897" s="300"/>
      <c r="W897" s="300"/>
      <c r="X897" s="300"/>
      <c r="Y897" s="300"/>
      <c r="Z897" s="300"/>
      <c r="AA897" s="300"/>
    </row>
    <row r="898" spans="1:27" ht="15.5" x14ac:dyDescent="0.35">
      <c r="A898" s="300"/>
      <c r="B898" s="300"/>
      <c r="C898" s="300"/>
      <c r="D898" s="300"/>
      <c r="E898" s="300"/>
      <c r="F898" s="300"/>
      <c r="G898" s="300"/>
      <c r="H898" s="300"/>
      <c r="I898" s="300"/>
      <c r="J898" s="300"/>
      <c r="K898" s="300"/>
      <c r="L898" s="300"/>
      <c r="M898" s="300"/>
      <c r="N898" s="300"/>
      <c r="O898" s="300"/>
      <c r="P898" s="300"/>
      <c r="Q898" s="300"/>
      <c r="R898" s="300"/>
      <c r="S898" s="300"/>
      <c r="T898" s="300"/>
      <c r="U898" s="300"/>
      <c r="V898" s="300"/>
      <c r="W898" s="300"/>
      <c r="X898" s="300"/>
      <c r="Y898" s="300"/>
      <c r="Z898" s="300"/>
      <c r="AA898" s="300"/>
    </row>
    <row r="899" spans="1:27" ht="15.5" x14ac:dyDescent="0.35">
      <c r="A899" s="300"/>
      <c r="B899" s="300"/>
      <c r="C899" s="300"/>
      <c r="D899" s="300"/>
      <c r="E899" s="300"/>
      <c r="F899" s="300"/>
      <c r="G899" s="300"/>
      <c r="H899" s="300"/>
      <c r="I899" s="300"/>
      <c r="J899" s="300"/>
      <c r="K899" s="300"/>
      <c r="L899" s="300"/>
      <c r="M899" s="300"/>
      <c r="N899" s="300"/>
      <c r="O899" s="300"/>
      <c r="P899" s="300"/>
      <c r="Q899" s="300"/>
      <c r="R899" s="300"/>
      <c r="S899" s="300"/>
      <c r="T899" s="300"/>
      <c r="U899" s="300"/>
      <c r="V899" s="300"/>
      <c r="W899" s="300"/>
      <c r="X899" s="300"/>
      <c r="Y899" s="300"/>
      <c r="Z899" s="300"/>
      <c r="AA899" s="300"/>
    </row>
    <row r="900" spans="1:27" ht="15.5" x14ac:dyDescent="0.35">
      <c r="A900" s="300"/>
      <c r="B900" s="300"/>
      <c r="C900" s="300"/>
      <c r="D900" s="300"/>
      <c r="E900" s="300"/>
      <c r="F900" s="300"/>
      <c r="G900" s="300"/>
      <c r="H900" s="300"/>
      <c r="I900" s="300"/>
      <c r="J900" s="300"/>
      <c r="K900" s="300"/>
      <c r="L900" s="300"/>
      <c r="M900" s="300"/>
      <c r="N900" s="300"/>
      <c r="O900" s="300"/>
      <c r="P900" s="300"/>
      <c r="Q900" s="300"/>
      <c r="R900" s="300"/>
      <c r="S900" s="300"/>
      <c r="T900" s="300"/>
      <c r="U900" s="300"/>
      <c r="V900" s="300"/>
      <c r="W900" s="300"/>
      <c r="X900" s="300"/>
      <c r="Y900" s="300"/>
      <c r="Z900" s="300"/>
      <c r="AA900" s="300"/>
    </row>
    <row r="901" spans="1:27" ht="15.5" x14ac:dyDescent="0.35">
      <c r="A901" s="300"/>
      <c r="B901" s="300"/>
      <c r="C901" s="300"/>
      <c r="D901" s="300"/>
      <c r="E901" s="300"/>
      <c r="F901" s="300"/>
      <c r="G901" s="300"/>
      <c r="H901" s="300"/>
      <c r="I901" s="300"/>
      <c r="J901" s="300"/>
      <c r="K901" s="300"/>
      <c r="L901" s="300"/>
      <c r="M901" s="300"/>
      <c r="N901" s="300"/>
      <c r="O901" s="300"/>
      <c r="P901" s="300"/>
      <c r="Q901" s="300"/>
      <c r="R901" s="300"/>
      <c r="S901" s="300"/>
      <c r="T901" s="300"/>
      <c r="U901" s="300"/>
      <c r="V901" s="300"/>
      <c r="W901" s="300"/>
      <c r="X901" s="300"/>
      <c r="Y901" s="300"/>
      <c r="Z901" s="300"/>
      <c r="AA901" s="300"/>
    </row>
    <row r="902" spans="1:27" ht="15.5" x14ac:dyDescent="0.35">
      <c r="A902" s="300"/>
      <c r="B902" s="300"/>
      <c r="C902" s="300"/>
      <c r="D902" s="300"/>
      <c r="E902" s="300"/>
      <c r="F902" s="300"/>
      <c r="G902" s="300"/>
      <c r="H902" s="300"/>
      <c r="I902" s="300"/>
      <c r="J902" s="300"/>
      <c r="K902" s="300"/>
      <c r="L902" s="300"/>
      <c r="M902" s="300"/>
      <c r="N902" s="300"/>
      <c r="O902" s="300"/>
      <c r="P902" s="300"/>
      <c r="Q902" s="300"/>
      <c r="R902" s="300"/>
      <c r="S902" s="300"/>
      <c r="T902" s="300"/>
      <c r="U902" s="300"/>
      <c r="V902" s="300"/>
      <c r="W902" s="300"/>
      <c r="X902" s="300"/>
      <c r="Y902" s="300"/>
      <c r="Z902" s="300"/>
      <c r="AA902" s="300"/>
    </row>
    <row r="903" spans="1:27" ht="15.5" x14ac:dyDescent="0.35">
      <c r="A903" s="300"/>
      <c r="B903" s="300"/>
      <c r="C903" s="300"/>
      <c r="D903" s="300"/>
      <c r="E903" s="300"/>
      <c r="F903" s="300"/>
      <c r="G903" s="300"/>
      <c r="H903" s="300"/>
      <c r="I903" s="300"/>
      <c r="J903" s="300"/>
      <c r="K903" s="300"/>
      <c r="L903" s="300"/>
      <c r="M903" s="300"/>
      <c r="N903" s="300"/>
      <c r="O903" s="300"/>
      <c r="P903" s="300"/>
      <c r="Q903" s="300"/>
      <c r="R903" s="300"/>
      <c r="S903" s="300"/>
      <c r="T903" s="300"/>
      <c r="U903" s="300"/>
      <c r="V903" s="300"/>
      <c r="W903" s="300"/>
      <c r="X903" s="300"/>
      <c r="Y903" s="300"/>
      <c r="Z903" s="300"/>
      <c r="AA903" s="300"/>
    </row>
    <row r="904" spans="1:27" ht="15.5" x14ac:dyDescent="0.35">
      <c r="A904" s="300"/>
      <c r="B904" s="300"/>
      <c r="C904" s="300"/>
      <c r="D904" s="300"/>
      <c r="E904" s="300"/>
      <c r="F904" s="300"/>
      <c r="G904" s="300"/>
      <c r="H904" s="300"/>
      <c r="I904" s="300"/>
      <c r="J904" s="300"/>
      <c r="K904" s="300"/>
      <c r="L904" s="300"/>
      <c r="M904" s="300"/>
      <c r="N904" s="300"/>
      <c r="O904" s="300"/>
      <c r="P904" s="300"/>
      <c r="Q904" s="300"/>
      <c r="R904" s="300"/>
      <c r="S904" s="300"/>
      <c r="T904" s="300"/>
      <c r="U904" s="300"/>
      <c r="V904" s="300"/>
      <c r="W904" s="300"/>
      <c r="X904" s="300"/>
      <c r="Y904" s="300"/>
      <c r="Z904" s="300"/>
      <c r="AA904" s="300"/>
    </row>
    <row r="905" spans="1:27" ht="15.5" x14ac:dyDescent="0.35">
      <c r="A905" s="300"/>
      <c r="B905" s="300"/>
      <c r="C905" s="300"/>
      <c r="D905" s="300"/>
      <c r="E905" s="300"/>
      <c r="F905" s="300"/>
      <c r="G905" s="300"/>
      <c r="H905" s="300"/>
      <c r="I905" s="300"/>
      <c r="J905" s="300"/>
      <c r="K905" s="300"/>
      <c r="L905" s="300"/>
      <c r="M905" s="300"/>
      <c r="N905" s="300"/>
      <c r="O905" s="300"/>
      <c r="P905" s="300"/>
      <c r="Q905" s="300"/>
      <c r="R905" s="300"/>
      <c r="S905" s="300"/>
      <c r="T905" s="300"/>
      <c r="U905" s="300"/>
      <c r="V905" s="300"/>
      <c r="W905" s="300"/>
      <c r="X905" s="300"/>
      <c r="Y905" s="300"/>
      <c r="Z905" s="300"/>
      <c r="AA905" s="300"/>
    </row>
    <row r="906" spans="1:27" ht="15.5" x14ac:dyDescent="0.35">
      <c r="A906" s="300"/>
      <c r="B906" s="300"/>
      <c r="C906" s="300"/>
      <c r="D906" s="300"/>
      <c r="E906" s="300"/>
      <c r="F906" s="300"/>
      <c r="G906" s="300"/>
      <c r="H906" s="300"/>
      <c r="I906" s="300"/>
      <c r="J906" s="300"/>
      <c r="K906" s="300"/>
      <c r="L906" s="300"/>
      <c r="M906" s="300"/>
      <c r="N906" s="300"/>
      <c r="O906" s="300"/>
      <c r="P906" s="300"/>
      <c r="Q906" s="300"/>
      <c r="R906" s="300"/>
      <c r="S906" s="300"/>
      <c r="T906" s="300"/>
      <c r="U906" s="300"/>
      <c r="V906" s="300"/>
      <c r="W906" s="300"/>
      <c r="X906" s="300"/>
      <c r="Y906" s="300"/>
      <c r="Z906" s="300"/>
      <c r="AA906" s="300"/>
    </row>
    <row r="907" spans="1:27" ht="15.5" x14ac:dyDescent="0.35">
      <c r="A907" s="300"/>
      <c r="B907" s="300"/>
      <c r="C907" s="300"/>
      <c r="D907" s="300"/>
      <c r="E907" s="300"/>
      <c r="F907" s="300"/>
      <c r="G907" s="300"/>
      <c r="H907" s="300"/>
      <c r="I907" s="300"/>
      <c r="J907" s="300"/>
      <c r="K907" s="300"/>
      <c r="L907" s="300"/>
      <c r="M907" s="300"/>
      <c r="N907" s="300"/>
      <c r="O907" s="300"/>
      <c r="P907" s="300"/>
      <c r="Q907" s="300"/>
      <c r="R907" s="300"/>
      <c r="S907" s="300"/>
      <c r="T907" s="300"/>
      <c r="U907" s="300"/>
      <c r="V907" s="300"/>
      <c r="W907" s="300"/>
      <c r="X907" s="300"/>
      <c r="Y907" s="300"/>
      <c r="Z907" s="300"/>
      <c r="AA907" s="300"/>
    </row>
    <row r="908" spans="1:27" ht="15.5" x14ac:dyDescent="0.35">
      <c r="A908" s="300"/>
      <c r="B908" s="300"/>
      <c r="C908" s="300"/>
      <c r="D908" s="300"/>
      <c r="E908" s="300"/>
      <c r="F908" s="300"/>
      <c r="G908" s="300"/>
      <c r="H908" s="300"/>
      <c r="I908" s="300"/>
      <c r="J908" s="300"/>
      <c r="K908" s="300"/>
      <c r="L908" s="300"/>
      <c r="M908" s="300"/>
      <c r="N908" s="300"/>
      <c r="O908" s="300"/>
      <c r="P908" s="300"/>
      <c r="Q908" s="300"/>
      <c r="R908" s="300"/>
      <c r="S908" s="300"/>
      <c r="T908" s="300"/>
      <c r="U908" s="300"/>
      <c r="V908" s="300"/>
      <c r="W908" s="300"/>
      <c r="X908" s="300"/>
      <c r="Y908" s="300"/>
      <c r="Z908" s="300"/>
      <c r="AA908" s="300"/>
    </row>
    <row r="909" spans="1:27" ht="15.5" x14ac:dyDescent="0.35">
      <c r="A909" s="300"/>
      <c r="B909" s="300"/>
      <c r="C909" s="300"/>
      <c r="D909" s="300"/>
      <c r="E909" s="300"/>
      <c r="F909" s="300"/>
      <c r="G909" s="300"/>
      <c r="H909" s="300"/>
      <c r="I909" s="300"/>
      <c r="J909" s="300"/>
      <c r="K909" s="300"/>
      <c r="L909" s="300"/>
      <c r="M909" s="300"/>
      <c r="N909" s="300"/>
      <c r="O909" s="300"/>
      <c r="P909" s="300"/>
      <c r="Q909" s="300"/>
      <c r="R909" s="300"/>
      <c r="S909" s="300"/>
      <c r="T909" s="300"/>
      <c r="U909" s="300"/>
      <c r="V909" s="300"/>
      <c r="W909" s="300"/>
      <c r="X909" s="300"/>
      <c r="Y909" s="300"/>
      <c r="Z909" s="300"/>
      <c r="AA909" s="300"/>
    </row>
    <row r="910" spans="1:27" ht="15.5" x14ac:dyDescent="0.35">
      <c r="A910" s="300"/>
      <c r="B910" s="300"/>
      <c r="C910" s="300"/>
      <c r="D910" s="300"/>
      <c r="E910" s="300"/>
      <c r="F910" s="300"/>
      <c r="G910" s="300"/>
      <c r="H910" s="300"/>
      <c r="I910" s="300"/>
      <c r="J910" s="300"/>
      <c r="K910" s="300"/>
      <c r="L910" s="300"/>
      <c r="M910" s="300"/>
      <c r="N910" s="300"/>
      <c r="O910" s="300"/>
      <c r="P910" s="300"/>
      <c r="Q910" s="300"/>
      <c r="R910" s="300"/>
      <c r="S910" s="300"/>
      <c r="T910" s="300"/>
      <c r="U910" s="300"/>
      <c r="V910" s="300"/>
      <c r="W910" s="300"/>
      <c r="X910" s="300"/>
      <c r="Y910" s="300"/>
      <c r="Z910" s="300"/>
      <c r="AA910" s="300"/>
    </row>
    <row r="911" spans="1:27" ht="15.5" x14ac:dyDescent="0.35">
      <c r="A911" s="300"/>
      <c r="B911" s="300"/>
      <c r="C911" s="300"/>
      <c r="D911" s="300"/>
      <c r="E911" s="300"/>
      <c r="F911" s="300"/>
      <c r="G911" s="300"/>
      <c r="H911" s="300"/>
      <c r="I911" s="300"/>
      <c r="J911" s="300"/>
      <c r="K911" s="300"/>
      <c r="L911" s="300"/>
      <c r="M911" s="300"/>
      <c r="N911" s="300"/>
      <c r="O911" s="300"/>
      <c r="P911" s="300"/>
      <c r="Q911" s="300"/>
      <c r="R911" s="300"/>
      <c r="S911" s="300"/>
      <c r="T911" s="300"/>
      <c r="U911" s="300"/>
      <c r="V911" s="300"/>
      <c r="W911" s="300"/>
      <c r="X911" s="300"/>
      <c r="Y911" s="300"/>
      <c r="Z911" s="300"/>
      <c r="AA911" s="300"/>
    </row>
    <row r="912" spans="1:27" ht="15.5" x14ac:dyDescent="0.35">
      <c r="A912" s="300"/>
      <c r="B912" s="300"/>
      <c r="C912" s="300"/>
      <c r="D912" s="300"/>
      <c r="E912" s="300"/>
      <c r="F912" s="300"/>
      <c r="G912" s="300"/>
      <c r="H912" s="300"/>
      <c r="I912" s="300"/>
      <c r="J912" s="300"/>
      <c r="K912" s="300"/>
      <c r="L912" s="300"/>
      <c r="M912" s="300"/>
      <c r="N912" s="300"/>
      <c r="O912" s="300"/>
      <c r="P912" s="300"/>
      <c r="Q912" s="300"/>
      <c r="R912" s="300"/>
      <c r="S912" s="300"/>
      <c r="T912" s="300"/>
      <c r="U912" s="300"/>
      <c r="V912" s="300"/>
      <c r="W912" s="300"/>
      <c r="X912" s="300"/>
      <c r="Y912" s="300"/>
      <c r="Z912" s="300"/>
      <c r="AA912" s="300"/>
    </row>
    <row r="913" spans="1:27" ht="15.5" x14ac:dyDescent="0.35">
      <c r="A913" s="300"/>
      <c r="B913" s="300"/>
      <c r="C913" s="300"/>
      <c r="D913" s="300"/>
      <c r="E913" s="300"/>
      <c r="F913" s="300"/>
      <c r="G913" s="300"/>
      <c r="H913" s="300"/>
      <c r="I913" s="300"/>
      <c r="J913" s="300"/>
      <c r="K913" s="300"/>
      <c r="L913" s="300"/>
      <c r="M913" s="300"/>
      <c r="N913" s="300"/>
      <c r="O913" s="300"/>
      <c r="P913" s="300"/>
      <c r="Q913" s="300"/>
      <c r="R913" s="300"/>
      <c r="S913" s="300"/>
      <c r="T913" s="300"/>
      <c r="U913" s="300"/>
      <c r="V913" s="300"/>
      <c r="W913" s="300"/>
      <c r="X913" s="300"/>
      <c r="Y913" s="300"/>
      <c r="Z913" s="300"/>
      <c r="AA913" s="300"/>
    </row>
    <row r="914" spans="1:27" ht="15.5" x14ac:dyDescent="0.35">
      <c r="A914" s="300"/>
      <c r="B914" s="300"/>
      <c r="C914" s="300"/>
      <c r="D914" s="300"/>
      <c r="E914" s="300"/>
      <c r="F914" s="300"/>
      <c r="G914" s="300"/>
      <c r="H914" s="300"/>
      <c r="I914" s="300"/>
      <c r="J914" s="300"/>
      <c r="K914" s="300"/>
      <c r="L914" s="300"/>
      <c r="M914" s="300"/>
      <c r="N914" s="300"/>
      <c r="O914" s="300"/>
      <c r="P914" s="300"/>
      <c r="Q914" s="300"/>
      <c r="R914" s="300"/>
      <c r="S914" s="300"/>
      <c r="T914" s="300"/>
      <c r="U914" s="300"/>
      <c r="V914" s="300"/>
      <c r="W914" s="300"/>
      <c r="X914" s="300"/>
      <c r="Y914" s="300"/>
      <c r="Z914" s="300"/>
      <c r="AA914" s="300"/>
    </row>
    <row r="915" spans="1:27" ht="15.5" x14ac:dyDescent="0.35">
      <c r="A915" s="300"/>
      <c r="B915" s="300"/>
      <c r="C915" s="300"/>
      <c r="D915" s="300"/>
      <c r="E915" s="300"/>
      <c r="F915" s="300"/>
      <c r="G915" s="300"/>
      <c r="H915" s="300"/>
      <c r="I915" s="300"/>
      <c r="J915" s="300"/>
      <c r="K915" s="300"/>
      <c r="L915" s="300"/>
      <c r="M915" s="300"/>
      <c r="N915" s="300"/>
      <c r="O915" s="300"/>
      <c r="P915" s="300"/>
      <c r="Q915" s="300"/>
      <c r="R915" s="300"/>
      <c r="S915" s="300"/>
      <c r="T915" s="300"/>
      <c r="U915" s="300"/>
      <c r="V915" s="300"/>
      <c r="W915" s="300"/>
      <c r="X915" s="300"/>
      <c r="Y915" s="300"/>
      <c r="Z915" s="300"/>
      <c r="AA915" s="300"/>
    </row>
    <row r="916" spans="1:27" ht="15.5" x14ac:dyDescent="0.35">
      <c r="A916" s="300"/>
      <c r="B916" s="300"/>
      <c r="C916" s="300"/>
      <c r="D916" s="300"/>
      <c r="E916" s="300"/>
      <c r="F916" s="300"/>
      <c r="G916" s="300"/>
      <c r="H916" s="300"/>
      <c r="I916" s="300"/>
      <c r="J916" s="300"/>
      <c r="K916" s="300"/>
      <c r="L916" s="300"/>
      <c r="M916" s="300"/>
      <c r="N916" s="300"/>
      <c r="O916" s="300"/>
      <c r="P916" s="300"/>
      <c r="Q916" s="300"/>
      <c r="R916" s="300"/>
      <c r="S916" s="300"/>
      <c r="T916" s="300"/>
      <c r="U916" s="300"/>
      <c r="V916" s="300"/>
      <c r="W916" s="300"/>
      <c r="X916" s="300"/>
      <c r="Y916" s="300"/>
      <c r="Z916" s="300"/>
      <c r="AA916" s="300"/>
    </row>
    <row r="917" spans="1:27" ht="15.5" x14ac:dyDescent="0.35">
      <c r="A917" s="300"/>
      <c r="B917" s="300"/>
      <c r="C917" s="300"/>
      <c r="D917" s="300"/>
      <c r="E917" s="300"/>
      <c r="F917" s="300"/>
      <c r="G917" s="300"/>
      <c r="H917" s="300"/>
      <c r="I917" s="300"/>
      <c r="J917" s="300"/>
      <c r="K917" s="300"/>
      <c r="L917" s="300"/>
      <c r="M917" s="300"/>
      <c r="N917" s="300"/>
      <c r="O917" s="300"/>
      <c r="P917" s="300"/>
      <c r="Q917" s="300"/>
      <c r="R917" s="300"/>
      <c r="S917" s="300"/>
      <c r="T917" s="300"/>
      <c r="U917" s="300"/>
      <c r="V917" s="300"/>
      <c r="W917" s="300"/>
      <c r="X917" s="300"/>
      <c r="Y917" s="300"/>
      <c r="Z917" s="300"/>
      <c r="AA917" s="300"/>
    </row>
    <row r="918" spans="1:27" ht="15.5" x14ac:dyDescent="0.35">
      <c r="A918" s="300"/>
      <c r="B918" s="300"/>
      <c r="C918" s="300"/>
      <c r="D918" s="300"/>
      <c r="E918" s="300"/>
      <c r="F918" s="300"/>
      <c r="G918" s="300"/>
      <c r="H918" s="300"/>
      <c r="I918" s="300"/>
      <c r="J918" s="300"/>
      <c r="K918" s="300"/>
      <c r="L918" s="300"/>
      <c r="M918" s="300"/>
      <c r="N918" s="300"/>
      <c r="O918" s="300"/>
      <c r="P918" s="300"/>
      <c r="Q918" s="300"/>
      <c r="R918" s="300"/>
      <c r="S918" s="300"/>
      <c r="T918" s="300"/>
      <c r="U918" s="300"/>
      <c r="V918" s="300"/>
      <c r="W918" s="300"/>
      <c r="X918" s="300"/>
      <c r="Y918" s="300"/>
      <c r="Z918" s="300"/>
      <c r="AA918" s="300"/>
    </row>
    <row r="919" spans="1:27" ht="15.5" x14ac:dyDescent="0.35">
      <c r="A919" s="300"/>
      <c r="B919" s="300"/>
      <c r="C919" s="300"/>
      <c r="D919" s="300"/>
      <c r="E919" s="300"/>
      <c r="F919" s="300"/>
      <c r="G919" s="300"/>
      <c r="H919" s="300"/>
      <c r="I919" s="300"/>
      <c r="J919" s="300"/>
      <c r="K919" s="300"/>
      <c r="L919" s="300"/>
      <c r="M919" s="300"/>
      <c r="N919" s="300"/>
      <c r="O919" s="300"/>
      <c r="P919" s="300"/>
      <c r="Q919" s="300"/>
      <c r="R919" s="300"/>
      <c r="S919" s="300"/>
      <c r="T919" s="300"/>
      <c r="U919" s="300"/>
      <c r="V919" s="300"/>
      <c r="W919" s="300"/>
      <c r="X919" s="300"/>
      <c r="Y919" s="300"/>
      <c r="Z919" s="300"/>
      <c r="AA919" s="300"/>
    </row>
    <row r="920" spans="1:27" ht="15.5" x14ac:dyDescent="0.35">
      <c r="A920" s="300"/>
      <c r="B920" s="300"/>
      <c r="C920" s="300"/>
      <c r="D920" s="300"/>
      <c r="E920" s="300"/>
      <c r="F920" s="300"/>
      <c r="G920" s="300"/>
      <c r="H920" s="300"/>
      <c r="I920" s="300"/>
      <c r="J920" s="300"/>
      <c r="K920" s="300"/>
      <c r="L920" s="300"/>
      <c r="M920" s="300"/>
      <c r="N920" s="300"/>
      <c r="O920" s="300"/>
      <c r="P920" s="300"/>
      <c r="Q920" s="300"/>
      <c r="R920" s="300"/>
      <c r="S920" s="300"/>
      <c r="T920" s="300"/>
      <c r="U920" s="300"/>
      <c r="V920" s="300"/>
      <c r="W920" s="300"/>
      <c r="X920" s="300"/>
      <c r="Y920" s="300"/>
      <c r="Z920" s="300"/>
      <c r="AA920" s="300"/>
    </row>
    <row r="921" spans="1:27" ht="15.5" x14ac:dyDescent="0.35">
      <c r="A921" s="300"/>
      <c r="B921" s="300"/>
      <c r="C921" s="300"/>
      <c r="D921" s="300"/>
      <c r="E921" s="300"/>
      <c r="F921" s="300"/>
      <c r="G921" s="300"/>
      <c r="H921" s="300"/>
      <c r="I921" s="300"/>
      <c r="J921" s="300"/>
      <c r="K921" s="300"/>
      <c r="L921" s="300"/>
      <c r="M921" s="300"/>
      <c r="N921" s="300"/>
      <c r="O921" s="300"/>
      <c r="P921" s="300"/>
      <c r="Q921" s="300"/>
      <c r="R921" s="300"/>
      <c r="S921" s="300"/>
      <c r="T921" s="300"/>
      <c r="U921" s="300"/>
      <c r="V921" s="300"/>
      <c r="W921" s="300"/>
      <c r="X921" s="300"/>
      <c r="Y921" s="300"/>
      <c r="Z921" s="300"/>
      <c r="AA921" s="300"/>
    </row>
    <row r="922" spans="1:27" ht="15.5" x14ac:dyDescent="0.35">
      <c r="A922" s="300"/>
      <c r="B922" s="300"/>
      <c r="C922" s="300"/>
      <c r="D922" s="300"/>
      <c r="E922" s="300"/>
      <c r="F922" s="300"/>
      <c r="G922" s="300"/>
      <c r="H922" s="300"/>
      <c r="I922" s="300"/>
      <c r="J922" s="300"/>
      <c r="K922" s="300"/>
      <c r="L922" s="300"/>
      <c r="M922" s="300"/>
      <c r="N922" s="300"/>
      <c r="O922" s="300"/>
      <c r="P922" s="300"/>
      <c r="Q922" s="300"/>
      <c r="R922" s="300"/>
      <c r="S922" s="300"/>
      <c r="T922" s="300"/>
      <c r="U922" s="300"/>
      <c r="V922" s="300"/>
      <c r="W922" s="300"/>
      <c r="X922" s="300"/>
      <c r="Y922" s="300"/>
      <c r="Z922" s="300"/>
      <c r="AA922" s="300"/>
    </row>
    <row r="923" spans="1:27" ht="15.5" x14ac:dyDescent="0.35">
      <c r="A923" s="300"/>
      <c r="B923" s="300"/>
      <c r="C923" s="300"/>
      <c r="D923" s="300"/>
      <c r="E923" s="300"/>
      <c r="F923" s="300"/>
      <c r="G923" s="300"/>
      <c r="H923" s="300"/>
      <c r="I923" s="300"/>
      <c r="J923" s="300"/>
      <c r="K923" s="300"/>
      <c r="L923" s="300"/>
      <c r="M923" s="300"/>
      <c r="N923" s="300"/>
      <c r="O923" s="300"/>
      <c r="P923" s="300"/>
      <c r="Q923" s="300"/>
      <c r="R923" s="300"/>
      <c r="S923" s="300"/>
      <c r="T923" s="300"/>
      <c r="U923" s="300"/>
      <c r="V923" s="300"/>
      <c r="W923" s="300"/>
      <c r="X923" s="300"/>
      <c r="Y923" s="300"/>
      <c r="Z923" s="300"/>
      <c r="AA923" s="300"/>
    </row>
    <row r="924" spans="1:27" ht="15.5" x14ac:dyDescent="0.35">
      <c r="A924" s="300"/>
      <c r="B924" s="300"/>
      <c r="C924" s="300"/>
      <c r="D924" s="300"/>
      <c r="E924" s="300"/>
      <c r="F924" s="300"/>
      <c r="G924" s="300"/>
      <c r="H924" s="300"/>
      <c r="I924" s="300"/>
      <c r="J924" s="300"/>
      <c r="K924" s="300"/>
      <c r="L924" s="300"/>
      <c r="M924" s="300"/>
      <c r="N924" s="300"/>
      <c r="O924" s="300"/>
      <c r="P924" s="300"/>
      <c r="Q924" s="300"/>
      <c r="R924" s="300"/>
      <c r="S924" s="300"/>
      <c r="T924" s="300"/>
      <c r="U924" s="300"/>
      <c r="V924" s="300"/>
      <c r="W924" s="300"/>
      <c r="X924" s="300"/>
      <c r="Y924" s="300"/>
      <c r="Z924" s="300"/>
      <c r="AA924" s="300"/>
    </row>
    <row r="925" spans="1:27" ht="15.5" x14ac:dyDescent="0.35">
      <c r="A925" s="300"/>
      <c r="B925" s="300"/>
      <c r="C925" s="300"/>
      <c r="D925" s="300"/>
      <c r="E925" s="300"/>
      <c r="F925" s="300"/>
      <c r="G925" s="300"/>
      <c r="H925" s="300"/>
      <c r="I925" s="300"/>
      <c r="J925" s="300"/>
      <c r="K925" s="300"/>
      <c r="L925" s="300"/>
      <c r="M925" s="300"/>
      <c r="N925" s="300"/>
      <c r="O925" s="300"/>
      <c r="P925" s="300"/>
      <c r="Q925" s="300"/>
      <c r="R925" s="300"/>
      <c r="S925" s="300"/>
      <c r="T925" s="300"/>
      <c r="U925" s="300"/>
      <c r="V925" s="300"/>
      <c r="W925" s="300"/>
      <c r="X925" s="300"/>
      <c r="Y925" s="300"/>
      <c r="Z925" s="300"/>
      <c r="AA925" s="300"/>
    </row>
    <row r="926" spans="1:27" ht="15.5" x14ac:dyDescent="0.35">
      <c r="A926" s="300"/>
      <c r="B926" s="300"/>
      <c r="C926" s="300"/>
      <c r="D926" s="300"/>
      <c r="E926" s="300"/>
      <c r="F926" s="300"/>
      <c r="G926" s="300"/>
      <c r="H926" s="300"/>
      <c r="I926" s="300"/>
      <c r="J926" s="300"/>
      <c r="K926" s="300"/>
      <c r="L926" s="300"/>
      <c r="M926" s="300"/>
      <c r="N926" s="300"/>
      <c r="O926" s="300"/>
      <c r="P926" s="300"/>
      <c r="Q926" s="300"/>
      <c r="R926" s="300"/>
      <c r="S926" s="300"/>
      <c r="T926" s="300"/>
      <c r="U926" s="300"/>
      <c r="V926" s="300"/>
      <c r="W926" s="300"/>
      <c r="X926" s="300"/>
      <c r="Y926" s="300"/>
      <c r="Z926" s="300"/>
      <c r="AA926" s="300"/>
    </row>
    <row r="927" spans="1:27" ht="15.5" x14ac:dyDescent="0.35">
      <c r="A927" s="300"/>
      <c r="B927" s="300"/>
      <c r="C927" s="300"/>
      <c r="D927" s="300"/>
      <c r="E927" s="300"/>
      <c r="F927" s="300"/>
      <c r="G927" s="300"/>
      <c r="H927" s="300"/>
      <c r="I927" s="300"/>
      <c r="J927" s="300"/>
      <c r="K927" s="300"/>
      <c r="L927" s="300"/>
      <c r="M927" s="300"/>
      <c r="N927" s="300"/>
      <c r="O927" s="300"/>
      <c r="P927" s="300"/>
      <c r="Q927" s="300"/>
      <c r="R927" s="300"/>
      <c r="S927" s="300"/>
      <c r="T927" s="300"/>
      <c r="U927" s="300"/>
      <c r="V927" s="300"/>
      <c r="W927" s="300"/>
      <c r="X927" s="300"/>
      <c r="Y927" s="300"/>
      <c r="Z927" s="300"/>
      <c r="AA927" s="300"/>
    </row>
    <row r="928" spans="1:27" ht="15.5" x14ac:dyDescent="0.35">
      <c r="A928" s="300"/>
      <c r="B928" s="300"/>
      <c r="C928" s="300"/>
      <c r="D928" s="300"/>
      <c r="E928" s="300"/>
      <c r="F928" s="300"/>
      <c r="G928" s="300"/>
      <c r="H928" s="300"/>
      <c r="I928" s="300"/>
      <c r="J928" s="300"/>
      <c r="K928" s="300"/>
      <c r="L928" s="300"/>
      <c r="M928" s="300"/>
      <c r="N928" s="300"/>
      <c r="O928" s="300"/>
      <c r="P928" s="300"/>
      <c r="Q928" s="300"/>
      <c r="R928" s="300"/>
      <c r="S928" s="300"/>
      <c r="T928" s="300"/>
      <c r="U928" s="300"/>
      <c r="V928" s="300"/>
      <c r="W928" s="300"/>
      <c r="X928" s="300"/>
      <c r="Y928" s="300"/>
      <c r="Z928" s="300"/>
      <c r="AA928" s="300"/>
    </row>
    <row r="929" spans="1:27" ht="15.5" x14ac:dyDescent="0.35">
      <c r="A929" s="300"/>
      <c r="B929" s="300"/>
      <c r="C929" s="300"/>
      <c r="D929" s="300"/>
      <c r="E929" s="300"/>
      <c r="F929" s="300"/>
      <c r="G929" s="300"/>
      <c r="H929" s="300"/>
      <c r="I929" s="300"/>
      <c r="J929" s="300"/>
      <c r="K929" s="300"/>
      <c r="L929" s="300"/>
      <c r="M929" s="300"/>
      <c r="N929" s="300"/>
      <c r="O929" s="300"/>
      <c r="P929" s="300"/>
      <c r="Q929" s="300"/>
      <c r="R929" s="300"/>
      <c r="S929" s="300"/>
      <c r="T929" s="300"/>
      <c r="U929" s="300"/>
      <c r="V929" s="300"/>
      <c r="W929" s="300"/>
      <c r="X929" s="300"/>
      <c r="Y929" s="300"/>
      <c r="Z929" s="300"/>
      <c r="AA929" s="300"/>
    </row>
    <row r="930" spans="1:27" ht="15.5" x14ac:dyDescent="0.35">
      <c r="A930" s="300"/>
      <c r="B930" s="300"/>
      <c r="C930" s="300"/>
      <c r="D930" s="300"/>
      <c r="E930" s="300"/>
      <c r="F930" s="300"/>
      <c r="G930" s="300"/>
      <c r="H930" s="300"/>
      <c r="I930" s="300"/>
      <c r="J930" s="300"/>
      <c r="K930" s="300"/>
      <c r="L930" s="300"/>
      <c r="M930" s="300"/>
      <c r="N930" s="300"/>
      <c r="O930" s="300"/>
      <c r="P930" s="300"/>
      <c r="Q930" s="300"/>
      <c r="R930" s="300"/>
      <c r="S930" s="300"/>
      <c r="T930" s="300"/>
      <c r="U930" s="300"/>
      <c r="V930" s="300"/>
      <c r="W930" s="300"/>
      <c r="X930" s="300"/>
      <c r="Y930" s="300"/>
      <c r="Z930" s="300"/>
      <c r="AA930" s="300"/>
    </row>
    <row r="931" spans="1:27" ht="15.5" x14ac:dyDescent="0.35">
      <c r="A931" s="300"/>
      <c r="B931" s="300"/>
      <c r="C931" s="300"/>
      <c r="D931" s="300"/>
      <c r="E931" s="300"/>
      <c r="F931" s="300"/>
      <c r="G931" s="300"/>
      <c r="H931" s="300"/>
      <c r="I931" s="300"/>
      <c r="J931" s="300"/>
      <c r="K931" s="300"/>
      <c r="L931" s="300"/>
      <c r="M931" s="300"/>
      <c r="N931" s="300"/>
      <c r="O931" s="300"/>
      <c r="P931" s="300"/>
      <c r="Q931" s="300"/>
      <c r="R931" s="300"/>
      <c r="S931" s="300"/>
      <c r="T931" s="300"/>
      <c r="U931" s="300"/>
      <c r="V931" s="300"/>
      <c r="W931" s="300"/>
      <c r="X931" s="300"/>
      <c r="Y931" s="300"/>
      <c r="Z931" s="300"/>
      <c r="AA931" s="300"/>
    </row>
    <row r="932" spans="1:27" ht="15.5" x14ac:dyDescent="0.35">
      <c r="A932" s="300"/>
      <c r="B932" s="300"/>
      <c r="C932" s="300"/>
      <c r="D932" s="300"/>
      <c r="E932" s="300"/>
      <c r="F932" s="300"/>
      <c r="G932" s="300"/>
      <c r="H932" s="300"/>
      <c r="I932" s="300"/>
      <c r="J932" s="300"/>
      <c r="K932" s="300"/>
      <c r="L932" s="300"/>
      <c r="M932" s="300"/>
      <c r="N932" s="300"/>
      <c r="O932" s="300"/>
      <c r="P932" s="300"/>
      <c r="Q932" s="300"/>
      <c r="R932" s="300"/>
      <c r="S932" s="300"/>
      <c r="T932" s="300"/>
      <c r="U932" s="300"/>
      <c r="V932" s="300"/>
      <c r="W932" s="300"/>
      <c r="X932" s="300"/>
      <c r="Y932" s="300"/>
      <c r="Z932" s="300"/>
      <c r="AA932" s="300"/>
    </row>
    <row r="933" spans="1:27" ht="15.5" x14ac:dyDescent="0.35">
      <c r="A933" s="300"/>
      <c r="B933" s="300"/>
      <c r="C933" s="300"/>
      <c r="D933" s="300"/>
      <c r="E933" s="300"/>
      <c r="F933" s="300"/>
      <c r="G933" s="300"/>
      <c r="H933" s="300"/>
      <c r="I933" s="300"/>
      <c r="J933" s="300"/>
      <c r="K933" s="300"/>
      <c r="L933" s="300"/>
      <c r="M933" s="300"/>
      <c r="N933" s="300"/>
      <c r="O933" s="300"/>
      <c r="P933" s="300"/>
      <c r="Q933" s="300"/>
      <c r="R933" s="300"/>
      <c r="S933" s="300"/>
      <c r="T933" s="300"/>
      <c r="U933" s="300"/>
      <c r="V933" s="300"/>
      <c r="W933" s="300"/>
      <c r="X933" s="300"/>
      <c r="Y933" s="300"/>
      <c r="Z933" s="300"/>
      <c r="AA933" s="300"/>
    </row>
    <row r="934" spans="1:27" ht="15.5" x14ac:dyDescent="0.35">
      <c r="A934" s="300"/>
      <c r="B934" s="300"/>
      <c r="C934" s="300"/>
      <c r="D934" s="300"/>
      <c r="E934" s="300"/>
      <c r="F934" s="300"/>
      <c r="G934" s="300"/>
      <c r="H934" s="300"/>
      <c r="I934" s="300"/>
      <c r="J934" s="300"/>
      <c r="K934" s="300"/>
      <c r="L934" s="300"/>
      <c r="M934" s="300"/>
      <c r="N934" s="300"/>
      <c r="O934" s="300"/>
      <c r="P934" s="300"/>
      <c r="Q934" s="300"/>
      <c r="R934" s="300"/>
      <c r="S934" s="300"/>
      <c r="T934" s="300"/>
      <c r="U934" s="300"/>
      <c r="V934" s="300"/>
      <c r="W934" s="300"/>
      <c r="X934" s="300"/>
      <c r="Y934" s="300"/>
      <c r="Z934" s="300"/>
      <c r="AA934" s="300"/>
    </row>
    <row r="935" spans="1:27" ht="15.5" x14ac:dyDescent="0.35">
      <c r="A935" s="300"/>
      <c r="B935" s="300"/>
      <c r="C935" s="300"/>
      <c r="D935" s="300"/>
      <c r="E935" s="300"/>
      <c r="F935" s="300"/>
      <c r="G935" s="300"/>
      <c r="H935" s="300"/>
      <c r="I935" s="300"/>
      <c r="J935" s="300"/>
      <c r="K935" s="300"/>
      <c r="L935" s="300"/>
      <c r="M935" s="300"/>
      <c r="N935" s="300"/>
      <c r="O935" s="300"/>
      <c r="P935" s="300"/>
      <c r="Q935" s="300"/>
      <c r="R935" s="300"/>
      <c r="S935" s="300"/>
      <c r="T935" s="300"/>
      <c r="U935" s="300"/>
      <c r="V935" s="300"/>
      <c r="W935" s="300"/>
      <c r="X935" s="300"/>
      <c r="Y935" s="300"/>
      <c r="Z935" s="300"/>
      <c r="AA935" s="300"/>
    </row>
    <row r="936" spans="1:27" ht="15.5" x14ac:dyDescent="0.35">
      <c r="A936" s="300"/>
      <c r="B936" s="300"/>
      <c r="C936" s="300"/>
      <c r="D936" s="300"/>
      <c r="E936" s="300"/>
      <c r="F936" s="300"/>
      <c r="G936" s="300"/>
      <c r="H936" s="300"/>
      <c r="I936" s="300"/>
      <c r="J936" s="300"/>
      <c r="K936" s="300"/>
      <c r="L936" s="300"/>
      <c r="M936" s="300"/>
      <c r="N936" s="300"/>
      <c r="O936" s="300"/>
      <c r="P936" s="300"/>
      <c r="Q936" s="300"/>
      <c r="R936" s="300"/>
      <c r="S936" s="300"/>
      <c r="T936" s="300"/>
      <c r="U936" s="300"/>
      <c r="V936" s="300"/>
      <c r="W936" s="300"/>
      <c r="X936" s="300"/>
      <c r="Y936" s="300"/>
      <c r="Z936" s="300"/>
      <c r="AA936" s="300"/>
    </row>
    <row r="937" spans="1:27" ht="15.5" x14ac:dyDescent="0.35">
      <c r="A937" s="300"/>
      <c r="B937" s="300"/>
      <c r="C937" s="300"/>
      <c r="D937" s="300"/>
      <c r="E937" s="300"/>
      <c r="F937" s="300"/>
      <c r="G937" s="300"/>
      <c r="H937" s="300"/>
      <c r="I937" s="300"/>
      <c r="J937" s="300"/>
      <c r="K937" s="300"/>
      <c r="L937" s="300"/>
      <c r="M937" s="300"/>
      <c r="N937" s="300"/>
      <c r="O937" s="300"/>
      <c r="P937" s="300"/>
      <c r="Q937" s="300"/>
      <c r="R937" s="300"/>
      <c r="S937" s="300"/>
      <c r="T937" s="300"/>
      <c r="U937" s="300"/>
      <c r="V937" s="300"/>
      <c r="W937" s="300"/>
      <c r="X937" s="300"/>
      <c r="Y937" s="300"/>
      <c r="Z937" s="300"/>
      <c r="AA937" s="300"/>
    </row>
    <row r="938" spans="1:27" ht="15.5" x14ac:dyDescent="0.35">
      <c r="A938" s="300"/>
      <c r="B938" s="300"/>
      <c r="C938" s="300"/>
      <c r="D938" s="300"/>
      <c r="E938" s="300"/>
      <c r="F938" s="300"/>
      <c r="G938" s="300"/>
      <c r="H938" s="300"/>
      <c r="I938" s="300"/>
      <c r="J938" s="300"/>
      <c r="K938" s="300"/>
      <c r="L938" s="300"/>
      <c r="M938" s="300"/>
      <c r="N938" s="300"/>
      <c r="O938" s="300"/>
      <c r="P938" s="300"/>
      <c r="Q938" s="300"/>
      <c r="R938" s="300"/>
      <c r="S938" s="300"/>
      <c r="T938" s="300"/>
      <c r="U938" s="300"/>
      <c r="V938" s="300"/>
      <c r="W938" s="300"/>
      <c r="X938" s="300"/>
      <c r="Y938" s="300"/>
      <c r="Z938" s="300"/>
      <c r="AA938" s="300"/>
    </row>
    <row r="939" spans="1:27" ht="15.5" x14ac:dyDescent="0.35">
      <c r="A939" s="300"/>
      <c r="B939" s="300"/>
      <c r="C939" s="300"/>
      <c r="D939" s="300"/>
      <c r="E939" s="300"/>
      <c r="F939" s="300"/>
      <c r="G939" s="300"/>
      <c r="H939" s="300"/>
      <c r="I939" s="300"/>
      <c r="J939" s="300"/>
      <c r="K939" s="300"/>
      <c r="L939" s="300"/>
      <c r="M939" s="300"/>
      <c r="N939" s="300"/>
      <c r="O939" s="300"/>
      <c r="P939" s="300"/>
      <c r="Q939" s="300"/>
      <c r="R939" s="300"/>
      <c r="S939" s="300"/>
      <c r="T939" s="300"/>
      <c r="U939" s="300"/>
      <c r="V939" s="300"/>
      <c r="W939" s="300"/>
      <c r="X939" s="300"/>
      <c r="Y939" s="300"/>
      <c r="Z939" s="300"/>
      <c r="AA939" s="300"/>
    </row>
    <row r="940" spans="1:27" ht="15.5" x14ac:dyDescent="0.35">
      <c r="A940" s="300"/>
      <c r="B940" s="300"/>
      <c r="C940" s="300"/>
      <c r="D940" s="300"/>
      <c r="E940" s="300"/>
      <c r="F940" s="300"/>
      <c r="G940" s="300"/>
      <c r="H940" s="300"/>
      <c r="I940" s="300"/>
      <c r="J940" s="300"/>
      <c r="K940" s="300"/>
      <c r="L940" s="300"/>
      <c r="M940" s="300"/>
      <c r="N940" s="300"/>
      <c r="O940" s="300"/>
      <c r="P940" s="300"/>
      <c r="Q940" s="300"/>
      <c r="R940" s="300"/>
      <c r="S940" s="300"/>
      <c r="T940" s="300"/>
      <c r="U940" s="300"/>
      <c r="V940" s="300"/>
      <c r="W940" s="300"/>
      <c r="X940" s="300"/>
      <c r="Y940" s="300"/>
      <c r="Z940" s="300"/>
      <c r="AA940" s="300"/>
    </row>
    <row r="941" spans="1:27" ht="15.5" x14ac:dyDescent="0.35">
      <c r="A941" s="300"/>
      <c r="B941" s="300"/>
      <c r="C941" s="300"/>
      <c r="D941" s="300"/>
      <c r="E941" s="300"/>
      <c r="F941" s="300"/>
      <c r="G941" s="300"/>
      <c r="H941" s="300"/>
      <c r="I941" s="300"/>
      <c r="J941" s="300"/>
      <c r="K941" s="300"/>
      <c r="L941" s="300"/>
      <c r="M941" s="300"/>
      <c r="N941" s="300"/>
      <c r="O941" s="300"/>
      <c r="P941" s="300"/>
      <c r="Q941" s="300"/>
      <c r="R941" s="300"/>
      <c r="S941" s="300"/>
      <c r="T941" s="300"/>
      <c r="U941" s="300"/>
      <c r="V941" s="300"/>
      <c r="W941" s="300"/>
      <c r="X941" s="300"/>
      <c r="Y941" s="300"/>
      <c r="Z941" s="300"/>
      <c r="AA941" s="300"/>
    </row>
    <row r="942" spans="1:27" ht="15.5" x14ac:dyDescent="0.35">
      <c r="A942" s="300"/>
      <c r="B942" s="300"/>
      <c r="C942" s="300"/>
      <c r="D942" s="300"/>
      <c r="E942" s="300"/>
      <c r="F942" s="300"/>
      <c r="G942" s="300"/>
      <c r="H942" s="300"/>
      <c r="I942" s="300"/>
      <c r="J942" s="300"/>
      <c r="K942" s="300"/>
      <c r="L942" s="300"/>
      <c r="M942" s="300"/>
      <c r="N942" s="300"/>
      <c r="O942" s="300"/>
      <c r="P942" s="300"/>
      <c r="Q942" s="300"/>
      <c r="R942" s="300"/>
      <c r="S942" s="300"/>
      <c r="T942" s="300"/>
      <c r="U942" s="300"/>
      <c r="V942" s="300"/>
      <c r="W942" s="300"/>
      <c r="X942" s="300"/>
      <c r="Y942" s="300"/>
      <c r="Z942" s="300"/>
      <c r="AA942" s="300"/>
    </row>
    <row r="943" spans="1:27" ht="15.5" x14ac:dyDescent="0.35">
      <c r="A943" s="300"/>
      <c r="B943" s="300"/>
      <c r="C943" s="300"/>
      <c r="D943" s="300"/>
      <c r="E943" s="300"/>
      <c r="F943" s="300"/>
      <c r="G943" s="300"/>
      <c r="H943" s="300"/>
      <c r="I943" s="300"/>
      <c r="J943" s="300"/>
      <c r="K943" s="300"/>
      <c r="L943" s="300"/>
      <c r="M943" s="300"/>
      <c r="N943" s="300"/>
      <c r="O943" s="300"/>
      <c r="P943" s="300"/>
      <c r="Q943" s="300"/>
      <c r="R943" s="300"/>
      <c r="S943" s="300"/>
      <c r="T943" s="300"/>
      <c r="U943" s="300"/>
      <c r="V943" s="300"/>
      <c r="W943" s="300"/>
      <c r="X943" s="300"/>
      <c r="Y943" s="300"/>
      <c r="Z943" s="300"/>
      <c r="AA943" s="300"/>
    </row>
    <row r="944" spans="1:27" ht="15.5" x14ac:dyDescent="0.35">
      <c r="A944" s="300"/>
      <c r="B944" s="300"/>
      <c r="C944" s="300"/>
      <c r="D944" s="300"/>
      <c r="E944" s="300"/>
      <c r="F944" s="300"/>
      <c r="G944" s="300"/>
      <c r="H944" s="300"/>
      <c r="I944" s="300"/>
      <c r="J944" s="300"/>
      <c r="K944" s="300"/>
      <c r="L944" s="300"/>
      <c r="M944" s="300"/>
      <c r="N944" s="300"/>
      <c r="O944" s="300"/>
      <c r="P944" s="300"/>
      <c r="Q944" s="300"/>
      <c r="R944" s="300"/>
      <c r="S944" s="300"/>
      <c r="T944" s="300"/>
      <c r="U944" s="300"/>
      <c r="V944" s="300"/>
      <c r="W944" s="300"/>
      <c r="X944" s="300"/>
      <c r="Y944" s="300"/>
      <c r="Z944" s="300"/>
      <c r="AA944" s="300"/>
    </row>
    <row r="945" spans="1:27" ht="15.5" x14ac:dyDescent="0.35">
      <c r="A945" s="300"/>
      <c r="B945" s="300"/>
      <c r="C945" s="300"/>
      <c r="D945" s="300"/>
      <c r="E945" s="300"/>
      <c r="F945" s="300"/>
      <c r="G945" s="300"/>
      <c r="H945" s="300"/>
      <c r="I945" s="300"/>
      <c r="J945" s="300"/>
      <c r="K945" s="300"/>
      <c r="L945" s="300"/>
      <c r="M945" s="300"/>
      <c r="N945" s="300"/>
      <c r="O945" s="300"/>
      <c r="P945" s="300"/>
      <c r="Q945" s="300"/>
      <c r="R945" s="300"/>
      <c r="S945" s="300"/>
      <c r="T945" s="300"/>
      <c r="U945" s="300"/>
      <c r="V945" s="300"/>
      <c r="W945" s="300"/>
      <c r="X945" s="300"/>
      <c r="Y945" s="300"/>
      <c r="Z945" s="300"/>
      <c r="AA945" s="300"/>
    </row>
    <row r="946" spans="1:27" ht="15.5" x14ac:dyDescent="0.35">
      <c r="A946" s="300"/>
      <c r="B946" s="300"/>
      <c r="C946" s="300"/>
      <c r="D946" s="300"/>
      <c r="E946" s="300"/>
      <c r="F946" s="300"/>
      <c r="G946" s="300"/>
      <c r="H946" s="300"/>
      <c r="I946" s="300"/>
      <c r="J946" s="300"/>
      <c r="K946" s="300"/>
      <c r="L946" s="300"/>
      <c r="M946" s="300"/>
      <c r="N946" s="300"/>
      <c r="O946" s="300"/>
      <c r="P946" s="300"/>
      <c r="Q946" s="300"/>
      <c r="R946" s="300"/>
      <c r="S946" s="300"/>
      <c r="T946" s="300"/>
      <c r="U946" s="300"/>
      <c r="V946" s="300"/>
      <c r="W946" s="300"/>
      <c r="X946" s="300"/>
      <c r="Y946" s="300"/>
      <c r="Z946" s="300"/>
      <c r="AA946" s="300"/>
    </row>
    <row r="947" spans="1:27" ht="15.5" x14ac:dyDescent="0.35">
      <c r="A947" s="300"/>
      <c r="B947" s="300"/>
      <c r="C947" s="300"/>
      <c r="D947" s="300"/>
      <c r="E947" s="300"/>
      <c r="F947" s="300"/>
      <c r="G947" s="300"/>
      <c r="H947" s="300"/>
      <c r="I947" s="300"/>
      <c r="J947" s="300"/>
      <c r="K947" s="300"/>
      <c r="L947" s="300"/>
      <c r="M947" s="300"/>
      <c r="N947" s="300"/>
      <c r="O947" s="300"/>
      <c r="P947" s="300"/>
      <c r="Q947" s="300"/>
      <c r="R947" s="300"/>
      <c r="S947" s="300"/>
      <c r="T947" s="300"/>
      <c r="U947" s="300"/>
      <c r="V947" s="300"/>
      <c r="W947" s="300"/>
      <c r="X947" s="300"/>
      <c r="Y947" s="300"/>
      <c r="Z947" s="300"/>
      <c r="AA947" s="300"/>
    </row>
    <row r="948" spans="1:27" ht="15.5" x14ac:dyDescent="0.35">
      <c r="A948" s="300"/>
      <c r="B948" s="300"/>
      <c r="C948" s="300"/>
      <c r="D948" s="300"/>
      <c r="E948" s="300"/>
      <c r="F948" s="300"/>
      <c r="G948" s="300"/>
      <c r="H948" s="300"/>
      <c r="I948" s="300"/>
      <c r="J948" s="300"/>
      <c r="K948" s="300"/>
      <c r="L948" s="300"/>
      <c r="M948" s="300"/>
      <c r="N948" s="300"/>
      <c r="O948" s="300"/>
      <c r="P948" s="300"/>
      <c r="Q948" s="300"/>
      <c r="R948" s="300"/>
      <c r="S948" s="300"/>
      <c r="T948" s="300"/>
      <c r="U948" s="300"/>
      <c r="V948" s="300"/>
      <c r="W948" s="300"/>
      <c r="X948" s="300"/>
      <c r="Y948" s="300"/>
      <c r="Z948" s="300"/>
      <c r="AA948" s="300"/>
    </row>
    <row r="949" spans="1:27" ht="15.5" x14ac:dyDescent="0.35">
      <c r="A949" s="300"/>
      <c r="B949" s="300"/>
      <c r="C949" s="300"/>
      <c r="D949" s="300"/>
      <c r="E949" s="300"/>
      <c r="F949" s="300"/>
      <c r="G949" s="300"/>
      <c r="H949" s="300"/>
      <c r="I949" s="300"/>
      <c r="J949" s="300"/>
      <c r="K949" s="300"/>
      <c r="L949" s="300"/>
      <c r="M949" s="300"/>
      <c r="N949" s="300"/>
      <c r="O949" s="300"/>
      <c r="P949" s="300"/>
      <c r="Q949" s="300"/>
      <c r="R949" s="300"/>
      <c r="S949" s="300"/>
      <c r="T949" s="300"/>
      <c r="U949" s="300"/>
      <c r="V949" s="300"/>
      <c r="W949" s="300"/>
      <c r="X949" s="300"/>
      <c r="Y949" s="300"/>
      <c r="Z949" s="300"/>
      <c r="AA949" s="300"/>
    </row>
    <row r="950" spans="1:27" ht="15.5" x14ac:dyDescent="0.35">
      <c r="A950" s="300"/>
      <c r="B950" s="300"/>
      <c r="C950" s="300"/>
      <c r="D950" s="300"/>
      <c r="E950" s="300"/>
      <c r="F950" s="300"/>
      <c r="G950" s="300"/>
      <c r="H950" s="300"/>
      <c r="I950" s="300"/>
      <c r="J950" s="300"/>
      <c r="K950" s="300"/>
      <c r="L950" s="300"/>
      <c r="M950" s="300"/>
      <c r="N950" s="300"/>
      <c r="O950" s="300"/>
      <c r="P950" s="300"/>
      <c r="Q950" s="300"/>
      <c r="R950" s="300"/>
      <c r="S950" s="300"/>
      <c r="T950" s="300"/>
      <c r="U950" s="300"/>
      <c r="V950" s="300"/>
      <c r="W950" s="300"/>
      <c r="X950" s="300"/>
      <c r="Y950" s="300"/>
      <c r="Z950" s="300"/>
      <c r="AA950" s="300"/>
    </row>
    <row r="951" spans="1:27" ht="15.5" x14ac:dyDescent="0.35">
      <c r="A951" s="300"/>
      <c r="B951" s="300"/>
      <c r="C951" s="300"/>
      <c r="D951" s="300"/>
      <c r="E951" s="300"/>
      <c r="F951" s="300"/>
      <c r="G951" s="300"/>
      <c r="H951" s="300"/>
      <c r="I951" s="300"/>
      <c r="J951" s="300"/>
      <c r="K951" s="300"/>
      <c r="L951" s="300"/>
      <c r="M951" s="300"/>
      <c r="N951" s="300"/>
      <c r="O951" s="300"/>
      <c r="P951" s="300"/>
      <c r="Q951" s="300"/>
      <c r="R951" s="300"/>
      <c r="S951" s="300"/>
      <c r="T951" s="300"/>
      <c r="U951" s="300"/>
      <c r="V951" s="300"/>
      <c r="W951" s="300"/>
      <c r="X951" s="300"/>
      <c r="Y951" s="300"/>
      <c r="Z951" s="300"/>
      <c r="AA951" s="300"/>
    </row>
    <row r="952" spans="1:27" ht="15.5" x14ac:dyDescent="0.35">
      <c r="A952" s="300"/>
      <c r="B952" s="300"/>
      <c r="C952" s="300"/>
      <c r="D952" s="300"/>
      <c r="E952" s="300"/>
      <c r="F952" s="300"/>
      <c r="G952" s="300"/>
      <c r="H952" s="300"/>
      <c r="I952" s="300"/>
      <c r="J952" s="300"/>
      <c r="K952" s="300"/>
      <c r="L952" s="300"/>
      <c r="M952" s="300"/>
      <c r="N952" s="300"/>
      <c r="O952" s="300"/>
      <c r="P952" s="300"/>
      <c r="Q952" s="300"/>
      <c r="R952" s="300"/>
      <c r="S952" s="300"/>
      <c r="T952" s="300"/>
      <c r="U952" s="300"/>
      <c r="V952" s="300"/>
      <c r="W952" s="300"/>
      <c r="X952" s="300"/>
      <c r="Y952" s="300"/>
      <c r="Z952" s="300"/>
      <c r="AA952" s="300"/>
    </row>
    <row r="953" spans="1:27" ht="15.5" x14ac:dyDescent="0.35">
      <c r="A953" s="300"/>
      <c r="B953" s="300"/>
      <c r="C953" s="300"/>
      <c r="D953" s="300"/>
      <c r="E953" s="300"/>
      <c r="F953" s="300"/>
      <c r="G953" s="300"/>
      <c r="H953" s="300"/>
      <c r="I953" s="300"/>
      <c r="J953" s="300"/>
      <c r="K953" s="300"/>
      <c r="L953" s="300"/>
      <c r="M953" s="300"/>
      <c r="N953" s="300"/>
      <c r="O953" s="300"/>
      <c r="P953" s="300"/>
      <c r="Q953" s="300"/>
      <c r="R953" s="300"/>
      <c r="S953" s="300"/>
      <c r="T953" s="300"/>
      <c r="U953" s="300"/>
      <c r="V953" s="300"/>
      <c r="W953" s="300"/>
      <c r="X953" s="300"/>
      <c r="Y953" s="300"/>
      <c r="Z953" s="300"/>
      <c r="AA953" s="300"/>
    </row>
    <row r="954" spans="1:27" ht="15.5" x14ac:dyDescent="0.35">
      <c r="A954" s="300"/>
      <c r="B954" s="300"/>
      <c r="C954" s="300"/>
      <c r="D954" s="300"/>
      <c r="E954" s="300"/>
      <c r="F954" s="300"/>
      <c r="G954" s="300"/>
      <c r="H954" s="300"/>
      <c r="I954" s="300"/>
      <c r="J954" s="300"/>
      <c r="K954" s="300"/>
      <c r="L954" s="300"/>
      <c r="M954" s="300"/>
      <c r="N954" s="300"/>
      <c r="O954" s="300"/>
      <c r="P954" s="300"/>
      <c r="Q954" s="300"/>
      <c r="R954" s="300"/>
      <c r="S954" s="300"/>
      <c r="T954" s="300"/>
      <c r="U954" s="300"/>
      <c r="V954" s="300"/>
      <c r="W954" s="300"/>
      <c r="X954" s="300"/>
      <c r="Y954" s="300"/>
      <c r="Z954" s="300"/>
      <c r="AA954" s="300"/>
    </row>
    <row r="955" spans="1:27" ht="15.5" x14ac:dyDescent="0.35">
      <c r="A955" s="300"/>
      <c r="B955" s="300"/>
      <c r="C955" s="300"/>
      <c r="D955" s="300"/>
      <c r="E955" s="300"/>
      <c r="F955" s="300"/>
      <c r="G955" s="300"/>
      <c r="H955" s="300"/>
      <c r="I955" s="300"/>
      <c r="J955" s="300"/>
      <c r="K955" s="300"/>
      <c r="L955" s="300"/>
      <c r="M955" s="300"/>
      <c r="N955" s="300"/>
      <c r="O955" s="300"/>
      <c r="P955" s="300"/>
      <c r="Q955" s="300"/>
      <c r="R955" s="300"/>
      <c r="S955" s="300"/>
      <c r="T955" s="300"/>
      <c r="U955" s="300"/>
      <c r="V955" s="300"/>
      <c r="W955" s="300"/>
      <c r="X955" s="300"/>
      <c r="Y955" s="300"/>
      <c r="Z955" s="300"/>
      <c r="AA955" s="300"/>
    </row>
    <row r="956" spans="1:27" ht="15.5" x14ac:dyDescent="0.35">
      <c r="A956" s="300"/>
      <c r="B956" s="300"/>
      <c r="C956" s="300"/>
      <c r="D956" s="300"/>
      <c r="E956" s="300"/>
      <c r="F956" s="300"/>
      <c r="G956" s="300"/>
      <c r="H956" s="300"/>
      <c r="I956" s="300"/>
      <c r="J956" s="300"/>
      <c r="K956" s="300"/>
      <c r="L956" s="300"/>
      <c r="M956" s="300"/>
      <c r="N956" s="300"/>
      <c r="O956" s="300"/>
      <c r="P956" s="300"/>
      <c r="Q956" s="300"/>
      <c r="R956" s="300"/>
      <c r="S956" s="300"/>
      <c r="T956" s="300"/>
      <c r="U956" s="300"/>
      <c r="V956" s="300"/>
      <c r="W956" s="300"/>
      <c r="X956" s="300"/>
      <c r="Y956" s="300"/>
      <c r="Z956" s="300"/>
      <c r="AA956" s="300"/>
    </row>
    <row r="957" spans="1:27" ht="15.5" x14ac:dyDescent="0.35">
      <c r="A957" s="300"/>
      <c r="B957" s="300"/>
      <c r="C957" s="300"/>
      <c r="D957" s="300"/>
      <c r="E957" s="300"/>
      <c r="F957" s="300"/>
      <c r="G957" s="300"/>
      <c r="H957" s="300"/>
      <c r="I957" s="300"/>
      <c r="J957" s="300"/>
      <c r="K957" s="300"/>
      <c r="L957" s="300"/>
      <c r="M957" s="300"/>
      <c r="N957" s="300"/>
      <c r="O957" s="300"/>
      <c r="P957" s="300"/>
      <c r="Q957" s="300"/>
      <c r="R957" s="300"/>
      <c r="S957" s="300"/>
      <c r="T957" s="300"/>
      <c r="U957" s="300"/>
      <c r="V957" s="300"/>
      <c r="W957" s="300"/>
      <c r="X957" s="300"/>
      <c r="Y957" s="300"/>
      <c r="Z957" s="300"/>
      <c r="AA957" s="300"/>
    </row>
    <row r="958" spans="1:27" ht="15.5" x14ac:dyDescent="0.35">
      <c r="A958" s="300"/>
      <c r="B958" s="300"/>
      <c r="C958" s="300"/>
      <c r="D958" s="300"/>
      <c r="E958" s="300"/>
      <c r="F958" s="300"/>
      <c r="G958" s="300"/>
      <c r="H958" s="300"/>
      <c r="I958" s="300"/>
      <c r="J958" s="300"/>
      <c r="K958" s="300"/>
      <c r="L958" s="300"/>
      <c r="M958" s="300"/>
      <c r="N958" s="300"/>
      <c r="O958" s="300"/>
      <c r="P958" s="300"/>
      <c r="Q958" s="300"/>
      <c r="R958" s="300"/>
      <c r="S958" s="300"/>
      <c r="T958" s="300"/>
      <c r="U958" s="300"/>
      <c r="V958" s="300"/>
      <c r="W958" s="300"/>
      <c r="X958" s="300"/>
      <c r="Y958" s="300"/>
      <c r="Z958" s="300"/>
      <c r="AA958" s="300"/>
    </row>
    <row r="959" spans="1:27" ht="15.5" x14ac:dyDescent="0.35">
      <c r="A959" s="300"/>
      <c r="B959" s="300"/>
      <c r="C959" s="300"/>
      <c r="D959" s="300"/>
      <c r="E959" s="300"/>
      <c r="F959" s="300"/>
      <c r="G959" s="300"/>
      <c r="H959" s="300"/>
      <c r="I959" s="300"/>
      <c r="J959" s="300"/>
      <c r="K959" s="300"/>
      <c r="L959" s="300"/>
      <c r="M959" s="300"/>
      <c r="N959" s="300"/>
      <c r="O959" s="300"/>
      <c r="P959" s="300"/>
      <c r="Q959" s="300"/>
      <c r="R959" s="300"/>
      <c r="S959" s="300"/>
      <c r="T959" s="300"/>
      <c r="U959" s="300"/>
      <c r="V959" s="300"/>
      <c r="W959" s="300"/>
      <c r="X959" s="300"/>
      <c r="Y959" s="300"/>
      <c r="Z959" s="300"/>
      <c r="AA959" s="300"/>
    </row>
    <row r="960" spans="1:27" ht="15.5" x14ac:dyDescent="0.35">
      <c r="A960" s="300"/>
      <c r="B960" s="300"/>
      <c r="C960" s="300"/>
      <c r="D960" s="300"/>
      <c r="E960" s="300"/>
      <c r="F960" s="300"/>
      <c r="G960" s="300"/>
      <c r="H960" s="300"/>
      <c r="I960" s="300"/>
      <c r="J960" s="300"/>
      <c r="K960" s="300"/>
      <c r="L960" s="300"/>
      <c r="M960" s="300"/>
      <c r="N960" s="300"/>
      <c r="O960" s="300"/>
      <c r="P960" s="300"/>
      <c r="Q960" s="300"/>
      <c r="R960" s="300"/>
      <c r="S960" s="300"/>
      <c r="T960" s="300"/>
      <c r="U960" s="300"/>
      <c r="V960" s="300"/>
      <c r="W960" s="300"/>
      <c r="X960" s="300"/>
      <c r="Y960" s="300"/>
      <c r="Z960" s="300"/>
      <c r="AA960" s="300"/>
    </row>
    <row r="961" spans="1:27" ht="15.5" x14ac:dyDescent="0.35">
      <c r="A961" s="300"/>
      <c r="B961" s="300"/>
      <c r="C961" s="300"/>
      <c r="D961" s="300"/>
      <c r="E961" s="300"/>
      <c r="F961" s="300"/>
      <c r="G961" s="300"/>
      <c r="H961" s="300"/>
      <c r="I961" s="300"/>
      <c r="J961" s="300"/>
      <c r="K961" s="300"/>
      <c r="L961" s="300"/>
      <c r="M961" s="300"/>
      <c r="N961" s="300"/>
      <c r="O961" s="300"/>
      <c r="P961" s="300"/>
      <c r="Q961" s="300"/>
      <c r="R961" s="300"/>
      <c r="S961" s="300"/>
      <c r="T961" s="300"/>
      <c r="U961" s="300"/>
      <c r="V961" s="300"/>
      <c r="W961" s="300"/>
      <c r="X961" s="300"/>
      <c r="Y961" s="300"/>
      <c r="Z961" s="300"/>
      <c r="AA961" s="300"/>
    </row>
    <row r="962" spans="1:27" ht="15.5" x14ac:dyDescent="0.35">
      <c r="A962" s="300"/>
      <c r="B962" s="300"/>
      <c r="C962" s="300"/>
      <c r="D962" s="300"/>
      <c r="E962" s="300"/>
      <c r="F962" s="300"/>
      <c r="G962" s="300"/>
      <c r="H962" s="300"/>
      <c r="I962" s="300"/>
      <c r="J962" s="300"/>
      <c r="K962" s="300"/>
      <c r="L962" s="300"/>
      <c r="M962" s="300"/>
      <c r="N962" s="300"/>
      <c r="O962" s="300"/>
      <c r="P962" s="300"/>
      <c r="Q962" s="300"/>
      <c r="R962" s="300"/>
      <c r="S962" s="300"/>
      <c r="T962" s="300"/>
      <c r="U962" s="300"/>
      <c r="V962" s="300"/>
      <c r="W962" s="300"/>
      <c r="X962" s="300"/>
      <c r="Y962" s="300"/>
      <c r="Z962" s="300"/>
      <c r="AA962" s="300"/>
    </row>
    <row r="963" spans="1:27" ht="15.5" x14ac:dyDescent="0.35">
      <c r="A963" s="300"/>
      <c r="B963" s="300"/>
      <c r="C963" s="300"/>
      <c r="D963" s="300"/>
      <c r="E963" s="300"/>
      <c r="F963" s="300"/>
      <c r="G963" s="300"/>
      <c r="H963" s="300"/>
      <c r="I963" s="300"/>
      <c r="J963" s="300"/>
      <c r="K963" s="300"/>
      <c r="L963" s="300"/>
      <c r="M963" s="300"/>
      <c r="N963" s="300"/>
      <c r="O963" s="300"/>
      <c r="P963" s="300"/>
      <c r="Q963" s="300"/>
      <c r="R963" s="300"/>
      <c r="S963" s="300"/>
      <c r="T963" s="300"/>
      <c r="U963" s="300"/>
      <c r="V963" s="300"/>
      <c r="W963" s="300"/>
      <c r="X963" s="300"/>
      <c r="Y963" s="300"/>
      <c r="Z963" s="300"/>
      <c r="AA963" s="300"/>
    </row>
    <row r="964" spans="1:27" ht="15.5" x14ac:dyDescent="0.35">
      <c r="A964" s="300"/>
      <c r="B964" s="300"/>
      <c r="C964" s="300"/>
      <c r="D964" s="300"/>
      <c r="E964" s="300"/>
      <c r="F964" s="300"/>
      <c r="G964" s="300"/>
      <c r="H964" s="300"/>
      <c r="I964" s="300"/>
      <c r="J964" s="300"/>
      <c r="K964" s="300"/>
      <c r="L964" s="300"/>
      <c r="M964" s="300"/>
      <c r="N964" s="300"/>
      <c r="O964" s="300"/>
      <c r="P964" s="300"/>
      <c r="Q964" s="300"/>
      <c r="R964" s="300"/>
      <c r="S964" s="300"/>
      <c r="T964" s="300"/>
      <c r="U964" s="300"/>
      <c r="V964" s="300"/>
      <c r="W964" s="300"/>
      <c r="X964" s="300"/>
      <c r="Y964" s="300"/>
      <c r="Z964" s="300"/>
      <c r="AA964" s="300"/>
    </row>
    <row r="965" spans="1:27" ht="15.5" x14ac:dyDescent="0.35">
      <c r="A965" s="300"/>
      <c r="B965" s="300"/>
      <c r="C965" s="300"/>
      <c r="D965" s="300"/>
      <c r="E965" s="300"/>
      <c r="F965" s="300"/>
      <c r="G965" s="300"/>
      <c r="H965" s="300"/>
      <c r="I965" s="300"/>
      <c r="J965" s="300"/>
      <c r="K965" s="300"/>
      <c r="L965" s="300"/>
      <c r="M965" s="300"/>
      <c r="N965" s="300"/>
      <c r="O965" s="300"/>
      <c r="P965" s="300"/>
      <c r="Q965" s="300"/>
      <c r="R965" s="300"/>
      <c r="S965" s="300"/>
      <c r="T965" s="300"/>
      <c r="U965" s="300"/>
      <c r="V965" s="300"/>
      <c r="W965" s="300"/>
      <c r="X965" s="300"/>
      <c r="Y965" s="300"/>
      <c r="Z965" s="300"/>
      <c r="AA965" s="300"/>
    </row>
    <row r="966" spans="1:27" ht="15.5" x14ac:dyDescent="0.35">
      <c r="A966" s="300"/>
      <c r="B966" s="300"/>
      <c r="C966" s="300"/>
      <c r="D966" s="300"/>
      <c r="E966" s="300"/>
      <c r="F966" s="300"/>
      <c r="G966" s="300"/>
      <c r="H966" s="300"/>
      <c r="I966" s="300"/>
      <c r="J966" s="300"/>
      <c r="K966" s="300"/>
      <c r="L966" s="300"/>
      <c r="M966" s="300"/>
      <c r="N966" s="300"/>
      <c r="O966" s="300"/>
      <c r="P966" s="300"/>
      <c r="Q966" s="300"/>
      <c r="R966" s="300"/>
      <c r="S966" s="300"/>
      <c r="T966" s="300"/>
      <c r="U966" s="300"/>
      <c r="V966" s="300"/>
      <c r="W966" s="300"/>
      <c r="X966" s="300"/>
      <c r="Y966" s="300"/>
      <c r="Z966" s="300"/>
      <c r="AA966" s="300"/>
    </row>
    <row r="967" spans="1:27" ht="15.5" x14ac:dyDescent="0.35">
      <c r="A967" s="300"/>
      <c r="B967" s="300"/>
      <c r="C967" s="300"/>
      <c r="D967" s="300"/>
      <c r="E967" s="300"/>
      <c r="F967" s="300"/>
      <c r="G967" s="300"/>
      <c r="H967" s="300"/>
      <c r="I967" s="300"/>
      <c r="J967" s="300"/>
      <c r="K967" s="300"/>
      <c r="L967" s="300"/>
      <c r="M967" s="300"/>
      <c r="N967" s="300"/>
      <c r="O967" s="300"/>
      <c r="P967" s="300"/>
      <c r="Q967" s="300"/>
      <c r="R967" s="300"/>
      <c r="S967" s="300"/>
      <c r="T967" s="300"/>
      <c r="U967" s="300"/>
      <c r="V967" s="300"/>
      <c r="W967" s="300"/>
      <c r="X967" s="300"/>
      <c r="Y967" s="300"/>
      <c r="Z967" s="300"/>
      <c r="AA967" s="300"/>
    </row>
    <row r="968" spans="1:27" ht="15.5" x14ac:dyDescent="0.35">
      <c r="A968" s="300"/>
      <c r="B968" s="300"/>
      <c r="C968" s="300"/>
      <c r="D968" s="300"/>
      <c r="E968" s="300"/>
      <c r="F968" s="300"/>
      <c r="G968" s="300"/>
      <c r="H968" s="300"/>
      <c r="I968" s="300"/>
      <c r="J968" s="300"/>
      <c r="K968" s="300"/>
      <c r="L968" s="300"/>
      <c r="M968" s="300"/>
      <c r="N968" s="300"/>
      <c r="O968" s="300"/>
      <c r="P968" s="300"/>
      <c r="Q968" s="300"/>
      <c r="R968" s="300"/>
      <c r="S968" s="300"/>
      <c r="T968" s="300"/>
      <c r="U968" s="300"/>
      <c r="V968" s="300"/>
      <c r="W968" s="300"/>
      <c r="X968" s="300"/>
      <c r="Y968" s="300"/>
      <c r="Z968" s="300"/>
      <c r="AA968" s="300"/>
    </row>
    <row r="969" spans="1:27" ht="15.5" x14ac:dyDescent="0.35">
      <c r="A969" s="300"/>
      <c r="B969" s="300"/>
      <c r="C969" s="300"/>
      <c r="D969" s="300"/>
      <c r="E969" s="300"/>
      <c r="F969" s="300"/>
      <c r="G969" s="300"/>
      <c r="H969" s="300"/>
      <c r="I969" s="300"/>
      <c r="J969" s="300"/>
      <c r="K969" s="300"/>
      <c r="L969" s="300"/>
      <c r="M969" s="300"/>
      <c r="N969" s="300"/>
      <c r="O969" s="300"/>
      <c r="P969" s="300"/>
      <c r="Q969" s="300"/>
      <c r="R969" s="300"/>
      <c r="S969" s="300"/>
      <c r="T969" s="300"/>
      <c r="U969" s="300"/>
      <c r="V969" s="300"/>
      <c r="W969" s="300"/>
      <c r="X969" s="300"/>
      <c r="Y969" s="300"/>
      <c r="Z969" s="300"/>
      <c r="AA969" s="300"/>
    </row>
    <row r="970" spans="1:27" ht="15.5" x14ac:dyDescent="0.35">
      <c r="A970" s="300"/>
      <c r="B970" s="300"/>
      <c r="C970" s="300"/>
      <c r="D970" s="300"/>
      <c r="E970" s="300"/>
      <c r="F970" s="300"/>
      <c r="G970" s="300"/>
      <c r="H970" s="300"/>
      <c r="I970" s="300"/>
      <c r="J970" s="300"/>
      <c r="K970" s="300"/>
      <c r="L970" s="300"/>
      <c r="M970" s="300"/>
      <c r="N970" s="300"/>
      <c r="O970" s="300"/>
      <c r="P970" s="300"/>
      <c r="Q970" s="300"/>
      <c r="R970" s="300"/>
      <c r="S970" s="300"/>
      <c r="T970" s="300"/>
      <c r="U970" s="300"/>
      <c r="V970" s="300"/>
      <c r="W970" s="300"/>
      <c r="X970" s="300"/>
      <c r="Y970" s="300"/>
      <c r="Z970" s="300"/>
      <c r="AA970" s="300"/>
    </row>
    <row r="971" spans="1:27" ht="15.5" x14ac:dyDescent="0.35">
      <c r="A971" s="300"/>
      <c r="B971" s="300"/>
      <c r="C971" s="300"/>
      <c r="D971" s="300"/>
      <c r="E971" s="300"/>
      <c r="F971" s="300"/>
      <c r="G971" s="300"/>
      <c r="H971" s="300"/>
      <c r="I971" s="300"/>
      <c r="J971" s="300"/>
      <c r="K971" s="300"/>
      <c r="L971" s="300"/>
      <c r="M971" s="300"/>
      <c r="N971" s="300"/>
      <c r="O971" s="300"/>
      <c r="P971" s="300"/>
      <c r="Q971" s="300"/>
      <c r="R971" s="300"/>
      <c r="S971" s="300"/>
      <c r="T971" s="300"/>
      <c r="U971" s="300"/>
      <c r="V971" s="300"/>
      <c r="W971" s="300"/>
      <c r="X971" s="300"/>
      <c r="Y971" s="300"/>
      <c r="Z971" s="300"/>
      <c r="AA971" s="300"/>
    </row>
    <row r="972" spans="1:27" ht="15.5" x14ac:dyDescent="0.35">
      <c r="A972" s="300"/>
      <c r="B972" s="300"/>
      <c r="C972" s="300"/>
      <c r="D972" s="300"/>
      <c r="E972" s="300"/>
      <c r="F972" s="300"/>
      <c r="G972" s="300"/>
      <c r="H972" s="300"/>
      <c r="I972" s="300"/>
      <c r="J972" s="300"/>
      <c r="K972" s="300"/>
      <c r="L972" s="300"/>
      <c r="M972" s="300"/>
      <c r="N972" s="300"/>
      <c r="O972" s="300"/>
      <c r="P972" s="300"/>
      <c r="Q972" s="300"/>
      <c r="R972" s="300"/>
      <c r="S972" s="300"/>
      <c r="T972" s="300"/>
      <c r="U972" s="300"/>
      <c r="V972" s="300"/>
      <c r="W972" s="300"/>
      <c r="X972" s="300"/>
      <c r="Y972" s="300"/>
      <c r="Z972" s="300"/>
      <c r="AA972" s="300"/>
    </row>
    <row r="973" spans="1:27" ht="15.5" x14ac:dyDescent="0.35">
      <c r="A973" s="300"/>
      <c r="B973" s="300"/>
      <c r="C973" s="300"/>
      <c r="D973" s="300"/>
      <c r="E973" s="300"/>
      <c r="F973" s="300"/>
      <c r="G973" s="300"/>
      <c r="H973" s="300"/>
      <c r="I973" s="300"/>
      <c r="J973" s="300"/>
      <c r="K973" s="300"/>
      <c r="L973" s="300"/>
      <c r="M973" s="300"/>
      <c r="N973" s="300"/>
      <c r="O973" s="300"/>
      <c r="P973" s="300"/>
      <c r="Q973" s="300"/>
      <c r="R973" s="300"/>
      <c r="S973" s="300"/>
      <c r="T973" s="300"/>
      <c r="U973" s="300"/>
      <c r="V973" s="300"/>
      <c r="W973" s="300"/>
      <c r="X973" s="300"/>
      <c r="Y973" s="300"/>
      <c r="Z973" s="300"/>
      <c r="AA973" s="300"/>
    </row>
    <row r="974" spans="1:27" ht="15.5" x14ac:dyDescent="0.35">
      <c r="A974" s="300"/>
      <c r="B974" s="300"/>
      <c r="C974" s="300"/>
      <c r="D974" s="300"/>
      <c r="E974" s="300"/>
      <c r="F974" s="300"/>
      <c r="G974" s="300"/>
      <c r="H974" s="300"/>
      <c r="I974" s="300"/>
      <c r="J974" s="300"/>
      <c r="K974" s="300"/>
      <c r="L974" s="300"/>
      <c r="M974" s="300"/>
      <c r="N974" s="300"/>
      <c r="O974" s="300"/>
      <c r="P974" s="300"/>
      <c r="Q974" s="300"/>
      <c r="R974" s="300"/>
      <c r="S974" s="300"/>
      <c r="T974" s="300"/>
      <c r="U974" s="300"/>
      <c r="V974" s="300"/>
      <c r="W974" s="300"/>
      <c r="X974" s="300"/>
      <c r="Y974" s="300"/>
      <c r="Z974" s="300"/>
      <c r="AA974" s="300"/>
    </row>
    <row r="975" spans="1:27" ht="15.5" x14ac:dyDescent="0.35">
      <c r="A975" s="300"/>
      <c r="B975" s="300"/>
      <c r="C975" s="300"/>
      <c r="D975" s="300"/>
      <c r="E975" s="300"/>
      <c r="F975" s="300"/>
      <c r="G975" s="300"/>
      <c r="H975" s="300"/>
      <c r="I975" s="300"/>
      <c r="J975" s="300"/>
      <c r="K975" s="300"/>
      <c r="L975" s="300"/>
      <c r="M975" s="300"/>
      <c r="N975" s="300"/>
      <c r="O975" s="300"/>
      <c r="P975" s="300"/>
      <c r="Q975" s="300"/>
      <c r="R975" s="300"/>
      <c r="S975" s="300"/>
      <c r="T975" s="300"/>
      <c r="U975" s="300"/>
      <c r="V975" s="300"/>
      <c r="W975" s="300"/>
      <c r="X975" s="300"/>
      <c r="Y975" s="300"/>
      <c r="Z975" s="300"/>
      <c r="AA975" s="300"/>
    </row>
    <row r="976" spans="1:27" ht="15.5" x14ac:dyDescent="0.35">
      <c r="A976" s="300"/>
      <c r="B976" s="300"/>
      <c r="C976" s="300"/>
      <c r="D976" s="300"/>
      <c r="E976" s="300"/>
      <c r="F976" s="300"/>
      <c r="G976" s="300"/>
      <c r="H976" s="300"/>
      <c r="I976" s="300"/>
      <c r="J976" s="300"/>
      <c r="K976" s="300"/>
      <c r="L976" s="300"/>
      <c r="M976" s="300"/>
      <c r="N976" s="300"/>
      <c r="O976" s="300"/>
      <c r="P976" s="300"/>
      <c r="Q976" s="300"/>
      <c r="R976" s="300"/>
      <c r="S976" s="300"/>
      <c r="T976" s="300"/>
      <c r="U976" s="300"/>
      <c r="V976" s="300"/>
      <c r="W976" s="300"/>
      <c r="X976" s="300"/>
      <c r="Y976" s="300"/>
      <c r="Z976" s="300"/>
      <c r="AA976" s="300"/>
    </row>
    <row r="977" spans="1:27" ht="15.5" x14ac:dyDescent="0.35">
      <c r="A977" s="300"/>
      <c r="B977" s="300"/>
      <c r="C977" s="300"/>
      <c r="D977" s="300"/>
      <c r="E977" s="300"/>
      <c r="F977" s="300"/>
      <c r="G977" s="300"/>
      <c r="H977" s="300"/>
      <c r="I977" s="300"/>
      <c r="J977" s="300"/>
      <c r="K977" s="300"/>
      <c r="L977" s="300"/>
      <c r="M977" s="300"/>
      <c r="N977" s="300"/>
      <c r="O977" s="300"/>
      <c r="P977" s="300"/>
      <c r="Q977" s="300"/>
      <c r="R977" s="300"/>
      <c r="S977" s="300"/>
      <c r="T977" s="300"/>
      <c r="U977" s="300"/>
      <c r="V977" s="300"/>
      <c r="W977" s="300"/>
      <c r="X977" s="300"/>
      <c r="Y977" s="300"/>
      <c r="Z977" s="300"/>
      <c r="AA977" s="300"/>
    </row>
    <row r="978" spans="1:27" ht="15.5" x14ac:dyDescent="0.35">
      <c r="A978" s="300"/>
      <c r="B978" s="300"/>
      <c r="C978" s="300"/>
      <c r="D978" s="300"/>
      <c r="E978" s="300"/>
      <c r="F978" s="300"/>
      <c r="G978" s="300"/>
      <c r="H978" s="300"/>
      <c r="I978" s="300"/>
      <c r="J978" s="300"/>
      <c r="K978" s="300"/>
      <c r="L978" s="300"/>
      <c r="M978" s="300"/>
      <c r="N978" s="300"/>
      <c r="O978" s="300"/>
      <c r="P978" s="300"/>
      <c r="Q978" s="300"/>
      <c r="R978" s="300"/>
      <c r="S978" s="300"/>
      <c r="T978" s="300"/>
      <c r="U978" s="300"/>
      <c r="V978" s="300"/>
      <c r="W978" s="300"/>
      <c r="X978" s="300"/>
      <c r="Y978" s="300"/>
      <c r="Z978" s="300"/>
      <c r="AA978" s="300"/>
    </row>
    <row r="979" spans="1:27" ht="15.5" x14ac:dyDescent="0.35">
      <c r="A979" s="300"/>
      <c r="B979" s="300"/>
      <c r="C979" s="300"/>
      <c r="D979" s="300"/>
      <c r="E979" s="300"/>
      <c r="F979" s="300"/>
      <c r="G979" s="300"/>
      <c r="H979" s="300"/>
      <c r="I979" s="300"/>
      <c r="J979" s="300"/>
      <c r="K979" s="300"/>
      <c r="L979" s="300"/>
      <c r="M979" s="300"/>
      <c r="N979" s="300"/>
      <c r="O979" s="300"/>
      <c r="P979" s="300"/>
      <c r="Q979" s="300"/>
      <c r="R979" s="300"/>
      <c r="S979" s="300"/>
      <c r="T979" s="300"/>
      <c r="U979" s="300"/>
      <c r="V979" s="300"/>
      <c r="W979" s="300"/>
      <c r="X979" s="300"/>
      <c r="Y979" s="300"/>
      <c r="Z979" s="300"/>
      <c r="AA979" s="300"/>
    </row>
    <row r="980" spans="1:27" ht="15.5" x14ac:dyDescent="0.35">
      <c r="A980" s="300"/>
      <c r="B980" s="300"/>
      <c r="C980" s="300"/>
      <c r="D980" s="300"/>
      <c r="E980" s="300"/>
      <c r="F980" s="300"/>
      <c r="G980" s="300"/>
      <c r="H980" s="300"/>
      <c r="I980" s="300"/>
      <c r="J980" s="300"/>
      <c r="K980" s="300"/>
      <c r="L980" s="300"/>
      <c r="M980" s="300"/>
      <c r="N980" s="300"/>
      <c r="O980" s="300"/>
      <c r="P980" s="300"/>
      <c r="Q980" s="300"/>
      <c r="R980" s="300"/>
      <c r="S980" s="300"/>
      <c r="T980" s="300"/>
      <c r="U980" s="300"/>
      <c r="V980" s="300"/>
      <c r="W980" s="300"/>
      <c r="X980" s="300"/>
      <c r="Y980" s="300"/>
      <c r="Z980" s="300"/>
      <c r="AA980" s="300"/>
    </row>
    <row r="981" spans="1:27" ht="15.5" x14ac:dyDescent="0.35">
      <c r="A981" s="300"/>
      <c r="B981" s="300"/>
      <c r="C981" s="300"/>
      <c r="D981" s="300"/>
      <c r="E981" s="300"/>
      <c r="F981" s="300"/>
      <c r="G981" s="300"/>
      <c r="H981" s="300"/>
      <c r="I981" s="300"/>
      <c r="J981" s="300"/>
      <c r="K981" s="300"/>
      <c r="L981" s="300"/>
      <c r="M981" s="300"/>
      <c r="N981" s="300"/>
      <c r="O981" s="300"/>
      <c r="P981" s="300"/>
      <c r="Q981" s="300"/>
      <c r="R981" s="300"/>
      <c r="S981" s="300"/>
      <c r="T981" s="300"/>
      <c r="U981" s="300"/>
      <c r="V981" s="300"/>
      <c r="W981" s="300"/>
      <c r="X981" s="300"/>
      <c r="Y981" s="300"/>
      <c r="Z981" s="300"/>
      <c r="AA981" s="300"/>
    </row>
    <row r="982" spans="1:27" ht="15.5" x14ac:dyDescent="0.35">
      <c r="A982" s="300"/>
      <c r="B982" s="300"/>
      <c r="C982" s="300"/>
      <c r="D982" s="300"/>
      <c r="E982" s="300"/>
      <c r="F982" s="300"/>
      <c r="G982" s="300"/>
      <c r="H982" s="300"/>
      <c r="I982" s="300"/>
      <c r="J982" s="300"/>
      <c r="K982" s="300"/>
      <c r="L982" s="300"/>
      <c r="M982" s="300"/>
      <c r="N982" s="300"/>
      <c r="O982" s="300"/>
      <c r="P982" s="300"/>
      <c r="Q982" s="300"/>
      <c r="R982" s="300"/>
      <c r="S982" s="300"/>
      <c r="T982" s="300"/>
      <c r="U982" s="300"/>
      <c r="V982" s="300"/>
      <c r="W982" s="300"/>
      <c r="X982" s="300"/>
      <c r="Y982" s="300"/>
      <c r="Z982" s="300"/>
      <c r="AA982" s="300"/>
    </row>
    <row r="983" spans="1:27" ht="15.5" x14ac:dyDescent="0.35">
      <c r="A983" s="300"/>
      <c r="B983" s="300"/>
      <c r="C983" s="300"/>
      <c r="D983" s="300"/>
      <c r="E983" s="300"/>
      <c r="F983" s="300"/>
      <c r="G983" s="300"/>
      <c r="H983" s="300"/>
      <c r="I983" s="300"/>
      <c r="J983" s="300"/>
      <c r="K983" s="300"/>
      <c r="L983" s="300"/>
      <c r="M983" s="300"/>
      <c r="N983" s="300"/>
      <c r="O983" s="300"/>
      <c r="P983" s="300"/>
      <c r="Q983" s="300"/>
      <c r="R983" s="300"/>
      <c r="S983" s="300"/>
      <c r="T983" s="300"/>
      <c r="U983" s="300"/>
      <c r="V983" s="300"/>
      <c r="W983" s="300"/>
      <c r="X983" s="300"/>
      <c r="Y983" s="300"/>
      <c r="Z983" s="300"/>
      <c r="AA983" s="300"/>
    </row>
    <row r="984" spans="1:27" ht="15.5" x14ac:dyDescent="0.35">
      <c r="A984" s="300"/>
      <c r="B984" s="300"/>
      <c r="C984" s="300"/>
      <c r="D984" s="300"/>
      <c r="E984" s="300"/>
      <c r="F984" s="300"/>
      <c r="G984" s="300"/>
      <c r="H984" s="300"/>
      <c r="I984" s="300"/>
      <c r="J984" s="300"/>
      <c r="K984" s="300"/>
      <c r="L984" s="300"/>
      <c r="M984" s="300"/>
      <c r="N984" s="300"/>
      <c r="O984" s="300"/>
      <c r="P984" s="300"/>
      <c r="Q984" s="300"/>
      <c r="R984" s="300"/>
      <c r="S984" s="300"/>
      <c r="T984" s="300"/>
      <c r="U984" s="300"/>
      <c r="V984" s="300"/>
      <c r="W984" s="300"/>
      <c r="X984" s="300"/>
      <c r="Y984" s="300"/>
      <c r="Z984" s="300"/>
      <c r="AA984" s="300"/>
    </row>
    <row r="985" spans="1:27" ht="15.5" x14ac:dyDescent="0.35">
      <c r="A985" s="300"/>
      <c r="B985" s="300"/>
      <c r="C985" s="300"/>
      <c r="D985" s="300"/>
      <c r="E985" s="300"/>
      <c r="F985" s="300"/>
      <c r="G985" s="300"/>
      <c r="H985" s="300"/>
      <c r="I985" s="300"/>
      <c r="J985" s="300"/>
      <c r="K985" s="300"/>
      <c r="L985" s="300"/>
      <c r="M985" s="300"/>
      <c r="N985" s="300"/>
      <c r="O985" s="300"/>
      <c r="P985" s="300"/>
      <c r="Q985" s="300"/>
      <c r="R985" s="300"/>
      <c r="S985" s="300"/>
      <c r="T985" s="300"/>
      <c r="U985" s="300"/>
      <c r="V985" s="300"/>
      <c r="W985" s="300"/>
      <c r="X985" s="300"/>
      <c r="Y985" s="300"/>
      <c r="Z985" s="300"/>
      <c r="AA985" s="300"/>
    </row>
    <row r="986" spans="1:27" ht="15.5" x14ac:dyDescent="0.35">
      <c r="A986" s="300"/>
      <c r="B986" s="300"/>
      <c r="C986" s="300"/>
      <c r="D986" s="300"/>
      <c r="E986" s="300"/>
      <c r="F986" s="300"/>
      <c r="G986" s="300"/>
      <c r="H986" s="300"/>
      <c r="I986" s="300"/>
      <c r="J986" s="300"/>
      <c r="K986" s="300"/>
      <c r="L986" s="300"/>
      <c r="M986" s="300"/>
      <c r="N986" s="300"/>
      <c r="O986" s="300"/>
      <c r="P986" s="300"/>
      <c r="Q986" s="300"/>
      <c r="R986" s="300"/>
      <c r="S986" s="300"/>
      <c r="T986" s="300"/>
      <c r="U986" s="300"/>
      <c r="V986" s="300"/>
      <c r="W986" s="300"/>
      <c r="X986" s="300"/>
      <c r="Y986" s="300"/>
      <c r="Z986" s="300"/>
      <c r="AA986" s="300"/>
    </row>
    <row r="987" spans="1:27" ht="15.5" x14ac:dyDescent="0.35">
      <c r="A987" s="300"/>
      <c r="B987" s="300"/>
      <c r="C987" s="300"/>
      <c r="D987" s="300"/>
      <c r="E987" s="300"/>
      <c r="F987" s="300"/>
      <c r="G987" s="300"/>
      <c r="H987" s="300"/>
      <c r="I987" s="300"/>
      <c r="J987" s="300"/>
      <c r="K987" s="300"/>
      <c r="L987" s="300"/>
      <c r="M987" s="300"/>
      <c r="N987" s="300"/>
      <c r="O987" s="300"/>
      <c r="P987" s="300"/>
      <c r="Q987" s="300"/>
      <c r="R987" s="300"/>
      <c r="S987" s="300"/>
      <c r="T987" s="300"/>
      <c r="U987" s="300"/>
      <c r="V987" s="300"/>
      <c r="W987" s="300"/>
      <c r="X987" s="300"/>
      <c r="Y987" s="300"/>
      <c r="Z987" s="300"/>
      <c r="AA987" s="300"/>
    </row>
    <row r="988" spans="1:27" ht="15.5" x14ac:dyDescent="0.35">
      <c r="A988" s="300"/>
      <c r="B988" s="300"/>
      <c r="C988" s="300"/>
      <c r="D988" s="300"/>
      <c r="E988" s="300"/>
      <c r="F988" s="300"/>
      <c r="G988" s="300"/>
      <c r="H988" s="300"/>
      <c r="I988" s="300"/>
      <c r="J988" s="300"/>
      <c r="K988" s="300"/>
      <c r="L988" s="300"/>
      <c r="M988" s="300"/>
      <c r="N988" s="300"/>
      <c r="O988" s="300"/>
      <c r="P988" s="300"/>
      <c r="Q988" s="300"/>
      <c r="R988" s="300"/>
      <c r="S988" s="300"/>
      <c r="T988" s="300"/>
      <c r="U988" s="300"/>
      <c r="V988" s="300"/>
      <c r="W988" s="300"/>
      <c r="X988" s="300"/>
      <c r="Y988" s="300"/>
      <c r="Z988" s="300"/>
      <c r="AA988" s="300"/>
    </row>
    <row r="989" spans="1:27" ht="15.5" x14ac:dyDescent="0.35">
      <c r="A989" s="300"/>
      <c r="B989" s="300"/>
      <c r="C989" s="300"/>
      <c r="D989" s="300"/>
      <c r="E989" s="300"/>
      <c r="F989" s="300"/>
      <c r="G989" s="300"/>
      <c r="H989" s="300"/>
      <c r="I989" s="300"/>
      <c r="J989" s="300"/>
      <c r="K989" s="300"/>
      <c r="L989" s="300"/>
      <c r="M989" s="300"/>
      <c r="N989" s="300"/>
      <c r="O989" s="300"/>
      <c r="P989" s="300"/>
      <c r="Q989" s="300"/>
      <c r="R989" s="300"/>
      <c r="S989" s="300"/>
      <c r="T989" s="300"/>
      <c r="U989" s="300"/>
      <c r="V989" s="300"/>
      <c r="W989" s="300"/>
      <c r="X989" s="300"/>
      <c r="Y989" s="300"/>
      <c r="Z989" s="300"/>
      <c r="AA989" s="300"/>
    </row>
    <row r="990" spans="1:27" ht="15.5" x14ac:dyDescent="0.35">
      <c r="A990" s="300"/>
      <c r="B990" s="300"/>
      <c r="C990" s="300"/>
      <c r="D990" s="300"/>
      <c r="E990" s="300"/>
      <c r="F990" s="300"/>
      <c r="G990" s="300"/>
      <c r="H990" s="300"/>
      <c r="I990" s="300"/>
      <c r="J990" s="300"/>
      <c r="K990" s="300"/>
      <c r="L990" s="300"/>
      <c r="M990" s="300"/>
      <c r="N990" s="300"/>
      <c r="O990" s="300"/>
      <c r="P990" s="300"/>
      <c r="Q990" s="300"/>
      <c r="R990" s="300"/>
      <c r="S990" s="300"/>
      <c r="T990" s="300"/>
      <c r="U990" s="300"/>
      <c r="V990" s="300"/>
      <c r="W990" s="300"/>
      <c r="X990" s="300"/>
      <c r="Y990" s="300"/>
      <c r="Z990" s="300"/>
      <c r="AA990" s="300"/>
    </row>
    <row r="991" spans="1:27" ht="15.5" x14ac:dyDescent="0.35">
      <c r="A991" s="300"/>
      <c r="B991" s="300"/>
      <c r="C991" s="300"/>
      <c r="D991" s="300"/>
      <c r="E991" s="300"/>
      <c r="F991" s="300"/>
      <c r="G991" s="300"/>
      <c r="H991" s="300"/>
      <c r="I991" s="300"/>
      <c r="J991" s="300"/>
      <c r="K991" s="300"/>
      <c r="L991" s="300"/>
      <c r="M991" s="300"/>
      <c r="N991" s="300"/>
      <c r="O991" s="300"/>
      <c r="P991" s="300"/>
      <c r="Q991" s="300"/>
      <c r="R991" s="300"/>
      <c r="S991" s="300"/>
      <c r="T991" s="300"/>
      <c r="U991" s="300"/>
      <c r="V991" s="300"/>
      <c r="W991" s="300"/>
      <c r="X991" s="300"/>
      <c r="Y991" s="300"/>
      <c r="Z991" s="300"/>
      <c r="AA991" s="300"/>
    </row>
    <row r="992" spans="1:27" ht="15.5" x14ac:dyDescent="0.35">
      <c r="A992" s="300"/>
      <c r="B992" s="300"/>
      <c r="C992" s="300"/>
      <c r="D992" s="300"/>
      <c r="E992" s="300"/>
      <c r="F992" s="300"/>
      <c r="G992" s="300"/>
      <c r="H992" s="300"/>
      <c r="I992" s="300"/>
      <c r="J992" s="300"/>
      <c r="K992" s="300"/>
      <c r="L992" s="300"/>
      <c r="M992" s="300"/>
      <c r="N992" s="300"/>
      <c r="O992" s="300"/>
      <c r="P992" s="300"/>
      <c r="Q992" s="300"/>
      <c r="R992" s="300"/>
      <c r="S992" s="300"/>
      <c r="T992" s="300"/>
      <c r="U992" s="300"/>
      <c r="V992" s="300"/>
      <c r="W992" s="300"/>
      <c r="X992" s="300"/>
      <c r="Y992" s="300"/>
      <c r="Z992" s="300"/>
      <c r="AA992" s="300"/>
    </row>
    <row r="993" spans="1:27" ht="15.5" x14ac:dyDescent="0.35">
      <c r="A993" s="300"/>
      <c r="B993" s="300"/>
      <c r="C993" s="300"/>
      <c r="D993" s="300"/>
      <c r="E993" s="300"/>
      <c r="F993" s="300"/>
      <c r="G993" s="300"/>
      <c r="H993" s="300"/>
      <c r="I993" s="300"/>
      <c r="J993" s="300"/>
      <c r="K993" s="300"/>
      <c r="L993" s="300"/>
      <c r="M993" s="300"/>
      <c r="N993" s="300"/>
      <c r="O993" s="300"/>
      <c r="P993" s="300"/>
      <c r="Q993" s="300"/>
      <c r="R993" s="300"/>
      <c r="S993" s="300"/>
      <c r="T993" s="300"/>
      <c r="U993" s="300"/>
      <c r="V993" s="300"/>
      <c r="W993" s="300"/>
      <c r="X993" s="300"/>
      <c r="Y993" s="300"/>
      <c r="Z993" s="300"/>
      <c r="AA993" s="300"/>
    </row>
    <row r="994" spans="1:27" ht="15.5" x14ac:dyDescent="0.35">
      <c r="A994" s="300"/>
      <c r="B994" s="300"/>
      <c r="C994" s="300"/>
      <c r="D994" s="300"/>
      <c r="E994" s="300"/>
      <c r="F994" s="300"/>
      <c r="G994" s="300"/>
      <c r="H994" s="300"/>
      <c r="I994" s="300"/>
      <c r="J994" s="300"/>
      <c r="K994" s="300"/>
      <c r="L994" s="300"/>
      <c r="M994" s="300"/>
      <c r="N994" s="300"/>
      <c r="O994" s="300"/>
      <c r="P994" s="300"/>
      <c r="Q994" s="300"/>
      <c r="R994" s="300"/>
      <c r="S994" s="300"/>
      <c r="T994" s="300"/>
      <c r="U994" s="300"/>
      <c r="V994" s="300"/>
      <c r="W994" s="300"/>
      <c r="X994" s="300"/>
      <c r="Y994" s="300"/>
      <c r="Z994" s="300"/>
      <c r="AA994" s="300"/>
    </row>
    <row r="995" spans="1:27" ht="15.5" x14ac:dyDescent="0.35">
      <c r="A995" s="300"/>
      <c r="B995" s="300"/>
      <c r="C995" s="300"/>
      <c r="D995" s="300"/>
      <c r="E995" s="300"/>
      <c r="F995" s="300"/>
      <c r="G995" s="300"/>
      <c r="H995" s="300"/>
      <c r="I995" s="300"/>
      <c r="J995" s="300"/>
      <c r="K995" s="300"/>
      <c r="L995" s="300"/>
      <c r="M995" s="300"/>
      <c r="N995" s="300"/>
      <c r="O995" s="300"/>
      <c r="P995" s="300"/>
      <c r="Q995" s="300"/>
      <c r="R995" s="300"/>
      <c r="S995" s="300"/>
      <c r="T995" s="300"/>
      <c r="U995" s="300"/>
      <c r="V995" s="300"/>
      <c r="W995" s="300"/>
      <c r="X995" s="300"/>
      <c r="Y995" s="300"/>
      <c r="Z995" s="300"/>
      <c r="AA995" s="300"/>
    </row>
    <row r="996" spans="1:27" ht="15.5" x14ac:dyDescent="0.35">
      <c r="A996" s="300"/>
      <c r="B996" s="300"/>
      <c r="C996" s="300"/>
      <c r="D996" s="300"/>
      <c r="E996" s="300"/>
      <c r="F996" s="300"/>
      <c r="G996" s="300"/>
      <c r="H996" s="300"/>
      <c r="I996" s="300"/>
      <c r="J996" s="300"/>
      <c r="K996" s="300"/>
      <c r="L996" s="300"/>
      <c r="M996" s="300"/>
      <c r="N996" s="300"/>
      <c r="O996" s="300"/>
      <c r="P996" s="300"/>
      <c r="Q996" s="300"/>
      <c r="R996" s="300"/>
      <c r="S996" s="300"/>
      <c r="T996" s="300"/>
      <c r="U996" s="300"/>
      <c r="V996" s="300"/>
      <c r="W996" s="300"/>
      <c r="X996" s="300"/>
      <c r="Y996" s="300"/>
      <c r="Z996" s="300"/>
      <c r="AA996" s="300"/>
    </row>
  </sheetData>
  <mergeCells count="34">
    <mergeCell ref="A14:B14"/>
    <mergeCell ref="A32:A33"/>
    <mergeCell ref="B32:B33"/>
    <mergeCell ref="B34:B35"/>
    <mergeCell ref="B36:B37"/>
    <mergeCell ref="A34:A35"/>
    <mergeCell ref="A36:A37"/>
    <mergeCell ref="C1:D1"/>
    <mergeCell ref="C2:D2"/>
    <mergeCell ref="A5:H5"/>
    <mergeCell ref="A11:B11"/>
    <mergeCell ref="A12:B12"/>
    <mergeCell ref="C26:G26"/>
    <mergeCell ref="A15:B15"/>
    <mergeCell ref="A16:B16"/>
    <mergeCell ref="A17:B17"/>
    <mergeCell ref="D17:G17"/>
    <mergeCell ref="A19:B19"/>
    <mergeCell ref="A20:B20"/>
    <mergeCell ref="A21:B21"/>
    <mergeCell ref="D21:G21"/>
    <mergeCell ref="C23:G23"/>
    <mergeCell ref="C24:G24"/>
    <mergeCell ref="C25:G25"/>
    <mergeCell ref="B57:G57"/>
    <mergeCell ref="A71:A72"/>
    <mergeCell ref="B71:F71"/>
    <mergeCell ref="G73:G74"/>
    <mergeCell ref="C27:G27"/>
    <mergeCell ref="C28:G28"/>
    <mergeCell ref="C29:G29"/>
    <mergeCell ref="A42:G42"/>
    <mergeCell ref="B43:G43"/>
    <mergeCell ref="A56:G56"/>
  </mergeCells>
  <conditionalFormatting sqref="B45:G51">
    <cfRule type="colorScale" priority="2">
      <colorScale>
        <cfvo type="min"/>
        <cfvo type="percentile" val="50"/>
        <cfvo type="max"/>
        <color rgb="FFF8696B"/>
        <color rgb="FFFCFCFF"/>
        <color rgb="FF5A8AC6"/>
      </colorScale>
    </cfRule>
  </conditionalFormatting>
  <conditionalFormatting sqref="B59:G64">
    <cfRule type="colorScale" priority="3">
      <colorScale>
        <cfvo type="min"/>
        <cfvo type="percentile" val="50"/>
        <cfvo type="max"/>
        <color rgb="FFF8696B"/>
        <color rgb="FFFFEB84"/>
        <color rgb="FF63BE7B"/>
      </colorScale>
    </cfRule>
  </conditionalFormatting>
  <conditionalFormatting sqref="B59:G65">
    <cfRule type="colorScale" priority="1">
      <colorScale>
        <cfvo type="min"/>
        <cfvo type="percentile" val="50"/>
        <cfvo type="max"/>
        <color rgb="FFF8696B"/>
        <color rgb="FFFCFCFF"/>
        <color rgb="FF5A8AC6"/>
      </colorScale>
    </cfRule>
  </conditionalFormatting>
  <hyperlinks>
    <hyperlink ref="C27" r:id="rId1" location=":~:text=GDP%20Growth%20Rate%20in%20Bangladesh,statistics%2C%20economic%20calendar%20and%20news. " xr:uid="{84A7CDF3-35FB-42CE-AD1E-AB54448CB03E}"/>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DD182-48D1-45F2-89FC-44E597DFA177}">
  <dimension ref="A1:M35"/>
  <sheetViews>
    <sheetView zoomScale="78" workbookViewId="0">
      <selection activeCell="F15" sqref="F15"/>
    </sheetView>
  </sheetViews>
  <sheetFormatPr defaultRowHeight="14.5" x14ac:dyDescent="0.35"/>
  <cols>
    <col min="1" max="1" width="9.453125" style="21" bestFit="1" customWidth="1"/>
    <col min="2" max="2" width="26" style="21" customWidth="1"/>
    <col min="3" max="3" width="18.26953125" style="21" bestFit="1" customWidth="1"/>
    <col min="4" max="4" width="26.81640625" style="21" bestFit="1" customWidth="1"/>
    <col min="5" max="5" width="17.453125" style="21" customWidth="1"/>
    <col min="6" max="6" width="20.81640625" style="21" customWidth="1"/>
    <col min="7" max="7" width="19.7265625" style="21" bestFit="1" customWidth="1"/>
    <col min="8" max="8" width="13.7265625" style="21" bestFit="1" customWidth="1"/>
    <col min="9" max="9" width="15.26953125" style="21" bestFit="1" customWidth="1"/>
    <col min="10" max="10" width="13.453125" style="21" customWidth="1"/>
    <col min="11" max="11" width="16.81640625" style="21" bestFit="1" customWidth="1"/>
    <col min="12" max="12" width="19" style="21" bestFit="1" customWidth="1"/>
    <col min="13" max="13" width="15.54296875" style="21" bestFit="1" customWidth="1"/>
    <col min="14" max="15" width="14.54296875" style="21" bestFit="1" customWidth="1"/>
    <col min="16" max="16384" width="8.7265625" style="21"/>
  </cols>
  <sheetData>
    <row r="1" spans="1:13" ht="17.5" x14ac:dyDescent="0.35">
      <c r="A1" s="255" t="s">
        <v>321</v>
      </c>
      <c r="B1" s="255" t="s">
        <v>322</v>
      </c>
      <c r="C1" s="255" t="s">
        <v>323</v>
      </c>
      <c r="D1" s="255" t="s">
        <v>301</v>
      </c>
      <c r="E1" s="255" t="s">
        <v>324</v>
      </c>
      <c r="F1" s="255" t="s">
        <v>325</v>
      </c>
      <c r="G1" s="255" t="s">
        <v>326</v>
      </c>
      <c r="H1" s="255" t="s">
        <v>327</v>
      </c>
      <c r="I1" s="255" t="s">
        <v>328</v>
      </c>
      <c r="J1" s="255" t="s">
        <v>329</v>
      </c>
      <c r="K1" s="255" t="s">
        <v>330</v>
      </c>
      <c r="L1" s="255" t="s">
        <v>331</v>
      </c>
      <c r="M1" s="255" t="s">
        <v>332</v>
      </c>
    </row>
    <row r="2" spans="1:13" ht="15.5" x14ac:dyDescent="0.35">
      <c r="A2" s="256">
        <v>1</v>
      </c>
      <c r="B2" s="257" t="s">
        <v>333</v>
      </c>
      <c r="C2" s="258">
        <v>256.5</v>
      </c>
      <c r="D2" s="258">
        <v>26.89</v>
      </c>
      <c r="E2" s="258">
        <f>C9/C10</f>
        <v>47.94671994754659</v>
      </c>
      <c r="F2" s="259">
        <f>C13+C14-C15</f>
        <v>127118233.96599999</v>
      </c>
      <c r="G2" s="258">
        <f>C11/C10</f>
        <v>88.482820894155324</v>
      </c>
      <c r="H2" s="258">
        <f>C2/D2</f>
        <v>9.5388620304946077</v>
      </c>
      <c r="I2" s="258">
        <f>C2/E2</f>
        <v>5.3496881597032999</v>
      </c>
      <c r="J2" s="258">
        <f>C2/G2</f>
        <v>2.898867796120896</v>
      </c>
      <c r="K2" s="260">
        <f>F2/C12</f>
        <v>1.3569265268944608</v>
      </c>
      <c r="L2" s="261">
        <v>14.5</v>
      </c>
      <c r="M2" s="261">
        <v>54.8</v>
      </c>
    </row>
    <row r="3" spans="1:13" ht="15.5" x14ac:dyDescent="0.35">
      <c r="A3" s="256">
        <v>2</v>
      </c>
      <c r="B3" s="262" t="s">
        <v>334</v>
      </c>
      <c r="C3" s="258">
        <v>28.4</v>
      </c>
      <c r="D3" s="258">
        <v>1.34</v>
      </c>
      <c r="E3" s="258">
        <f>D9/D10</f>
        <v>13.078636434115676</v>
      </c>
      <c r="F3" s="259">
        <f>D13+D14-D15</f>
        <v>136200330.05399999</v>
      </c>
      <c r="G3" s="258">
        <f>D11/D10</f>
        <v>18.996493654010433</v>
      </c>
      <c r="H3" s="258">
        <f t="shared" ref="H3:H4" si="0">C3/D3</f>
        <v>21.194029850746265</v>
      </c>
      <c r="I3" s="258">
        <f>C3/E3</f>
        <v>2.1714801954367724</v>
      </c>
      <c r="J3" s="258">
        <f t="shared" ref="J3:J4" si="1">C3/G3</f>
        <v>1.4950127385221088</v>
      </c>
      <c r="K3" s="260">
        <f>F3/D12</f>
        <v>2.6802646814782745</v>
      </c>
      <c r="L3" s="261">
        <v>4.5</v>
      </c>
      <c r="M3" s="261">
        <v>14</v>
      </c>
    </row>
    <row r="4" spans="1:13" ht="31" x14ac:dyDescent="0.35">
      <c r="A4" s="256">
        <v>3</v>
      </c>
      <c r="B4" s="262" t="s">
        <v>335</v>
      </c>
      <c r="C4" s="258">
        <v>127.1</v>
      </c>
      <c r="D4" s="258">
        <v>11.097</v>
      </c>
      <c r="E4" s="258">
        <f>E9/E10</f>
        <v>90.98836895072111</v>
      </c>
      <c r="F4" s="259">
        <f>E13+E14-E15</f>
        <v>-6127996510.6590004</v>
      </c>
      <c r="G4" s="258">
        <f>E11/E10</f>
        <v>21.308323784915629</v>
      </c>
      <c r="H4" s="258">
        <f t="shared" si="0"/>
        <v>11.453546003424348</v>
      </c>
      <c r="I4" s="258">
        <f>C4/E4</f>
        <v>1.3968818373789817</v>
      </c>
      <c r="J4" s="258">
        <f t="shared" si="1"/>
        <v>5.9648051758053029</v>
      </c>
      <c r="K4" s="260">
        <f>F4/E12</f>
        <v>-2.5438316117090727</v>
      </c>
      <c r="L4" s="261">
        <v>9.5</v>
      </c>
      <c r="M4" s="261">
        <v>13.5</v>
      </c>
    </row>
    <row r="5" spans="1:13" ht="15.5" x14ac:dyDescent="0.35">
      <c r="G5" s="263" t="s">
        <v>336</v>
      </c>
      <c r="H5" s="264">
        <f t="shared" ref="H5:M5" si="2">AVERAGE(H2:H4)</f>
        <v>14.062145961555075</v>
      </c>
      <c r="I5" s="264">
        <f t="shared" si="2"/>
        <v>2.9726833975063514</v>
      </c>
      <c r="J5" s="264">
        <f t="shared" si="2"/>
        <v>3.4528952368161026</v>
      </c>
      <c r="K5" s="264">
        <f>AVERAGE(K2:K4)</f>
        <v>0.49778653222122077</v>
      </c>
      <c r="L5" s="265">
        <f t="shared" si="2"/>
        <v>9.5</v>
      </c>
      <c r="M5" s="265">
        <f t="shared" si="2"/>
        <v>27.433333333333334</v>
      </c>
    </row>
    <row r="7" spans="1:13" ht="15.5" x14ac:dyDescent="0.35">
      <c r="B7" s="266" t="s">
        <v>337</v>
      </c>
      <c r="C7" s="405" t="s">
        <v>338</v>
      </c>
      <c r="D7" s="405"/>
      <c r="E7" s="405"/>
      <c r="F7" s="267"/>
      <c r="G7" s="406" t="s">
        <v>339</v>
      </c>
      <c r="H7" s="406"/>
    </row>
    <row r="8" spans="1:13" ht="15.5" x14ac:dyDescent="0.35">
      <c r="B8" s="268" t="s">
        <v>340</v>
      </c>
      <c r="C8" s="269" t="s">
        <v>341</v>
      </c>
      <c r="D8" s="269" t="s">
        <v>342</v>
      </c>
      <c r="E8" s="269" t="s">
        <v>343</v>
      </c>
      <c r="F8" s="270"/>
      <c r="G8" s="405" t="s">
        <v>333</v>
      </c>
      <c r="H8" s="405"/>
    </row>
    <row r="9" spans="1:13" x14ac:dyDescent="0.35">
      <c r="B9" s="271" t="s">
        <v>344</v>
      </c>
      <c r="C9" s="178">
        <v>64742457000</v>
      </c>
      <c r="D9" s="178">
        <v>68505020000</v>
      </c>
      <c r="E9" s="178">
        <v>17018359255</v>
      </c>
      <c r="F9" s="272"/>
      <c r="G9" s="407" t="s">
        <v>345</v>
      </c>
      <c r="H9" s="273">
        <f>H5*D2</f>
        <v>378.13110490621597</v>
      </c>
    </row>
    <row r="10" spans="1:13" x14ac:dyDescent="0.35">
      <c r="B10" s="271" t="s">
        <v>346</v>
      </c>
      <c r="C10" s="178">
        <v>1350300022</v>
      </c>
      <c r="D10" s="178">
        <v>5237932895</v>
      </c>
      <c r="E10" s="178">
        <v>187038843</v>
      </c>
      <c r="F10" s="272"/>
      <c r="G10" s="407"/>
      <c r="H10" s="273">
        <f>I5*E2</f>
        <v>142.53041835295835</v>
      </c>
    </row>
    <row r="11" spans="1:13" x14ac:dyDescent="0.35">
      <c r="B11" s="274" t="s">
        <v>0</v>
      </c>
      <c r="C11" s="178">
        <v>119478355000</v>
      </c>
      <c r="D11" s="178">
        <v>99502359000</v>
      </c>
      <c r="E11" s="178">
        <v>3985484227</v>
      </c>
      <c r="F11" s="272"/>
      <c r="G11" s="407"/>
      <c r="H11" s="273">
        <f>J5*G2</f>
        <v>305.52191080548124</v>
      </c>
    </row>
    <row r="12" spans="1:13" x14ac:dyDescent="0.35">
      <c r="B12" s="271" t="s">
        <v>347</v>
      </c>
      <c r="C12" s="275">
        <v>93681000</v>
      </c>
      <c r="D12" s="276">
        <v>50816000</v>
      </c>
      <c r="E12" s="276">
        <f>C19+D19</f>
        <v>2408963110</v>
      </c>
      <c r="F12" s="277"/>
      <c r="G12" s="407"/>
      <c r="H12" s="90">
        <f>K5*F2</f>
        <v>63277744.868020937</v>
      </c>
    </row>
    <row r="13" spans="1:13" x14ac:dyDescent="0.35">
      <c r="B13" s="271" t="s">
        <v>348</v>
      </c>
      <c r="C13" s="278">
        <v>341895.96600000001</v>
      </c>
      <c r="D13" s="278">
        <v>151900.054</v>
      </c>
      <c r="E13" s="278">
        <v>23791.341</v>
      </c>
      <c r="G13" s="279" t="s">
        <v>507</v>
      </c>
      <c r="H13" s="280">
        <f>AVERAGE(H9:H12)</f>
        <v>15819642.76286375</v>
      </c>
    </row>
    <row r="14" spans="1:13" x14ac:dyDescent="0.35">
      <c r="B14" s="271" t="s">
        <v>349</v>
      </c>
      <c r="C14" s="145">
        <v>134110770</v>
      </c>
      <c r="D14" s="145">
        <v>138667087</v>
      </c>
      <c r="E14" s="145">
        <v>565202509</v>
      </c>
      <c r="G14" s="279" t="s">
        <v>506</v>
      </c>
      <c r="H14" s="280">
        <f>C32</f>
        <v>330.35496400183257</v>
      </c>
    </row>
    <row r="15" spans="1:13" x14ac:dyDescent="0.35">
      <c r="B15" s="271" t="s">
        <v>350</v>
      </c>
      <c r="C15" s="145">
        <v>7334432</v>
      </c>
      <c r="D15" s="145">
        <v>2618657</v>
      </c>
      <c r="E15" s="145">
        <v>6693222811</v>
      </c>
      <c r="G15" s="281" t="s">
        <v>323</v>
      </c>
      <c r="H15" s="273">
        <f>C2</f>
        <v>256.5</v>
      </c>
    </row>
    <row r="16" spans="1:13" x14ac:dyDescent="0.35">
      <c r="G16" s="282" t="s">
        <v>351</v>
      </c>
      <c r="H16" s="696" t="str">
        <f>IF(H14&gt;H15, "Undervalued", "Overvalued")</f>
        <v>Undervalued</v>
      </c>
    </row>
    <row r="17" spans="2:11" ht="18.5" x14ac:dyDescent="0.45">
      <c r="G17" s="282" t="s">
        <v>352</v>
      </c>
      <c r="H17" s="697" t="s">
        <v>353</v>
      </c>
    </row>
    <row r="18" spans="2:11" x14ac:dyDescent="0.35">
      <c r="B18" s="408" t="s">
        <v>335</v>
      </c>
      <c r="C18" s="283" t="s">
        <v>147</v>
      </c>
      <c r="D18" s="283" t="s">
        <v>354</v>
      </c>
    </row>
    <row r="19" spans="2:11" x14ac:dyDescent="0.35">
      <c r="B19" s="408"/>
      <c r="C19" s="186">
        <v>2304918895</v>
      </c>
      <c r="D19" s="186">
        <v>104044215</v>
      </c>
    </row>
    <row r="22" spans="2:11" x14ac:dyDescent="0.35">
      <c r="B22" s="271" t="s">
        <v>355</v>
      </c>
      <c r="C22" s="107">
        <v>16.77</v>
      </c>
      <c r="E22" s="284" t="s">
        <v>356</v>
      </c>
      <c r="F22" s="285"/>
      <c r="G22" s="285"/>
      <c r="H22" s="285"/>
      <c r="I22" s="285"/>
      <c r="J22" s="285"/>
      <c r="K22" s="286"/>
    </row>
    <row r="23" spans="2:11" x14ac:dyDescent="0.35">
      <c r="B23" s="271" t="s">
        <v>357</v>
      </c>
      <c r="C23" s="107">
        <f>(C22*4)/3</f>
        <v>22.36</v>
      </c>
      <c r="E23" s="287" t="s">
        <v>358</v>
      </c>
      <c r="F23" s="288" t="s">
        <v>301</v>
      </c>
      <c r="G23" s="289"/>
      <c r="H23" s="289"/>
      <c r="I23" s="289"/>
      <c r="J23" s="289"/>
      <c r="K23" s="290"/>
    </row>
    <row r="24" spans="2:11" x14ac:dyDescent="0.35">
      <c r="B24" s="271" t="s">
        <v>359</v>
      </c>
      <c r="C24" s="107">
        <f>D2/4 +C22</f>
        <v>23.4925</v>
      </c>
      <c r="E24" s="291">
        <f>H13</f>
        <v>15819642.76286375</v>
      </c>
      <c r="F24" s="292">
        <v>27.36</v>
      </c>
      <c r="G24" s="292">
        <v>32.36</v>
      </c>
      <c r="H24" s="292">
        <v>37.36</v>
      </c>
      <c r="I24" s="292">
        <v>42.36</v>
      </c>
      <c r="J24" s="292">
        <v>47.36</v>
      </c>
      <c r="K24" s="292">
        <v>52.36</v>
      </c>
    </row>
    <row r="25" spans="2:11" x14ac:dyDescent="0.35">
      <c r="C25" s="26"/>
      <c r="E25" s="292">
        <v>14.4</v>
      </c>
      <c r="F25" s="107">
        <v>15819646.726087524</v>
      </c>
      <c r="G25" s="107">
        <v>15819664.726087524</v>
      </c>
      <c r="H25" s="107">
        <v>15819682.726087524</v>
      </c>
      <c r="I25" s="107">
        <v>15819700.726087524</v>
      </c>
      <c r="J25" s="107">
        <v>15819718.726087524</v>
      </c>
      <c r="K25" s="107">
        <v>15819736.726087524</v>
      </c>
    </row>
    <row r="26" spans="2:11" ht="15" thickBot="1" x14ac:dyDescent="0.4">
      <c r="C26" s="26"/>
      <c r="E26" s="292">
        <v>16.399999999999999</v>
      </c>
      <c r="F26" s="107">
        <v>15819660.406087523</v>
      </c>
      <c r="G26" s="107">
        <v>15819680.906087523</v>
      </c>
      <c r="H26" s="107">
        <v>15819701.406087523</v>
      </c>
      <c r="I26" s="107">
        <v>15819721.906087523</v>
      </c>
      <c r="J26" s="107">
        <v>15819742.406087523</v>
      </c>
      <c r="K26" s="107">
        <v>15819762.906087523</v>
      </c>
    </row>
    <row r="27" spans="2:11" x14ac:dyDescent="0.35">
      <c r="B27" s="688" t="s">
        <v>360</v>
      </c>
      <c r="C27" s="689">
        <f>C2/C23</f>
        <v>11.471377459749553</v>
      </c>
      <c r="E27" s="292">
        <v>18.399999999999999</v>
      </c>
      <c r="F27" s="107">
        <v>15819674.086087523</v>
      </c>
      <c r="G27" s="107">
        <v>15819697.086087523</v>
      </c>
      <c r="H27" s="107">
        <v>15819720.086087523</v>
      </c>
      <c r="I27" s="107">
        <v>15819743.086087523</v>
      </c>
      <c r="J27" s="107">
        <v>15819766.086087523</v>
      </c>
      <c r="K27" s="107">
        <v>15819789.086087523</v>
      </c>
    </row>
    <row r="28" spans="2:11" x14ac:dyDescent="0.35">
      <c r="B28" s="690" t="s">
        <v>361</v>
      </c>
      <c r="C28" s="691">
        <f>C2/D2</f>
        <v>9.5388620304946077</v>
      </c>
      <c r="E28" s="292">
        <v>20.399999999999999</v>
      </c>
      <c r="F28" s="107">
        <v>15819687.766087525</v>
      </c>
      <c r="G28" s="107">
        <v>15819713.266087525</v>
      </c>
      <c r="H28" s="107">
        <v>15819738.766087525</v>
      </c>
      <c r="I28" s="107">
        <v>15819764.266087525</v>
      </c>
      <c r="J28" s="107">
        <v>15819789.766087525</v>
      </c>
      <c r="K28" s="107">
        <v>15819815.266087525</v>
      </c>
    </row>
    <row r="29" spans="2:11" ht="15" thickBot="1" x14ac:dyDescent="0.4">
      <c r="B29" s="690" t="s">
        <v>508</v>
      </c>
      <c r="C29" s="691">
        <f>C2/C24</f>
        <v>10.918378205810365</v>
      </c>
      <c r="D29"/>
      <c r="E29" s="292">
        <v>22.4</v>
      </c>
      <c r="F29" s="107">
        <v>15819701.446087524</v>
      </c>
      <c r="G29" s="107">
        <v>15819729.446087524</v>
      </c>
      <c r="H29" s="107">
        <v>15819757.446087524</v>
      </c>
      <c r="I29" s="107">
        <v>15819785.446087524</v>
      </c>
      <c r="J29" s="107">
        <v>15819813.446087524</v>
      </c>
      <c r="K29" s="107">
        <v>15819841.446087524</v>
      </c>
    </row>
    <row r="30" spans="2:11" x14ac:dyDescent="0.35">
      <c r="B30" s="687" t="s">
        <v>505</v>
      </c>
      <c r="C30" s="693">
        <f>H5</f>
        <v>14.062145961555075</v>
      </c>
      <c r="D30"/>
      <c r="E30" s="292">
        <v>24.4</v>
      </c>
      <c r="F30" s="107">
        <v>15819715.126087524</v>
      </c>
      <c r="G30" s="107">
        <v>15819745.626087524</v>
      </c>
      <c r="H30" s="107">
        <v>15819776.126087524</v>
      </c>
      <c r="I30" s="107">
        <v>15819806.626087524</v>
      </c>
      <c r="J30" s="107">
        <v>15819837.126087524</v>
      </c>
      <c r="K30" s="107">
        <v>15819867.626087524</v>
      </c>
    </row>
    <row r="31" spans="2:11" x14ac:dyDescent="0.35">
      <c r="B31" s="597" t="s">
        <v>509</v>
      </c>
      <c r="C31" s="694">
        <f>C24</f>
        <v>23.4925</v>
      </c>
      <c r="D31"/>
    </row>
    <row r="32" spans="2:11" x14ac:dyDescent="0.35">
      <c r="B32" s="597" t="s">
        <v>506</v>
      </c>
      <c r="C32" s="695">
        <f>C30*C31</f>
        <v>330.35496400183257</v>
      </c>
      <c r="D32"/>
    </row>
    <row r="33" spans="2:4" ht="15" thickBot="1" x14ac:dyDescent="0.4">
      <c r="B33" s="600"/>
      <c r="C33" s="692"/>
      <c r="D33"/>
    </row>
    <row r="35" spans="2:4" x14ac:dyDescent="0.35">
      <c r="B35" s="293"/>
    </row>
  </sheetData>
  <mergeCells count="5">
    <mergeCell ref="B18:B19"/>
    <mergeCell ref="C7:E7"/>
    <mergeCell ref="G7:H7"/>
    <mergeCell ref="G8:H8"/>
    <mergeCell ref="G9:G1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202F2-8837-4AB4-A7DB-6374FA05EDA6}">
  <dimension ref="A1:D25"/>
  <sheetViews>
    <sheetView zoomScale="73" workbookViewId="0">
      <selection activeCell="U11" sqref="U11"/>
    </sheetView>
  </sheetViews>
  <sheetFormatPr defaultRowHeight="14.5" x14ac:dyDescent="0.35"/>
  <cols>
    <col min="1" max="1" width="21" style="21" customWidth="1"/>
    <col min="2" max="2" width="8.7265625" style="21"/>
    <col min="3" max="3" width="20.54296875" style="21" customWidth="1"/>
    <col min="4" max="4" width="8.7265625" style="21"/>
    <col min="5" max="5" width="21" style="21" customWidth="1"/>
    <col min="6" max="16384" width="8.7265625" style="21"/>
  </cols>
  <sheetData>
    <row r="1" spans="1:3" ht="18.5" x14ac:dyDescent="0.45">
      <c r="A1" s="255" t="s">
        <v>322</v>
      </c>
      <c r="B1" s="255" t="s">
        <v>327</v>
      </c>
      <c r="C1" s="294" t="s">
        <v>336</v>
      </c>
    </row>
    <row r="2" spans="1:3" ht="15.5" x14ac:dyDescent="0.35">
      <c r="A2" s="257" t="s">
        <v>333</v>
      </c>
      <c r="B2" s="295">
        <f>'[1]Relative Valution'!H2</f>
        <v>9.5388620304946077</v>
      </c>
      <c r="C2" s="295">
        <f>'[1]Relative Valution'!H5</f>
        <v>14.062145961555075</v>
      </c>
    </row>
    <row r="3" spans="1:3" ht="15.5" x14ac:dyDescent="0.35">
      <c r="A3" s="262" t="s">
        <v>334</v>
      </c>
      <c r="B3" s="295">
        <f>'[1]Relative Valution'!H3</f>
        <v>21.194029850746265</v>
      </c>
      <c r="C3" s="295">
        <f>'[1]Relative Valution'!H5</f>
        <v>14.062145961555075</v>
      </c>
    </row>
    <row r="4" spans="1:3" ht="46.5" x14ac:dyDescent="0.35">
      <c r="A4" s="262" t="s">
        <v>335</v>
      </c>
      <c r="B4" s="295">
        <f>'[1]Relative Valution'!H4</f>
        <v>11.453546003424348</v>
      </c>
      <c r="C4" s="295">
        <f>'[1]Relative Valution'!H5</f>
        <v>14.062145961555075</v>
      </c>
    </row>
    <row r="7" spans="1:3" ht="18.5" x14ac:dyDescent="0.45">
      <c r="A7" s="255" t="s">
        <v>322</v>
      </c>
      <c r="B7" s="255" t="s">
        <v>328</v>
      </c>
      <c r="C7" s="294" t="s">
        <v>336</v>
      </c>
    </row>
    <row r="8" spans="1:3" ht="15.5" x14ac:dyDescent="0.35">
      <c r="A8" s="257" t="s">
        <v>333</v>
      </c>
      <c r="B8" s="295">
        <f>'[1]Relative Valution'!I2</f>
        <v>5.3496881597032999</v>
      </c>
      <c r="C8" s="295">
        <f>'[1]Relative Valution'!I5</f>
        <v>2.9726833975063514</v>
      </c>
    </row>
    <row r="9" spans="1:3" ht="15.5" x14ac:dyDescent="0.35">
      <c r="A9" s="262" t="s">
        <v>334</v>
      </c>
      <c r="B9" s="295">
        <f>'[1]Relative Valution'!I3</f>
        <v>2.1714801954367724</v>
      </c>
      <c r="C9" s="295">
        <f>'[1]Relative Valution'!I5</f>
        <v>2.9726833975063514</v>
      </c>
    </row>
    <row r="10" spans="1:3" ht="46.5" x14ac:dyDescent="0.35">
      <c r="A10" s="262" t="s">
        <v>335</v>
      </c>
      <c r="B10" s="295">
        <f>'[1]Relative Valution'!I4</f>
        <v>1.3968818373789817</v>
      </c>
      <c r="C10" s="295">
        <f>'[1]Relative Valution'!I5</f>
        <v>2.9726833975063514</v>
      </c>
    </row>
    <row r="12" spans="1:3" ht="18.5" x14ac:dyDescent="0.45">
      <c r="A12" s="255" t="s">
        <v>322</v>
      </c>
      <c r="B12" s="255" t="s">
        <v>331</v>
      </c>
      <c r="C12" s="294" t="s">
        <v>336</v>
      </c>
    </row>
    <row r="13" spans="1:3" ht="15.5" x14ac:dyDescent="0.35">
      <c r="A13" s="257" t="s">
        <v>333</v>
      </c>
      <c r="B13" s="107">
        <f>'[1]Relative Valution'!L2</f>
        <v>14.5</v>
      </c>
      <c r="C13" s="107">
        <f>'[1]Relative Valution'!L5</f>
        <v>9.5</v>
      </c>
    </row>
    <row r="14" spans="1:3" ht="15.5" x14ac:dyDescent="0.35">
      <c r="A14" s="262" t="s">
        <v>334</v>
      </c>
      <c r="B14" s="107">
        <f>'[1]Relative Valution'!L3</f>
        <v>4.5</v>
      </c>
      <c r="C14" s="107">
        <f>'[1]Relative Valution'!L5</f>
        <v>9.5</v>
      </c>
    </row>
    <row r="15" spans="1:3" ht="46.5" x14ac:dyDescent="0.35">
      <c r="A15" s="262" t="s">
        <v>335</v>
      </c>
      <c r="B15" s="107">
        <f>'[1]Relative Valution'!L4</f>
        <v>9.5</v>
      </c>
      <c r="C15" s="107">
        <f>'[1]Relative Valution'!L5</f>
        <v>9.5</v>
      </c>
    </row>
    <row r="17" spans="1:4" ht="18.5" x14ac:dyDescent="0.45">
      <c r="A17" s="255" t="s">
        <v>322</v>
      </c>
      <c r="B17" s="255" t="s">
        <v>332</v>
      </c>
      <c r="C17" s="294" t="s">
        <v>336</v>
      </c>
    </row>
    <row r="18" spans="1:4" ht="15.5" x14ac:dyDescent="0.35">
      <c r="A18" s="257" t="s">
        <v>333</v>
      </c>
      <c r="B18" s="107">
        <f>'[1]Relative Valution'!M2</f>
        <v>54.8</v>
      </c>
      <c r="C18" s="296">
        <f>'[1]Relative Valution'!M5</f>
        <v>27.433333333333334</v>
      </c>
    </row>
    <row r="19" spans="1:4" ht="15.5" x14ac:dyDescent="0.35">
      <c r="A19" s="262" t="s">
        <v>334</v>
      </c>
      <c r="B19" s="107">
        <f>'[1]Relative Valution'!M3</f>
        <v>14</v>
      </c>
      <c r="C19" s="296">
        <f>'[1]Relative Valution'!M5</f>
        <v>27.433333333333334</v>
      </c>
    </row>
    <row r="20" spans="1:4" ht="46.5" x14ac:dyDescent="0.35">
      <c r="A20" s="262" t="s">
        <v>335</v>
      </c>
      <c r="B20" s="107">
        <f>'[1]Relative Valution'!M4</f>
        <v>13.5</v>
      </c>
      <c r="C20" s="296">
        <f>'[1]Relative Valution'!M5</f>
        <v>27.433333333333334</v>
      </c>
    </row>
    <row r="22" spans="1:4" ht="18.5" x14ac:dyDescent="0.45">
      <c r="A22" s="255" t="s">
        <v>322</v>
      </c>
      <c r="B22" s="255" t="s">
        <v>327</v>
      </c>
      <c r="C22" s="297" t="s">
        <v>328</v>
      </c>
      <c r="D22" s="255" t="s">
        <v>329</v>
      </c>
    </row>
    <row r="23" spans="1:4" ht="15.5" x14ac:dyDescent="0.35">
      <c r="A23" s="257" t="s">
        <v>333</v>
      </c>
      <c r="B23" s="295">
        <f>B2</f>
        <v>9.5388620304946077</v>
      </c>
      <c r="C23" s="295">
        <f>B8</f>
        <v>5.3496881597032999</v>
      </c>
      <c r="D23" s="295">
        <f>'[1]Relative Valution'!J2</f>
        <v>2.898867796120896</v>
      </c>
    </row>
    <row r="24" spans="1:4" ht="15.5" x14ac:dyDescent="0.35">
      <c r="A24" s="262" t="s">
        <v>334</v>
      </c>
      <c r="B24" s="295">
        <f>B3</f>
        <v>21.194029850746265</v>
      </c>
      <c r="C24" s="295">
        <f>B9</f>
        <v>2.1714801954367724</v>
      </c>
      <c r="D24" s="295">
        <f>'[1]Relative Valution'!J3</f>
        <v>1.4950127385221088</v>
      </c>
    </row>
    <row r="25" spans="1:4" ht="46.5" x14ac:dyDescent="0.35">
      <c r="A25" s="262" t="s">
        <v>335</v>
      </c>
      <c r="B25" s="295">
        <f>B4</f>
        <v>11.453546003424348</v>
      </c>
      <c r="C25" s="295">
        <f>B10</f>
        <v>1.3968818373789817</v>
      </c>
      <c r="D25" s="295">
        <f>'[1]Relative Valution'!J4</f>
        <v>5.9648051758053029</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10B72-E283-47C0-9FA8-938BB553A836}">
  <dimension ref="A1:D7"/>
  <sheetViews>
    <sheetView workbookViewId="0">
      <selection activeCell="E13" sqref="E13"/>
    </sheetView>
  </sheetViews>
  <sheetFormatPr defaultRowHeight="14.5" x14ac:dyDescent="0.35"/>
  <cols>
    <col min="1" max="1" width="24.90625" customWidth="1"/>
    <col min="2" max="2" width="24.08984375" customWidth="1"/>
    <col min="3" max="3" width="30.7265625" customWidth="1"/>
    <col min="4" max="4" width="25.26953125" customWidth="1"/>
  </cols>
  <sheetData>
    <row r="1" spans="1:4" x14ac:dyDescent="0.35">
      <c r="A1" s="25" t="s">
        <v>494</v>
      </c>
      <c r="B1" s="25" t="s">
        <v>495</v>
      </c>
      <c r="C1" s="25" t="s">
        <v>496</v>
      </c>
      <c r="D1" s="25" t="s">
        <v>497</v>
      </c>
    </row>
    <row r="2" spans="1:4" x14ac:dyDescent="0.35">
      <c r="A2" s="299" t="s">
        <v>498</v>
      </c>
      <c r="B2" s="698">
        <v>0.3</v>
      </c>
      <c r="C2" s="71">
        <f>DDM!C17</f>
        <v>147.4380624708665</v>
      </c>
      <c r="D2" s="299">
        <f>C2*B2</f>
        <v>44.231418741259951</v>
      </c>
    </row>
    <row r="3" spans="1:4" x14ac:dyDescent="0.35">
      <c r="A3" s="299" t="s">
        <v>499</v>
      </c>
      <c r="B3" s="698">
        <v>0.2</v>
      </c>
      <c r="C3" s="71">
        <f>DDM!C21</f>
        <v>184.15890640173501</v>
      </c>
      <c r="D3" s="299">
        <f t="shared" ref="D3:D5" si="0">C3*B3</f>
        <v>36.831781280347002</v>
      </c>
    </row>
    <row r="4" spans="1:4" x14ac:dyDescent="0.35">
      <c r="A4" s="299" t="s">
        <v>500</v>
      </c>
      <c r="B4" s="698">
        <v>0.05</v>
      </c>
      <c r="C4" s="24">
        <v>1443.1532304824564</v>
      </c>
      <c r="D4" s="299">
        <f t="shared" si="0"/>
        <v>72.157661524122815</v>
      </c>
    </row>
    <row r="5" spans="1:4" x14ac:dyDescent="0.35">
      <c r="A5" s="299" t="s">
        <v>501</v>
      </c>
      <c r="B5" s="698">
        <v>0.05</v>
      </c>
      <c r="C5" s="24">
        <v>2378.2095324227671</v>
      </c>
      <c r="D5" s="299">
        <f t="shared" si="0"/>
        <v>118.91047662113836</v>
      </c>
    </row>
    <row r="6" spans="1:4" x14ac:dyDescent="0.35">
      <c r="A6" s="299" t="s">
        <v>502</v>
      </c>
      <c r="B6" s="698">
        <v>0.4</v>
      </c>
      <c r="C6" s="299">
        <f>'Relative Valuation'!H14</f>
        <v>330.35496400183257</v>
      </c>
      <c r="D6" s="299">
        <f>C6*B6</f>
        <v>132.14198560073302</v>
      </c>
    </row>
    <row r="7" spans="1:4" x14ac:dyDescent="0.35">
      <c r="A7" s="299"/>
      <c r="B7" s="585">
        <f>SUM(B2:B6)</f>
        <v>1</v>
      </c>
      <c r="C7" s="672" t="s">
        <v>503</v>
      </c>
      <c r="D7" s="672">
        <f>SUM(D2:D6)</f>
        <v>404.27332376760114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CFC26-961F-46C6-AA8C-E13086B09D9B}">
  <dimension ref="A1:W27"/>
  <sheetViews>
    <sheetView topLeftCell="C1" zoomScale="82" workbookViewId="0">
      <selection activeCell="W4" sqref="W4"/>
    </sheetView>
  </sheetViews>
  <sheetFormatPr defaultRowHeight="14.5" x14ac:dyDescent="0.35"/>
  <cols>
    <col min="1" max="1" width="17.1796875" style="159" customWidth="1"/>
    <col min="2" max="16384" width="8.7265625" style="159"/>
  </cols>
  <sheetData>
    <row r="1" spans="1:23" x14ac:dyDescent="0.35">
      <c r="T1" s="159" t="s">
        <v>394</v>
      </c>
      <c r="W1" s="159" t="s">
        <v>405</v>
      </c>
    </row>
    <row r="2" spans="1:23" x14ac:dyDescent="0.35">
      <c r="A2" s="44" t="s">
        <v>307</v>
      </c>
      <c r="B2" s="129">
        <v>0.88917281585291885</v>
      </c>
      <c r="C2" s="129">
        <v>0.9903097757985051</v>
      </c>
      <c r="D2" s="129">
        <v>1.0704097410457192</v>
      </c>
      <c r="E2" s="129">
        <v>1.1501975130640105</v>
      </c>
      <c r="F2" s="129">
        <v>1.1033287116977843</v>
      </c>
      <c r="G2" s="129">
        <v>0.12955003005011081</v>
      </c>
      <c r="J2" s="159" t="s">
        <v>390</v>
      </c>
      <c r="N2" s="159" t="s">
        <v>392</v>
      </c>
      <c r="Q2" s="159" t="s">
        <v>393</v>
      </c>
      <c r="T2" s="159" t="s">
        <v>395</v>
      </c>
      <c r="W2" s="159" t="s">
        <v>406</v>
      </c>
    </row>
    <row r="3" spans="1:23" x14ac:dyDescent="0.35">
      <c r="A3" s="44" t="s">
        <v>308</v>
      </c>
      <c r="B3" s="129">
        <v>1.3311903035545174</v>
      </c>
      <c r="C3" s="129">
        <v>1.2823747012139386</v>
      </c>
      <c r="D3" s="129">
        <v>1.2600003933852233</v>
      </c>
      <c r="E3" s="129">
        <v>1.284957822349164</v>
      </c>
      <c r="F3" s="129">
        <v>1.3065064063116885</v>
      </c>
      <c r="G3" s="129">
        <v>1.2859719221069774</v>
      </c>
      <c r="H3" s="194"/>
      <c r="J3" s="159" t="s">
        <v>391</v>
      </c>
      <c r="T3" s="159" t="s">
        <v>396</v>
      </c>
      <c r="W3" s="159" t="s">
        <v>407</v>
      </c>
    </row>
    <row r="4" spans="1:23" x14ac:dyDescent="0.35">
      <c r="J4" s="159" t="s">
        <v>404</v>
      </c>
    </row>
    <row r="9" spans="1:23" x14ac:dyDescent="0.35">
      <c r="I9" s="195"/>
      <c r="J9" s="195"/>
      <c r="K9" s="195"/>
      <c r="L9" s="195"/>
      <c r="M9" s="195"/>
      <c r="N9" s="195"/>
    </row>
    <row r="10" spans="1:23" x14ac:dyDescent="0.35">
      <c r="I10" s="195"/>
      <c r="J10" s="195"/>
      <c r="K10" s="195"/>
      <c r="L10" s="195"/>
      <c r="M10" s="195"/>
      <c r="N10" s="195"/>
    </row>
    <row r="11" spans="1:23" x14ac:dyDescent="0.35">
      <c r="I11" s="195"/>
      <c r="J11" s="195"/>
      <c r="K11" s="195"/>
      <c r="L11" s="195"/>
      <c r="M11" s="195"/>
      <c r="N11" s="195"/>
    </row>
    <row r="12" spans="1:23" x14ac:dyDescent="0.35">
      <c r="I12" s="195"/>
      <c r="J12" s="195"/>
      <c r="K12" s="195"/>
      <c r="L12" s="195"/>
      <c r="M12" s="195"/>
      <c r="N12" s="195"/>
    </row>
    <row r="13" spans="1:23" x14ac:dyDescent="0.35">
      <c r="I13" s="195"/>
      <c r="J13" s="195"/>
      <c r="K13" s="195"/>
      <c r="L13" s="195"/>
      <c r="M13" s="195"/>
      <c r="N13" s="195"/>
    </row>
    <row r="14" spans="1:23" x14ac:dyDescent="0.35">
      <c r="I14" s="195"/>
      <c r="J14" s="195"/>
      <c r="K14" s="195"/>
      <c r="L14" s="195"/>
      <c r="M14" s="195"/>
      <c r="N14" s="195"/>
    </row>
    <row r="15" spans="1:23" x14ac:dyDescent="0.35">
      <c r="I15" s="195"/>
      <c r="J15" s="195"/>
      <c r="K15" s="195"/>
      <c r="L15" s="195"/>
      <c r="M15" s="195"/>
      <c r="N15" s="195"/>
    </row>
    <row r="16" spans="1:23" x14ac:dyDescent="0.35">
      <c r="I16" s="195"/>
      <c r="J16" s="195"/>
      <c r="K16" s="195"/>
      <c r="L16" s="195"/>
      <c r="M16" s="195"/>
      <c r="N16" s="195"/>
    </row>
    <row r="17" spans="1:14" x14ac:dyDescent="0.35">
      <c r="I17" s="195"/>
      <c r="J17" s="195"/>
      <c r="K17" s="195"/>
      <c r="L17" s="195"/>
      <c r="M17" s="195"/>
      <c r="N17" s="195"/>
    </row>
    <row r="18" spans="1:14" x14ac:dyDescent="0.35">
      <c r="I18" s="195"/>
      <c r="J18" s="195"/>
      <c r="K18" s="195"/>
      <c r="L18" s="195"/>
      <c r="M18" s="195"/>
      <c r="N18" s="195"/>
    </row>
    <row r="19" spans="1:14" x14ac:dyDescent="0.35">
      <c r="I19" s="195"/>
      <c r="J19" s="195"/>
      <c r="K19" s="195"/>
      <c r="L19" s="195"/>
      <c r="M19" s="195"/>
      <c r="N19" s="195"/>
    </row>
    <row r="20" spans="1:14" x14ac:dyDescent="0.35">
      <c r="I20" s="195"/>
      <c r="J20" s="195"/>
      <c r="K20" s="195"/>
      <c r="L20" s="195"/>
      <c r="M20" s="195"/>
      <c r="N20" s="195"/>
    </row>
    <row r="21" spans="1:14" x14ac:dyDescent="0.35">
      <c r="A21" s="159" t="s">
        <v>398</v>
      </c>
      <c r="I21" s="195"/>
      <c r="J21" s="195"/>
      <c r="K21" s="195"/>
      <c r="L21" s="195"/>
      <c r="M21" s="195"/>
      <c r="N21" s="195"/>
    </row>
    <row r="22" spans="1:14" x14ac:dyDescent="0.35">
      <c r="A22" s="159" t="s">
        <v>399</v>
      </c>
    </row>
    <row r="23" spans="1:14" x14ac:dyDescent="0.35">
      <c r="A23" s="159" t="s">
        <v>400</v>
      </c>
    </row>
    <row r="24" spans="1:14" x14ac:dyDescent="0.35">
      <c r="A24" s="195" t="s">
        <v>401</v>
      </c>
    </row>
    <row r="25" spans="1:14" x14ac:dyDescent="0.35">
      <c r="A25" s="195" t="s">
        <v>402</v>
      </c>
    </row>
    <row r="26" spans="1:14" x14ac:dyDescent="0.35">
      <c r="A26" s="195" t="s">
        <v>403</v>
      </c>
    </row>
    <row r="27" spans="1:14" x14ac:dyDescent="0.35">
      <c r="A27" s="159" t="s">
        <v>397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5E4D37-7404-4294-896E-582C5365CC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Historical Stock Data</vt:lpstr>
      <vt:lpstr>Return Calculations</vt:lpstr>
      <vt:lpstr>CAPM</vt:lpstr>
      <vt:lpstr>Cost of Equity</vt:lpstr>
      <vt:lpstr>Cost of Debt</vt:lpstr>
      <vt:lpstr>WACC</vt:lpstr>
      <vt:lpstr>Income Statement</vt:lpstr>
      <vt:lpstr>Balance Sheet</vt:lpstr>
      <vt:lpstr>CAGR Based Sales forecast</vt:lpstr>
      <vt:lpstr>Top-Down Based Sales forecast</vt:lpstr>
      <vt:lpstr>Bottom-Up Based Sales forecast</vt:lpstr>
      <vt:lpstr>Assumptions</vt:lpstr>
      <vt:lpstr>Pro Forma Balance Sheets</vt:lpstr>
      <vt:lpstr>FCFF</vt:lpstr>
      <vt:lpstr>DDM</vt:lpstr>
      <vt:lpstr>Relative Valuation</vt:lpstr>
      <vt:lpstr>Ratio Comparison</vt:lpstr>
      <vt:lpstr>Weighted Intrinsic Value</vt:lpstr>
      <vt:lpstr>Visualization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Arlin Sultana</dc:creator>
  <cp:lastModifiedBy>Tasnia Alam</cp:lastModifiedBy>
  <dcterms:created xsi:type="dcterms:W3CDTF">2025-11-14T16:04:09Z</dcterms:created>
  <dcterms:modified xsi:type="dcterms:W3CDTF">2026-01-08T15:43:35Z</dcterms:modified>
</cp:coreProperties>
</file>